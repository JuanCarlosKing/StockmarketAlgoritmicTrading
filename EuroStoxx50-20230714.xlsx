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21FDDE89-69A8-4D6B-9BCF-F11C2881FF2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</calcChain>
</file>

<file path=xl/sharedStrings.xml><?xml version="1.0" encoding="utf-8"?>
<sst xmlns="http://schemas.openxmlformats.org/spreadsheetml/2006/main" count="501" uniqueCount="365">
  <si>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</si>
  <si>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</si>
  <si>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</si>
  <si>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</si>
  <si>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</si>
  <si>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</si>
  <si>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</si>
  <si>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</si>
  <si>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</si>
  <si>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</si>
  <si>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</si>
  <si>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</si>
  <si>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SIE-DE</t>
  </si>
  <si>
    <t>Siemens Aktiengesellschaft</t>
  </si>
  <si>
    <t>Producer Manufacturing</t>
  </si>
  <si>
    <t>Industrial Machinery</t>
  </si>
  <si>
    <t>ISP-IT</t>
  </si>
  <si>
    <t>Intesa Sanpaolo S.p.A.</t>
  </si>
  <si>
    <t>INGA-NL</t>
  </si>
  <si>
    <t>ING Groep NV</t>
  </si>
  <si>
    <t>NETHERLANDS</t>
  </si>
  <si>
    <t>BBVA-ES</t>
  </si>
  <si>
    <t>Banco Bilbao Vizcaya Argentaria, S.A.</t>
  </si>
  <si>
    <t>SPAIN</t>
  </si>
  <si>
    <t>Overweight (1.25)</t>
  </si>
  <si>
    <t>ITX-ES</t>
  </si>
  <si>
    <t>Industria de Diseno Textil, S.A.</t>
  </si>
  <si>
    <t>Retail Trade</t>
  </si>
  <si>
    <t>Apparel/Footwear Retail</t>
  </si>
  <si>
    <t>STLAM-IT</t>
  </si>
  <si>
    <t>Stellantis N.V.</t>
  </si>
  <si>
    <t>Consumer Durables</t>
  </si>
  <si>
    <t>Motor Vehicles</t>
  </si>
  <si>
    <t>ENEL-IT</t>
  </si>
  <si>
    <t>Enel SpA</t>
  </si>
  <si>
    <t>Utilities</t>
  </si>
  <si>
    <t>Electric Utilities</t>
  </si>
  <si>
    <t>FLTR-IE</t>
  </si>
  <si>
    <t>Flutter Entertainment Plc</t>
  </si>
  <si>
    <t>UNITED KINGDOM</t>
  </si>
  <si>
    <t>Consumer Services</t>
  </si>
  <si>
    <t>Casinos/Gaming</t>
  </si>
  <si>
    <t>MBG-DE</t>
  </si>
  <si>
    <t>Mercedes-Benz Group AG</t>
  </si>
  <si>
    <t>CRG-IE</t>
  </si>
  <si>
    <t>CRH public limited company</t>
  </si>
  <si>
    <t>Non-Energy Minerals</t>
  </si>
  <si>
    <t>Construction Materials</t>
  </si>
  <si>
    <t>ASML-NL</t>
  </si>
  <si>
    <t>ASML Holding NV</t>
  </si>
  <si>
    <t>MC-FR</t>
  </si>
  <si>
    <t>LVMH Moet Hennessy Louis Vuitton SE</t>
  </si>
  <si>
    <t>FRANCE</t>
  </si>
  <si>
    <t>Consumer Non-Durables</t>
  </si>
  <si>
    <t>Apparel/Footwear</t>
  </si>
  <si>
    <t>SAN-ES</t>
  </si>
  <si>
    <t>Banco Santander, S.A.</t>
  </si>
  <si>
    <t>SAP-DE</t>
  </si>
  <si>
    <t>SAP SE</t>
  </si>
  <si>
    <t>Technology Services</t>
  </si>
  <si>
    <t>Packaged Software</t>
  </si>
  <si>
    <t>RMS-FR</t>
  </si>
  <si>
    <t>Hermes International SCA</t>
  </si>
  <si>
    <t>Hold (2.00)</t>
  </si>
  <si>
    <t>NDA.FI-FI</t>
  </si>
  <si>
    <t>Nordea Bank Abp</t>
  </si>
  <si>
    <t>SWEDEN</t>
  </si>
  <si>
    <t>DTE-DE</t>
  </si>
  <si>
    <t>Deutsche Telekom AG</t>
  </si>
  <si>
    <t>Communications</t>
  </si>
  <si>
    <t>Major Telecommunications</t>
  </si>
  <si>
    <t>DG-FR</t>
  </si>
  <si>
    <t>VINCI SA</t>
  </si>
  <si>
    <t>Industrial Services</t>
  </si>
  <si>
    <t>Engineering &amp; Construction</t>
  </si>
  <si>
    <t>IBE-ES</t>
  </si>
  <si>
    <t>Iberdrola SA</t>
  </si>
  <si>
    <t>BMW-DE</t>
  </si>
  <si>
    <t>Bayerische Motoren Werke AG</t>
  </si>
  <si>
    <t>DHL-DE</t>
  </si>
  <si>
    <t>DHL Group</t>
  </si>
  <si>
    <t>Transportation</t>
  </si>
  <si>
    <t>Air Freight/Couriers</t>
  </si>
  <si>
    <t>Overweight (1.50)</t>
  </si>
  <si>
    <t>OR-FR</t>
  </si>
  <si>
    <t>L'Oreal S.A.</t>
  </si>
  <si>
    <t>Household/Personal Care</t>
  </si>
  <si>
    <t>VOW3-DE</t>
  </si>
  <si>
    <t>Volkswagen AG Pref</t>
  </si>
  <si>
    <t>AI-FR</t>
  </si>
  <si>
    <t>L'Air Liquide S.A.</t>
  </si>
  <si>
    <t>Process Industries</t>
  </si>
  <si>
    <t>Chemicals: Specialty</t>
  </si>
  <si>
    <t>MUV2-DE</t>
  </si>
  <si>
    <t>Munich Reinsurance Company</t>
  </si>
  <si>
    <t>Life/Health Insurance</t>
  </si>
  <si>
    <t>SU-FR</t>
  </si>
  <si>
    <t>Schneider Electric SE</t>
  </si>
  <si>
    <t>Electrical Products</t>
  </si>
  <si>
    <t>ALV-DE</t>
  </si>
  <si>
    <t>Allianz SE</t>
  </si>
  <si>
    <t>Multi-Line Insurance</t>
  </si>
  <si>
    <t>SAF-FR</t>
  </si>
  <si>
    <t>Safran SA</t>
  </si>
  <si>
    <t>Aerospace &amp; Defense</t>
  </si>
  <si>
    <t>ADS-DE</t>
  </si>
  <si>
    <t>adidas AG</t>
  </si>
  <si>
    <t>EL-FR</t>
  </si>
  <si>
    <t>EssilorLuxottica SA</t>
  </si>
  <si>
    <t>Health Technology</t>
  </si>
  <si>
    <t>Medical Specialties</t>
  </si>
  <si>
    <t>AIR-FR</t>
  </si>
  <si>
    <t>Airbus SE</t>
  </si>
  <si>
    <t>BNP-FR</t>
  </si>
  <si>
    <t>BNP Paribas S.A. Class A</t>
  </si>
  <si>
    <t>SAN-FR</t>
  </si>
  <si>
    <t>Sanofi</t>
  </si>
  <si>
    <t>Pharmaceuticals: Major</t>
  </si>
  <si>
    <t>DB1-DE</t>
  </si>
  <si>
    <t>Deutsche Boerse AG</t>
  </si>
  <si>
    <t>Investment Banks/Brokers</t>
  </si>
  <si>
    <t>Hold (1.75)</t>
  </si>
  <si>
    <t>PRX-NL</t>
  </si>
  <si>
    <t>Prosus N.V. Class N</t>
  </si>
  <si>
    <t>Financial Conglomerates</t>
  </si>
  <si>
    <t>RI-FR</t>
  </si>
  <si>
    <t>Pernod Ricard SA</t>
  </si>
  <si>
    <t>Beverages: Alcoholic</t>
  </si>
  <si>
    <t>ADYEN-NL</t>
  </si>
  <si>
    <t>Adyen NV</t>
  </si>
  <si>
    <t>AD-NL</t>
  </si>
  <si>
    <t>Koninklijke Ahold Delhaize N.V.</t>
  </si>
  <si>
    <t>Food Retail</t>
  </si>
  <si>
    <t>CS-FR</t>
  </si>
  <si>
    <t>AXA SA</t>
  </si>
  <si>
    <t>TTE-FR</t>
  </si>
  <si>
    <t>TotalEnergies SE</t>
  </si>
  <si>
    <t>Energy Minerals</t>
  </si>
  <si>
    <t>Integrated Oil</t>
  </si>
  <si>
    <t>NOKIA-FI</t>
  </si>
  <si>
    <t>Nokia Oyj</t>
  </si>
  <si>
    <t>FINLAND</t>
  </si>
  <si>
    <t>Telecommunications Equipment</t>
  </si>
  <si>
    <t>BN-FR</t>
  </si>
  <si>
    <t>Danone SA</t>
  </si>
  <si>
    <t>Food: Meat/Fish/Dairy</t>
  </si>
  <si>
    <t>ENI-IT</t>
  </si>
  <si>
    <t>Eni S.p.A.</t>
  </si>
  <si>
    <t>Oil Refining/Marketing</t>
  </si>
  <si>
    <t>BAYN-DE</t>
  </si>
  <si>
    <t>Bayer AG</t>
  </si>
  <si>
    <t>BAS-DE</t>
  </si>
  <si>
    <t>BASF SE</t>
  </si>
  <si>
    <t>Chemicals: Major Diversified</t>
  </si>
  <si>
    <t>ABI-BE</t>
  </si>
  <si>
    <t>Anheuser-Busch InBev SA/NV</t>
  </si>
  <si>
    <t>BELGIUM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</si>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</sst>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06ED-CD05-4B57-9FB3-4431C5FF100C}">
  <sheetPr>
    <outlinePr summaryBelow="0" summaryRight="0"/>
    <pageSetUpPr fitToPage="1"/>
  </sheetPr>
  <dimension ref="A1:CZ55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160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6" t="s">
        <v>166</v>
      </c>
      <c r="H4" s="6" t="s">
        <v>167</v>
      </c>
      <c r="I4" s="6" t="s">
        <v>168</v>
      </c>
      <c r="J4" s="6" t="s">
        <v>169</v>
      </c>
      <c r="K4" s="6" t="s">
        <v>170</v>
      </c>
      <c r="L4" s="6" t="s">
        <v>171</v>
      </c>
      <c r="M4" s="6" t="s">
        <v>172</v>
      </c>
      <c r="N4" s="6" t="s">
        <v>173</v>
      </c>
      <c r="O4" s="6" t="s">
        <v>174</v>
      </c>
      <c r="P4" s="6" t="s">
        <v>175</v>
      </c>
      <c r="Q4" s="6" t="s">
        <v>176</v>
      </c>
      <c r="R4" s="6" t="s">
        <v>177</v>
      </c>
      <c r="S4" s="6" t="s">
        <v>178</v>
      </c>
      <c r="T4" s="6" t="s">
        <v>179</v>
      </c>
      <c r="U4" s="6" t="s">
        <v>180</v>
      </c>
      <c r="V4" s="6" t="s">
        <v>181</v>
      </c>
      <c r="W4" s="6" t="s">
        <v>182</v>
      </c>
      <c r="X4" s="6" t="s">
        <v>183</v>
      </c>
      <c r="Y4" s="6" t="s">
        <v>184</v>
      </c>
      <c r="Z4" s="6" t="s">
        <v>185</v>
      </c>
      <c r="AA4" s="6" t="s">
        <v>186</v>
      </c>
      <c r="AB4" s="6" t="s">
        <v>187</v>
      </c>
      <c r="AC4" s="6" t="s">
        <v>188</v>
      </c>
      <c r="AD4" s="6" t="s">
        <v>189</v>
      </c>
      <c r="AE4" s="6" t="s">
        <v>190</v>
      </c>
      <c r="AF4" s="6" t="s">
        <v>191</v>
      </c>
      <c r="AG4" s="6" t="s">
        <v>192</v>
      </c>
      <c r="AH4" s="6" t="s">
        <v>193</v>
      </c>
      <c r="AI4" s="6" t="s">
        <v>194</v>
      </c>
      <c r="AJ4" s="6" t="s">
        <v>195</v>
      </c>
      <c r="AK4" s="6" t="s">
        <v>196</v>
      </c>
      <c r="AL4" s="6" t="s">
        <v>197</v>
      </c>
      <c r="AM4" s="6" t="s">
        <v>198</v>
      </c>
      <c r="AN4" s="6" t="s">
        <v>199</v>
      </c>
      <c r="AO4" s="6" t="s">
        <v>200</v>
      </c>
      <c r="AP4" s="6" t="s">
        <v>201</v>
      </c>
      <c r="AQ4" s="6" t="s">
        <v>202</v>
      </c>
      <c r="AR4" s="6" t="s">
        <v>203</v>
      </c>
      <c r="AS4" s="6" t="s">
        <v>204</v>
      </c>
      <c r="AT4" s="6" t="s">
        <v>205</v>
      </c>
      <c r="AU4" s="6" t="s">
        <v>206</v>
      </c>
      <c r="AV4" s="5" t="s">
        <v>207</v>
      </c>
      <c r="AW4" s="6" t="s">
        <v>208</v>
      </c>
      <c r="AX4" s="6" t="s">
        <v>209</v>
      </c>
      <c r="AY4" s="6" t="s">
        <v>210</v>
      </c>
      <c r="AZ4" s="6" t="s">
        <v>211</v>
      </c>
      <c r="BA4" s="6" t="s">
        <v>212</v>
      </c>
      <c r="BB4" s="6" t="s">
        <v>213</v>
      </c>
      <c r="BC4" s="6" t="s">
        <v>214</v>
      </c>
      <c r="BD4" s="6" t="s">
        <v>215</v>
      </c>
      <c r="BE4" s="6" t="s">
        <v>216</v>
      </c>
      <c r="BF4" s="6" t="s">
        <v>217</v>
      </c>
      <c r="BG4" s="6" t="s">
        <v>218</v>
      </c>
      <c r="BH4" s="6" t="s">
        <v>219</v>
      </c>
      <c r="BI4" s="6" t="s">
        <v>220</v>
      </c>
      <c r="BJ4" s="6" t="s">
        <v>221</v>
      </c>
      <c r="BK4" s="6" t="s">
        <v>222</v>
      </c>
      <c r="BL4" s="6" t="s">
        <v>223</v>
      </c>
      <c r="BM4" s="6" t="s">
        <v>224</v>
      </c>
      <c r="BN4" s="6" t="s">
        <v>225</v>
      </c>
      <c r="BO4" s="6" t="s">
        <v>226</v>
      </c>
      <c r="BP4" s="6" t="s">
        <v>227</v>
      </c>
      <c r="BQ4" s="6" t="s">
        <v>228</v>
      </c>
      <c r="BR4" s="6" t="s">
        <v>229</v>
      </c>
      <c r="BS4" s="6" t="s">
        <v>230</v>
      </c>
      <c r="BT4" s="6" t="s">
        <v>231</v>
      </c>
      <c r="BU4" s="6" t="s">
        <v>225</v>
      </c>
      <c r="BV4" s="6" t="s">
        <v>232</v>
      </c>
      <c r="BW4" s="6" t="s">
        <v>233</v>
      </c>
      <c r="BX4" s="6" t="s">
        <v>234</v>
      </c>
      <c r="BY4" s="6" t="s">
        <v>235</v>
      </c>
      <c r="BZ4" s="6" t="s">
        <v>236</v>
      </c>
      <c r="CA4" s="6" t="s">
        <v>237</v>
      </c>
      <c r="CB4" s="6" t="s">
        <v>238</v>
      </c>
      <c r="CC4" s="6" t="s">
        <v>239</v>
      </c>
      <c r="CD4" s="6" t="s">
        <v>240</v>
      </c>
      <c r="CE4" s="6" t="s">
        <v>241</v>
      </c>
      <c r="CF4" s="6" t="s">
        <v>242</v>
      </c>
      <c r="CG4" s="6" t="s">
        <v>243</v>
      </c>
      <c r="CH4" s="6" t="s">
        <v>244</v>
      </c>
      <c r="CI4" s="6" t="s">
        <v>245</v>
      </c>
      <c r="CJ4" s="6" t="s">
        <v>246</v>
      </c>
      <c r="CK4" s="6" t="s">
        <v>247</v>
      </c>
      <c r="CL4" s="6" t="s">
        <v>248</v>
      </c>
      <c r="CM4" s="6" t="s">
        <v>249</v>
      </c>
      <c r="CN4" s="6" t="s">
        <v>250</v>
      </c>
      <c r="CO4" s="6" t="s">
        <v>251</v>
      </c>
      <c r="CP4" s="6" t="s">
        <v>252</v>
      </c>
      <c r="CQ4" s="6" t="s">
        <v>253</v>
      </c>
      <c r="CR4" s="6" t="s">
        <v>254</v>
      </c>
      <c r="CS4" s="6" t="s">
        <v>255</v>
      </c>
      <c r="CT4" s="6" t="s">
        <v>256</v>
      </c>
      <c r="CU4" s="6" t="s">
        <v>257</v>
      </c>
      <c r="CV4" s="6" t="s">
        <v>258</v>
      </c>
      <c r="CW4" s="6" t="s">
        <v>259</v>
      </c>
      <c r="CX4" s="6" t="s">
        <v>260</v>
      </c>
      <c r="CY4" s="6" t="s">
        <v>261</v>
      </c>
      <c r="CZ4" s="6" t="s">
        <v>262</v>
      </c>
    </row>
    <row r="5" spans="1:104" ht="12.75" x14ac:dyDescent="0.2">
      <c r="A5" s="5"/>
      <c r="B5" s="5"/>
      <c r="C5" s="5" t="s">
        <v>263</v>
      </c>
      <c r="D5" s="5" t="s">
        <v>264</v>
      </c>
      <c r="E5" s="5" t="s">
        <v>265</v>
      </c>
      <c r="F5" s="5" t="s">
        <v>266</v>
      </c>
      <c r="G5" s="6" t="s">
        <v>267</v>
      </c>
      <c r="H5" s="6" t="s">
        <v>268</v>
      </c>
      <c r="I5" s="6" t="s">
        <v>269</v>
      </c>
      <c r="J5" s="6" t="s">
        <v>270</v>
      </c>
      <c r="K5" s="6" t="s">
        <v>271</v>
      </c>
      <c r="L5" s="6" t="s">
        <v>272</v>
      </c>
      <c r="M5" s="6" t="s">
        <v>273</v>
      </c>
      <c r="N5" s="6" t="s">
        <v>274</v>
      </c>
      <c r="O5" s="6" t="s">
        <v>275</v>
      </c>
      <c r="P5" s="6" t="s">
        <v>276</v>
      </c>
      <c r="Q5" s="6" t="s">
        <v>277</v>
      </c>
      <c r="R5" s="6" t="s">
        <v>278</v>
      </c>
      <c r="S5" s="6" t="s">
        <v>279</v>
      </c>
      <c r="T5" s="6" t="s">
        <v>280</v>
      </c>
      <c r="U5" s="6" t="s">
        <v>281</v>
      </c>
      <c r="V5" s="6" t="s">
        <v>282</v>
      </c>
      <c r="W5" s="6" t="s">
        <v>283</v>
      </c>
      <c r="X5" s="6" t="s">
        <v>284</v>
      </c>
      <c r="Y5" s="6" t="s">
        <v>285</v>
      </c>
      <c r="Z5" s="6" t="s">
        <v>286</v>
      </c>
      <c r="AA5" s="6" t="s">
        <v>287</v>
      </c>
      <c r="AB5" s="6" t="s">
        <v>288</v>
      </c>
      <c r="AC5" s="6" t="s">
        <v>289</v>
      </c>
      <c r="AD5" s="6" t="s">
        <v>290</v>
      </c>
      <c r="AE5" s="6" t="s">
        <v>291</v>
      </c>
      <c r="AF5" s="6" t="s">
        <v>292</v>
      </c>
      <c r="AG5" s="6" t="s">
        <v>293</v>
      </c>
      <c r="AH5" s="6" t="s">
        <v>294</v>
      </c>
      <c r="AI5" s="6" t="s">
        <v>295</v>
      </c>
      <c r="AJ5" s="6" t="s">
        <v>296</v>
      </c>
      <c r="AK5" s="6" t="s">
        <v>297</v>
      </c>
      <c r="AL5" s="6" t="s">
        <v>298</v>
      </c>
      <c r="AM5" s="6" t="s">
        <v>299</v>
      </c>
      <c r="AN5" s="6" t="s">
        <v>300</v>
      </c>
      <c r="AO5" s="6" t="s">
        <v>301</v>
      </c>
      <c r="AP5" s="6" t="s">
        <v>302</v>
      </c>
      <c r="AQ5" s="6" t="s">
        <v>303</v>
      </c>
      <c r="AR5" s="6" t="s">
        <v>304</v>
      </c>
      <c r="AS5" s="6" t="s">
        <v>305</v>
      </c>
      <c r="AT5" s="6" t="s">
        <v>306</v>
      </c>
      <c r="AU5" s="6" t="s">
        <v>307</v>
      </c>
      <c r="AV5" s="5" t="s">
        <v>308</v>
      </c>
      <c r="AW5" s="6" t="s">
        <v>309</v>
      </c>
      <c r="AX5" s="6" t="s">
        <v>310</v>
      </c>
      <c r="AY5" s="6" t="s">
        <v>311</v>
      </c>
      <c r="AZ5" s="6" t="s">
        <v>312</v>
      </c>
      <c r="BA5" s="6" t="s">
        <v>313</v>
      </c>
      <c r="BB5" s="6" t="s">
        <v>314</v>
      </c>
      <c r="BC5" s="6" t="s">
        <v>315</v>
      </c>
      <c r="BD5" s="6" t="s">
        <v>316</v>
      </c>
      <c r="BE5" s="6" t="s">
        <v>317</v>
      </c>
      <c r="BF5" s="6" t="s">
        <v>318</v>
      </c>
      <c r="BG5" s="6" t="s">
        <v>319</v>
      </c>
      <c r="BH5" s="6" t="s">
        <v>320</v>
      </c>
      <c r="BI5" s="6" t="s">
        <v>321</v>
      </c>
      <c r="BJ5" s="6" t="s">
        <v>322</v>
      </c>
      <c r="BK5" s="6" t="s">
        <v>323</v>
      </c>
      <c r="BL5" s="6" t="s">
        <v>324</v>
      </c>
      <c r="BM5" s="6" t="s">
        <v>325</v>
      </c>
      <c r="BN5" s="6" t="s">
        <v>326</v>
      </c>
      <c r="BO5" s="6" t="s">
        <v>327</v>
      </c>
      <c r="BP5" s="6" t="s">
        <v>328</v>
      </c>
      <c r="BQ5" s="6" t="s">
        <v>329</v>
      </c>
      <c r="BR5" s="6" t="s">
        <v>330</v>
      </c>
      <c r="BS5" s="6" t="s">
        <v>331</v>
      </c>
      <c r="BT5" s="6" t="s">
        <v>332</v>
      </c>
      <c r="BU5" s="6" t="s">
        <v>333</v>
      </c>
      <c r="BV5" s="6" t="s">
        <v>334</v>
      </c>
      <c r="BW5" s="6" t="s">
        <v>335</v>
      </c>
      <c r="BX5" s="6" t="s">
        <v>336</v>
      </c>
      <c r="BY5" s="6" t="s">
        <v>337</v>
      </c>
      <c r="BZ5" s="6" t="s">
        <v>338</v>
      </c>
      <c r="CA5" s="6" t="s">
        <v>339</v>
      </c>
      <c r="CB5" s="6" t="s">
        <v>340</v>
      </c>
      <c r="CC5" s="6" t="s">
        <v>341</v>
      </c>
      <c r="CD5" s="6" t="s">
        <v>342</v>
      </c>
      <c r="CE5" s="6" t="s">
        <v>343</v>
      </c>
      <c r="CF5" s="6" t="s">
        <v>344</v>
      </c>
      <c r="CG5" s="6" t="s">
        <v>345</v>
      </c>
      <c r="CH5" s="6" t="s">
        <v>346</v>
      </c>
      <c r="CI5" s="6" t="s">
        <v>347</v>
      </c>
      <c r="CJ5" s="6" t="s">
        <v>348</v>
      </c>
      <c r="CK5" s="6" t="s">
        <v>349</v>
      </c>
      <c r="CL5" s="6" t="s">
        <v>350</v>
      </c>
      <c r="CM5" s="6" t="s">
        <v>351</v>
      </c>
      <c r="CN5" s="6" t="s">
        <v>352</v>
      </c>
      <c r="CO5" s="6" t="s">
        <v>353</v>
      </c>
      <c r="CP5" s="6" t="s">
        <v>354</v>
      </c>
      <c r="CQ5" s="6" t="s">
        <v>355</v>
      </c>
      <c r="CR5" s="6" t="s">
        <v>356</v>
      </c>
      <c r="CS5" s="6" t="s">
        <v>357</v>
      </c>
      <c r="CT5" s="6" t="s">
        <v>358</v>
      </c>
      <c r="CU5" s="6" t="s">
        <v>359</v>
      </c>
      <c r="CV5" s="6" t="s">
        <v>360</v>
      </c>
      <c r="CW5" s="6" t="s">
        <v>361</v>
      </c>
      <c r="CX5" s="6" t="s">
        <v>362</v>
      </c>
      <c r="CY5" s="6" t="s">
        <v>363</v>
      </c>
      <c r="CZ5" s="6" t="s">
        <v>364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42600.07</v>
      </c>
      <c r="H7" s="2">
        <v>92.969399999999993</v>
      </c>
      <c r="I7" s="2">
        <v>39605.03</v>
      </c>
      <c r="J7" s="3">
        <v>21.95</v>
      </c>
      <c r="K7" s="3">
        <v>0</v>
      </c>
      <c r="L7" s="2">
        <v>4.5102500000000001</v>
      </c>
      <c r="M7" s="2">
        <v>5.854152</v>
      </c>
      <c r="N7" s="2">
        <v>6.3325740000000001</v>
      </c>
      <c r="O7" s="2">
        <v>7.3804100000000004</v>
      </c>
      <c r="P7" s="2">
        <v>8.7800010000000004</v>
      </c>
      <c r="Q7" s="2">
        <v>6.1251810000000004</v>
      </c>
      <c r="R7" s="2">
        <v>5.7687249999999999</v>
      </c>
      <c r="S7" s="2">
        <v>5.1285049999999996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0.74205549999999998</v>
      </c>
      <c r="Y7" s="2">
        <v>0.65278979999999998</v>
      </c>
      <c r="Z7" s="2">
        <v>0.5831288</v>
      </c>
      <c r="AA7" s="2">
        <v>0.50159790000000004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0.29047620000000002</v>
      </c>
      <c r="AM7" s="3">
        <v>0.27011829999999998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1.06</v>
      </c>
      <c r="AX7" s="3">
        <v>27.25</v>
      </c>
      <c r="AY7" s="2">
        <v>24.145779999999998</v>
      </c>
      <c r="AZ7" s="2">
        <v>10.65748</v>
      </c>
      <c r="BA7" s="2">
        <v>21.499960000000002</v>
      </c>
      <c r="BB7" s="2">
        <v>142.4879</v>
      </c>
      <c r="BC7" s="2">
        <v>65.385769999999994</v>
      </c>
      <c r="BD7" s="3">
        <v>8.2420000000000009</v>
      </c>
      <c r="BE7" s="2">
        <v>166.31890000000001</v>
      </c>
      <c r="BF7" s="3">
        <v>22.045000000000002</v>
      </c>
      <c r="BG7" s="2">
        <v>-0.43093559999999997</v>
      </c>
      <c r="BH7" s="2">
        <v>38.923900000000003</v>
      </c>
      <c r="BI7" s="2">
        <v>35.813809999999997</v>
      </c>
      <c r="BJ7" s="2">
        <v>36.715670000000003</v>
      </c>
      <c r="BK7" s="2">
        <v>39.492489999999997</v>
      </c>
      <c r="BL7" s="2">
        <v>24</v>
      </c>
      <c r="BM7" s="2">
        <v>12</v>
      </c>
      <c r="BN7" s="4">
        <v>25</v>
      </c>
      <c r="BO7" s="4">
        <v>1</v>
      </c>
      <c r="BP7" s="4">
        <v>0</v>
      </c>
      <c r="BQ7" s="4">
        <v>23</v>
      </c>
      <c r="BR7" s="2">
        <v>4.1666670000000003</v>
      </c>
      <c r="BS7" s="4">
        <v>24</v>
      </c>
      <c r="BT7" s="4">
        <v>0</v>
      </c>
      <c r="BU7" s="4">
        <v>25</v>
      </c>
      <c r="BV7" s="2">
        <v>96</v>
      </c>
      <c r="BW7" s="2">
        <v>13.6843</v>
      </c>
      <c r="BX7" s="2">
        <v>1940.778</v>
      </c>
      <c r="BY7" s="3">
        <v>16.69107</v>
      </c>
      <c r="BZ7" s="3">
        <v>0.8600198</v>
      </c>
      <c r="CA7" s="2">
        <v>1.6671899999999999</v>
      </c>
      <c r="CB7" s="3">
        <v>0.8600198</v>
      </c>
      <c r="CC7" s="3">
        <v>2.7282139999999999</v>
      </c>
      <c r="CD7" s="3">
        <v>3.5146839999999999</v>
      </c>
      <c r="CE7" s="2">
        <v>28.827300000000001</v>
      </c>
      <c r="CF7" s="3">
        <v>10298.86</v>
      </c>
      <c r="CG7" s="3">
        <v>11943.06</v>
      </c>
      <c r="CH7" s="2">
        <v>15.964869999999999</v>
      </c>
      <c r="CI7" s="3">
        <v>22.474779999999999</v>
      </c>
      <c r="CJ7" s="2">
        <v>21.24701</v>
      </c>
      <c r="CK7" s="3">
        <v>20193.98</v>
      </c>
      <c r="CL7" s="3">
        <v>21812.27</v>
      </c>
      <c r="CM7" s="2">
        <v>8.0137250000000009</v>
      </c>
      <c r="CN7" s="3">
        <v>16.43526</v>
      </c>
      <c r="CO7" s="3">
        <v>19.53782</v>
      </c>
      <c r="CP7" s="3">
        <v>20.305040000000002</v>
      </c>
      <c r="CQ7" s="2">
        <v>33.554340000000003</v>
      </c>
      <c r="CR7" s="2">
        <v>12.34618</v>
      </c>
      <c r="CS7" s="2">
        <v>8.1012609999999992</v>
      </c>
      <c r="CT7" s="2">
        <v>18.877490000000002</v>
      </c>
      <c r="CU7" s="2">
        <v>287.49079999999998</v>
      </c>
      <c r="CV7" s="3">
        <v>0.67485989999999996</v>
      </c>
      <c r="CW7" s="2">
        <v>50.456530000000001</v>
      </c>
      <c r="CX7" s="2">
        <v>6.4802989999999996</v>
      </c>
      <c r="CY7" s="2">
        <v>36.485889999999998</v>
      </c>
      <c r="CZ7" s="2">
        <v>9.444445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50212.67</v>
      </c>
      <c r="H8" s="2">
        <v>99.545599999999993</v>
      </c>
      <c r="I8" s="2">
        <v>49984.5</v>
      </c>
      <c r="J8" s="3">
        <v>38.450000000000003</v>
      </c>
      <c r="K8" s="3">
        <v>0</v>
      </c>
      <c r="L8" s="2">
        <v>0.83224960000000003</v>
      </c>
      <c r="M8" s="2">
        <v>0.910273</v>
      </c>
      <c r="N8" s="2">
        <v>0.98829639999999996</v>
      </c>
      <c r="O8" s="2">
        <v>1.0143040000000001</v>
      </c>
      <c r="P8" s="2">
        <v>19.517769999999999</v>
      </c>
      <c r="Q8" s="2">
        <v>14.845560000000001</v>
      </c>
      <c r="R8" s="2">
        <v>14.5121</v>
      </c>
      <c r="S8" s="2">
        <v>13.122870000000001</v>
      </c>
      <c r="T8" s="2">
        <v>8.0478550000000002</v>
      </c>
      <c r="U8" s="2">
        <v>8.6315380000000008</v>
      </c>
      <c r="V8" s="2">
        <v>7.9204559999999997</v>
      </c>
      <c r="W8" s="2">
        <v>6.9349790000000002</v>
      </c>
      <c r="X8" s="2">
        <v>3.3551479999999998</v>
      </c>
      <c r="Y8" s="2">
        <v>3.0039060000000002</v>
      </c>
      <c r="Z8" s="2">
        <v>2.5641880000000001</v>
      </c>
      <c r="AA8" s="2">
        <v>2.1896360000000001</v>
      </c>
      <c r="AB8" s="2">
        <v>12.600849999999999</v>
      </c>
      <c r="AC8" s="2">
        <v>11.81202</v>
      </c>
      <c r="AD8" s="2">
        <v>9.617464</v>
      </c>
      <c r="AE8" s="2">
        <v>9.4548839999999998</v>
      </c>
      <c r="AF8" s="2">
        <v>2.4019240000000002</v>
      </c>
      <c r="AG8" s="2">
        <v>3.6417920000000001</v>
      </c>
      <c r="AH8" s="2">
        <v>4.2808840000000004</v>
      </c>
      <c r="AI8" s="2">
        <v>2.470637</v>
      </c>
      <c r="AJ8" s="2">
        <v>3.6609690000000001</v>
      </c>
      <c r="AK8" s="2">
        <v>4.1422420000000004</v>
      </c>
      <c r="AL8" s="3">
        <v>1.4147719999999999</v>
      </c>
      <c r="AM8" s="3">
        <v>1.3883080000000001</v>
      </c>
      <c r="AN8" s="2">
        <v>34.146859999999997</v>
      </c>
      <c r="AO8" s="2">
        <v>36.857199999999999</v>
      </c>
      <c r="AP8" s="2">
        <v>36.812010000000001</v>
      </c>
      <c r="AQ8" s="2">
        <v>36.73028</v>
      </c>
      <c r="AR8" s="2">
        <v>0.40061790000000003</v>
      </c>
      <c r="AS8" s="2">
        <v>0.24005779999999999</v>
      </c>
      <c r="AT8" s="2">
        <v>4.1487940000000001E-2</v>
      </c>
      <c r="AU8" s="2">
        <v>-0.2321153</v>
      </c>
      <c r="AV8" s="1" t="s">
        <v>6</v>
      </c>
      <c r="AW8" s="3">
        <v>1.288462</v>
      </c>
      <c r="AX8" s="3">
        <v>49</v>
      </c>
      <c r="AY8" s="2">
        <v>27.438220000000001</v>
      </c>
      <c r="AZ8" s="2">
        <v>20.234380000000002</v>
      </c>
      <c r="BA8" s="2">
        <v>15.669740000000001</v>
      </c>
      <c r="BB8" s="2">
        <v>68.899630000000002</v>
      </c>
      <c r="BC8" s="2">
        <v>35.244459999999997</v>
      </c>
      <c r="BD8" s="3">
        <v>21.87</v>
      </c>
      <c r="BE8" s="2">
        <v>75.811610000000002</v>
      </c>
      <c r="BF8" s="3">
        <v>39.159999999999997</v>
      </c>
      <c r="BG8" s="2">
        <v>-1.813072</v>
      </c>
      <c r="BH8" s="2">
        <v>16.243649999999999</v>
      </c>
      <c r="BI8" s="2">
        <v>15.657769999999999</v>
      </c>
      <c r="BJ8" s="2">
        <v>16.58334</v>
      </c>
      <c r="BK8" s="2">
        <v>16.49625</v>
      </c>
      <c r="BL8" s="2">
        <v>23</v>
      </c>
      <c r="BM8" s="2">
        <v>20</v>
      </c>
      <c r="BN8" s="4">
        <v>26</v>
      </c>
      <c r="BO8" s="4">
        <v>0</v>
      </c>
      <c r="BP8" s="4">
        <v>0</v>
      </c>
      <c r="BQ8" s="4">
        <v>25</v>
      </c>
      <c r="BR8" s="2">
        <v>0</v>
      </c>
      <c r="BS8" s="4">
        <v>20</v>
      </c>
      <c r="BT8" s="4">
        <v>0</v>
      </c>
      <c r="BU8" s="4">
        <v>26</v>
      </c>
      <c r="BV8" s="2">
        <v>76.923079999999999</v>
      </c>
      <c r="BW8" s="2">
        <v>10.6213</v>
      </c>
      <c r="BX8" s="2">
        <v>1305.921</v>
      </c>
      <c r="BY8" s="3">
        <v>3.8460369999999999</v>
      </c>
      <c r="BZ8" s="3">
        <v>0.29450759999999998</v>
      </c>
      <c r="CA8" s="2">
        <v>1.46478</v>
      </c>
      <c r="CB8" s="3">
        <v>0.29450759999999998</v>
      </c>
      <c r="CC8" s="3">
        <v>2.3993159999999998</v>
      </c>
      <c r="CD8" s="3">
        <v>2.5797680000000001</v>
      </c>
      <c r="CE8" s="2">
        <v>7.5209859999999997</v>
      </c>
      <c r="CF8" s="3">
        <v>3964.3290000000002</v>
      </c>
      <c r="CG8" s="3">
        <v>4261.3239999999996</v>
      </c>
      <c r="CH8" s="2">
        <v>7.4916960000000001</v>
      </c>
      <c r="CI8" s="3">
        <v>46.047820000000002</v>
      </c>
      <c r="CJ8" s="2">
        <v>6.411111</v>
      </c>
      <c r="CK8" s="3">
        <v>15873.2</v>
      </c>
      <c r="CL8" s="3">
        <v>16215.45</v>
      </c>
      <c r="CM8" s="2">
        <v>2.156126</v>
      </c>
      <c r="CN8" s="3">
        <v>32.796990000000001</v>
      </c>
      <c r="CO8" s="3">
        <v>35.801079999999999</v>
      </c>
      <c r="CP8" s="3">
        <v>37.053649999999998</v>
      </c>
      <c r="CQ8" s="2">
        <v>17.23638</v>
      </c>
      <c r="CR8" s="2">
        <v>7.3989989999999999</v>
      </c>
      <c r="CS8" s="2">
        <v>3.768456</v>
      </c>
      <c r="CT8" s="2">
        <v>9.1596489999999999</v>
      </c>
      <c r="CU8" s="2">
        <v>126.3202</v>
      </c>
      <c r="CV8" s="3">
        <v>0.25157030000000002</v>
      </c>
      <c r="CW8" s="2">
        <v>9.3492949999999997</v>
      </c>
      <c r="CX8" s="2">
        <v>1.8392360000000001</v>
      </c>
      <c r="CY8" s="2">
        <v>0.1259565</v>
      </c>
      <c r="CZ8" s="2">
        <v>14.606059999999999</v>
      </c>
    </row>
    <row r="9" spans="1:104" ht="15" customHeight="1" x14ac:dyDescent="0.2">
      <c r="A9" s="1">
        <f t="shared" ref="A9:A55" si="0">1+A8</f>
        <v>3</v>
      </c>
      <c r="B9" s="1" t="s">
        <v>13</v>
      </c>
      <c r="C9" s="1" t="s">
        <v>12</v>
      </c>
      <c r="D9" s="1" t="s">
        <v>9</v>
      </c>
      <c r="E9" s="1" t="s">
        <v>14</v>
      </c>
      <c r="F9" s="1" t="s">
        <v>15</v>
      </c>
      <c r="G9" s="2">
        <v>120400</v>
      </c>
      <c r="H9" s="2">
        <v>85.96</v>
      </c>
      <c r="I9" s="2">
        <v>103495.8</v>
      </c>
      <c r="J9" s="3">
        <v>150.5</v>
      </c>
      <c r="K9" s="3">
        <v>0</v>
      </c>
      <c r="L9" s="2">
        <v>2.8239200000000002</v>
      </c>
      <c r="M9" s="2">
        <v>2.9900329999999999</v>
      </c>
      <c r="N9" s="2">
        <v>3.1561460000000001</v>
      </c>
      <c r="O9" s="2">
        <v>3.3554819999999999</v>
      </c>
      <c r="P9" s="2">
        <v>32.575760000000002</v>
      </c>
      <c r="Q9" s="2">
        <v>15.14085</v>
      </c>
      <c r="R9" s="2">
        <v>14.045730000000001</v>
      </c>
      <c r="S9" s="2">
        <v>12.68971</v>
      </c>
      <c r="T9" s="2">
        <v>13.59047</v>
      </c>
      <c r="U9" s="2">
        <v>10.892849999999999</v>
      </c>
      <c r="V9" s="2">
        <v>9.9343610000000009</v>
      </c>
      <c r="W9" s="2">
        <v>9.1057369999999995</v>
      </c>
      <c r="X9" s="2">
        <v>2.4664039999999998</v>
      </c>
      <c r="Y9" s="2">
        <v>2.2587419999999998</v>
      </c>
      <c r="Z9" s="2">
        <v>2.0758619999999999</v>
      </c>
      <c r="AA9" s="2">
        <v>1.9381839999999999</v>
      </c>
      <c r="AB9" s="2">
        <v>13.30118</v>
      </c>
      <c r="AC9" s="2">
        <v>11.677519999999999</v>
      </c>
      <c r="AD9" s="2">
        <v>10.54232</v>
      </c>
      <c r="AE9" s="2">
        <v>9.7855899999999991</v>
      </c>
      <c r="AF9" s="2">
        <v>5.1722960000000002</v>
      </c>
      <c r="AG9" s="2">
        <v>6.2775420000000004</v>
      </c>
      <c r="AH9" s="2">
        <v>6.5522169999999997</v>
      </c>
      <c r="AI9" s="2">
        <v>6.7294830000000001</v>
      </c>
      <c r="AJ9" s="2">
        <v>7.9552079999999998</v>
      </c>
      <c r="AK9" s="2">
        <v>8.1335099999999994</v>
      </c>
      <c r="AL9" s="3">
        <v>0.70410980000000001</v>
      </c>
      <c r="AM9" s="3">
        <v>0.66232480000000005</v>
      </c>
      <c r="AN9" s="2">
        <v>15.37158</v>
      </c>
      <c r="AO9" s="2">
        <v>18.346150000000002</v>
      </c>
      <c r="AP9" s="2">
        <v>18.758230000000001</v>
      </c>
      <c r="AQ9" s="2">
        <v>19.114909999999998</v>
      </c>
      <c r="AR9" s="2">
        <v>3.6307849999999999</v>
      </c>
      <c r="AS9" s="2">
        <v>2.520581</v>
      </c>
      <c r="AT9" s="2">
        <v>2.0950479999999998</v>
      </c>
      <c r="AU9" s="2">
        <v>1.7703100000000001</v>
      </c>
      <c r="AV9" s="1" t="s">
        <v>6</v>
      </c>
      <c r="AW9" s="3">
        <v>1.25</v>
      </c>
      <c r="AX9" s="3">
        <v>185</v>
      </c>
      <c r="AY9" s="2">
        <v>22.923590000000001</v>
      </c>
      <c r="AZ9" s="2">
        <v>14.91821</v>
      </c>
      <c r="BA9" s="2">
        <v>21.271519999999999</v>
      </c>
      <c r="BB9" s="2">
        <v>56.5914</v>
      </c>
      <c r="BC9" s="2">
        <v>16.090720000000001</v>
      </c>
      <c r="BD9" s="3">
        <v>94.38</v>
      </c>
      <c r="BE9" s="2">
        <v>59.461759999999998</v>
      </c>
      <c r="BF9" s="3">
        <v>167</v>
      </c>
      <c r="BG9" s="2">
        <v>-9.8802389999999995</v>
      </c>
      <c r="BH9" s="2">
        <v>91.102519999999998</v>
      </c>
      <c r="BI9" s="2">
        <v>45.088830000000002</v>
      </c>
      <c r="BJ9" s="2">
        <v>45.479959999999998</v>
      </c>
      <c r="BK9" s="2">
        <v>44.555689999999998</v>
      </c>
      <c r="BL9" s="2">
        <v>22</v>
      </c>
      <c r="BM9" s="2">
        <v>21</v>
      </c>
      <c r="BN9" s="4">
        <v>22</v>
      </c>
      <c r="BO9" s="4">
        <v>1</v>
      </c>
      <c r="BP9" s="4">
        <v>0</v>
      </c>
      <c r="BQ9" s="4">
        <v>22</v>
      </c>
      <c r="BR9" s="2">
        <v>4.3478260000000004</v>
      </c>
      <c r="BS9" s="4">
        <v>18</v>
      </c>
      <c r="BT9" s="4">
        <v>1</v>
      </c>
      <c r="BU9" s="4">
        <v>22</v>
      </c>
      <c r="BV9" s="2">
        <v>81.818179999999998</v>
      </c>
      <c r="BW9" s="2">
        <v>7.2847400000000002</v>
      </c>
      <c r="BX9" s="2">
        <v>800</v>
      </c>
      <c r="BY9" s="3">
        <v>1.3946149999999999</v>
      </c>
      <c r="BZ9" s="3">
        <v>0.17432690000000001</v>
      </c>
      <c r="CA9" s="2">
        <v>1.0772600000000001</v>
      </c>
      <c r="CB9" s="3">
        <v>0.17432690000000001</v>
      </c>
      <c r="CC9" s="3">
        <v>8.9007760000000005</v>
      </c>
      <c r="CD9" s="3">
        <v>10.048410000000001</v>
      </c>
      <c r="CE9" s="2">
        <v>12.89368</v>
      </c>
      <c r="CF9" s="3">
        <v>10210.629999999999</v>
      </c>
      <c r="CG9" s="3">
        <v>10959</v>
      </c>
      <c r="CH9" s="2">
        <v>7.3293210000000002</v>
      </c>
      <c r="CI9" s="3">
        <v>173.25</v>
      </c>
      <c r="CJ9" s="2">
        <v>6.7821030000000002</v>
      </c>
      <c r="CK9" s="3">
        <v>76950.2</v>
      </c>
      <c r="CL9" s="3">
        <v>77926.77</v>
      </c>
      <c r="CM9" s="2">
        <v>1.2690900000000001</v>
      </c>
      <c r="CN9" s="3">
        <v>139.61670000000001</v>
      </c>
      <c r="CO9" s="3">
        <v>154.43450000000001</v>
      </c>
      <c r="CP9" s="3">
        <v>154.77690000000001</v>
      </c>
      <c r="CQ9" s="2">
        <v>7.7951309999999996</v>
      </c>
      <c r="CR9" s="2">
        <v>-2.547669</v>
      </c>
      <c r="CS9" s="2">
        <v>-2.7632949999999998</v>
      </c>
      <c r="CT9" s="2">
        <v>10.613189999999999</v>
      </c>
      <c r="CU9" s="2">
        <v>197.82640000000001</v>
      </c>
      <c r="CV9" s="3">
        <v>0.1643076</v>
      </c>
      <c r="CW9" s="2">
        <v>103.9816</v>
      </c>
      <c r="CX9" s="2">
        <v>3.7591589999999999</v>
      </c>
      <c r="CY9" s="2">
        <v>52.903550000000003</v>
      </c>
      <c r="CZ9" s="2">
        <v>16.171720000000001</v>
      </c>
    </row>
    <row r="10" spans="1:104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3</v>
      </c>
      <c r="E10" s="1" t="s">
        <v>4</v>
      </c>
      <c r="F10" s="1" t="s">
        <v>5</v>
      </c>
      <c r="G10" s="2">
        <v>44683.16</v>
      </c>
      <c r="H10" s="2">
        <v>80.711600000000004</v>
      </c>
      <c r="I10" s="2">
        <v>36064.5</v>
      </c>
      <c r="J10" s="3">
        <v>2.444</v>
      </c>
      <c r="K10" s="3">
        <v>0</v>
      </c>
      <c r="L10" s="2">
        <v>6.556915</v>
      </c>
      <c r="M10" s="2">
        <v>11.047459999999999</v>
      </c>
      <c r="N10" s="2">
        <v>11.456630000000001</v>
      </c>
      <c r="O10" s="2">
        <v>11.661210000000001</v>
      </c>
      <c r="P10" s="2">
        <v>10.62609</v>
      </c>
      <c r="Q10" s="2">
        <v>6.4740469999999997</v>
      </c>
      <c r="R10" s="2">
        <v>6.4024580000000002</v>
      </c>
      <c r="S10" s="2">
        <v>5.9679359999999999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0.84165100000000004</v>
      </c>
      <c r="Y10" s="2">
        <v>0.79127879999999995</v>
      </c>
      <c r="Z10" s="2">
        <v>0.77133280000000004</v>
      </c>
      <c r="AA10" s="2">
        <v>0.73749489999999995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0.3134962</v>
      </c>
      <c r="AM10" s="3">
        <v>0.30485699999999999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1.26</v>
      </c>
      <c r="AX10" s="3">
        <v>3.2</v>
      </c>
      <c r="AY10" s="2">
        <v>30.9329</v>
      </c>
      <c r="AZ10" s="2">
        <v>12.22232</v>
      </c>
      <c r="BA10" s="2">
        <v>20.994700000000002</v>
      </c>
      <c r="BB10" s="2">
        <v>43.697090000000003</v>
      </c>
      <c r="BC10" s="2">
        <v>17.61309</v>
      </c>
      <c r="BD10" s="3">
        <v>1.5842000000000001</v>
      </c>
      <c r="BE10" s="2">
        <v>54.273449999999997</v>
      </c>
      <c r="BF10" s="3">
        <v>2.6030000000000002</v>
      </c>
      <c r="BG10" s="2">
        <v>-6.1083319999999999</v>
      </c>
      <c r="BH10" s="2">
        <v>68.893739999999994</v>
      </c>
      <c r="BI10" s="2">
        <v>71.067700000000002</v>
      </c>
      <c r="BJ10" s="2">
        <v>71.224310000000003</v>
      </c>
      <c r="BK10" s="2">
        <v>70.970759999999999</v>
      </c>
      <c r="BL10" s="2">
        <v>24</v>
      </c>
      <c r="BM10" s="2">
        <v>12</v>
      </c>
      <c r="BN10" s="4">
        <v>25</v>
      </c>
      <c r="BO10" s="4">
        <v>2</v>
      </c>
      <c r="BP10" s="4">
        <v>0</v>
      </c>
      <c r="BQ10" s="4">
        <v>23</v>
      </c>
      <c r="BR10" s="2">
        <v>8</v>
      </c>
      <c r="BS10" s="4">
        <v>20</v>
      </c>
      <c r="BT10" s="4">
        <v>0</v>
      </c>
      <c r="BU10" s="4">
        <v>25</v>
      </c>
      <c r="BV10" s="2">
        <v>80</v>
      </c>
      <c r="BW10" s="2">
        <v>10.3424</v>
      </c>
      <c r="BX10" s="2">
        <v>18282.8</v>
      </c>
      <c r="BY10" s="3">
        <v>104.3313</v>
      </c>
      <c r="BZ10" s="3">
        <v>0.57065299999999997</v>
      </c>
      <c r="CA10" s="2">
        <v>1.3807400000000001</v>
      </c>
      <c r="CB10" s="3">
        <v>0.57065299999999997</v>
      </c>
      <c r="CC10" s="3">
        <v>0.3419411</v>
      </c>
      <c r="CD10" s="3">
        <v>0.37132939999999998</v>
      </c>
      <c r="CE10" s="2">
        <v>8.5945490000000007</v>
      </c>
      <c r="CF10" s="3">
        <v>12486.19</v>
      </c>
      <c r="CG10" s="3">
        <v>13111.21</v>
      </c>
      <c r="CH10" s="2">
        <v>5.0056339999999997</v>
      </c>
      <c r="CI10" s="3">
        <v>3.0027270000000001</v>
      </c>
      <c r="CJ10" s="2">
        <v>6.5697910000000004</v>
      </c>
      <c r="CK10" s="3">
        <v>23696.13</v>
      </c>
      <c r="CL10" s="3">
        <v>24102.880000000001</v>
      </c>
      <c r="CM10" s="2">
        <v>1.716542</v>
      </c>
      <c r="CN10" s="3">
        <v>2.2625829999999998</v>
      </c>
      <c r="CO10" s="3">
        <v>2.3524409999999998</v>
      </c>
      <c r="CP10" s="3">
        <v>2.3700770000000002</v>
      </c>
      <c r="CQ10" s="2">
        <v>8.0181360000000002</v>
      </c>
      <c r="CR10" s="2">
        <v>3.8920880000000002</v>
      </c>
      <c r="CS10" s="2">
        <v>3.1190159999999998</v>
      </c>
      <c r="CT10" s="2">
        <v>3.9714689999999999</v>
      </c>
      <c r="CU10" s="2">
        <v>188.03989999999999</v>
      </c>
      <c r="CV10" s="3">
        <v>0.42082950000000002</v>
      </c>
      <c r="CW10" s="2">
        <v>7.857208</v>
      </c>
      <c r="CX10" s="2">
        <v>1.4735370000000001</v>
      </c>
      <c r="CY10" s="2">
        <v>10.54251</v>
      </c>
      <c r="CZ10" s="2">
        <v>16.313130000000001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4</v>
      </c>
      <c r="F11" s="1" t="s">
        <v>5</v>
      </c>
      <c r="G11" s="2">
        <v>46887.16</v>
      </c>
      <c r="H11" s="2">
        <v>97.026799999999994</v>
      </c>
      <c r="I11" s="2">
        <v>45493.11</v>
      </c>
      <c r="J11" s="3">
        <v>12.954000000000001</v>
      </c>
      <c r="K11" s="3">
        <v>0</v>
      </c>
      <c r="L11" s="2">
        <v>6.1023620000000003</v>
      </c>
      <c r="M11" s="2">
        <v>7.0797319999999999</v>
      </c>
      <c r="N11" s="2">
        <v>7.458075</v>
      </c>
      <c r="O11" s="2">
        <v>8.2599959999999992</v>
      </c>
      <c r="P11" s="2">
        <v>13.21837</v>
      </c>
      <c r="Q11" s="2">
        <v>7.2775280000000002</v>
      </c>
      <c r="R11" s="2">
        <v>6.9458450000000003</v>
      </c>
      <c r="S11" s="2">
        <v>6.2023239999999999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0.9393764</v>
      </c>
      <c r="Y11" s="2">
        <v>0.86533070000000001</v>
      </c>
      <c r="Z11" s="2">
        <v>0.80861430000000001</v>
      </c>
      <c r="AA11" s="2">
        <v>0.75489519999999999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3">
        <v>0.2848098</v>
      </c>
      <c r="AM11" s="3">
        <v>0.27025329999999997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6</v>
      </c>
      <c r="AW11" s="3">
        <v>1.34</v>
      </c>
      <c r="AX11" s="3">
        <v>16</v>
      </c>
      <c r="AY11" s="2">
        <v>23.51397</v>
      </c>
      <c r="AZ11" s="2">
        <v>11.89045</v>
      </c>
      <c r="BA11" s="2">
        <v>26.141310000000001</v>
      </c>
      <c r="BB11" s="2">
        <v>43.805500000000002</v>
      </c>
      <c r="BC11" s="2">
        <v>13.75132</v>
      </c>
      <c r="BD11" s="3">
        <v>8.4260000000000002</v>
      </c>
      <c r="BE11" s="2">
        <v>53.738439999999997</v>
      </c>
      <c r="BF11" s="3">
        <v>13.55</v>
      </c>
      <c r="BG11" s="2">
        <v>-4.3985250000000002</v>
      </c>
      <c r="BH11" s="2">
        <v>75.727040000000002</v>
      </c>
      <c r="BI11" s="2">
        <v>52.241349999999997</v>
      </c>
      <c r="BJ11" s="2">
        <v>52.361179999999997</v>
      </c>
      <c r="BK11" s="2">
        <v>52.773690000000002</v>
      </c>
      <c r="BL11" s="2">
        <v>23</v>
      </c>
      <c r="BM11" s="2">
        <v>13</v>
      </c>
      <c r="BN11" s="4">
        <v>25</v>
      </c>
      <c r="BO11" s="4">
        <v>1</v>
      </c>
      <c r="BP11" s="4">
        <v>1</v>
      </c>
      <c r="BQ11" s="4">
        <v>23</v>
      </c>
      <c r="BR11" s="2">
        <v>4</v>
      </c>
      <c r="BS11" s="4">
        <v>17</v>
      </c>
      <c r="BT11" s="4">
        <v>1</v>
      </c>
      <c r="BU11" s="4">
        <v>25</v>
      </c>
      <c r="BV11" s="2">
        <v>68</v>
      </c>
      <c r="BW11" s="2">
        <v>11.706300000000001</v>
      </c>
      <c r="BX11" s="2">
        <v>3619.5120000000002</v>
      </c>
      <c r="BY11" s="3">
        <v>14.07662</v>
      </c>
      <c r="BZ11" s="3">
        <v>0.38890930000000001</v>
      </c>
      <c r="CA11" s="2">
        <v>1.48967</v>
      </c>
      <c r="CB11" s="3">
        <v>0.38890930000000001</v>
      </c>
      <c r="CC11" s="3">
        <v>1.5173209999999999</v>
      </c>
      <c r="CD11" s="3">
        <v>1.7398899999999999</v>
      </c>
      <c r="CE11" s="2">
        <v>14.668509999999999</v>
      </c>
      <c r="CF11" s="3">
        <v>9690.9089999999997</v>
      </c>
      <c r="CG11" s="3">
        <v>10366.1</v>
      </c>
      <c r="CH11" s="2">
        <v>6.9672470000000004</v>
      </c>
      <c r="CI11" s="3">
        <v>15.32104</v>
      </c>
      <c r="CJ11" s="2">
        <v>4.4315810000000004</v>
      </c>
      <c r="CK11" s="3">
        <v>21070.21</v>
      </c>
      <c r="CL11" s="3">
        <v>21706.97</v>
      </c>
      <c r="CM11" s="2">
        <v>3.022122</v>
      </c>
      <c r="CN11" s="3">
        <v>11.67611</v>
      </c>
      <c r="CO11" s="3">
        <v>12.01235</v>
      </c>
      <c r="CP11" s="3">
        <v>12.27561</v>
      </c>
      <c r="CQ11" s="2">
        <v>10.944520000000001</v>
      </c>
      <c r="CR11" s="2">
        <v>7.8390000000000004</v>
      </c>
      <c r="CS11" s="2">
        <v>5.5262919999999998</v>
      </c>
      <c r="CT11" s="2">
        <v>2.879775</v>
      </c>
      <c r="CU11" s="2">
        <v>131.81960000000001</v>
      </c>
      <c r="CV11" s="3">
        <v>0.28114230000000001</v>
      </c>
      <c r="CW11" s="2">
        <v>37.449420000000003</v>
      </c>
      <c r="CX11" s="2">
        <v>5.4042909999999997</v>
      </c>
      <c r="CY11" s="2">
        <v>17.704280000000001</v>
      </c>
      <c r="CZ11" s="2">
        <v>16.707070000000002</v>
      </c>
    </row>
    <row r="12" spans="1:104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4</v>
      </c>
      <c r="F12" s="1" t="s">
        <v>5</v>
      </c>
      <c r="G12" s="2">
        <v>42307.13</v>
      </c>
      <c r="H12" s="2">
        <v>99.858699999999999</v>
      </c>
      <c r="I12" s="2">
        <v>42247.360000000001</v>
      </c>
      <c r="J12" s="3">
        <v>7.0919999999999996</v>
      </c>
      <c r="K12" s="3">
        <v>0</v>
      </c>
      <c r="L12" s="2">
        <v>6.0631700000000004</v>
      </c>
      <c r="M12" s="2">
        <v>7.4599339999999996</v>
      </c>
      <c r="N12" s="2">
        <v>7.755217</v>
      </c>
      <c r="O12" s="2">
        <v>7.9684480000000004</v>
      </c>
      <c r="P12" s="2">
        <v>6.7542859999999996</v>
      </c>
      <c r="Q12" s="2">
        <v>6.2179840000000004</v>
      </c>
      <c r="R12" s="2">
        <v>6.3080160000000003</v>
      </c>
      <c r="S12" s="2">
        <v>6.2925779999999998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0.91039789999999998</v>
      </c>
      <c r="Y12" s="2">
        <v>0.86130110000000004</v>
      </c>
      <c r="Z12" s="2">
        <v>0.81223339999999999</v>
      </c>
      <c r="AA12" s="2">
        <v>0.77049190000000001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1.1255630000000001</v>
      </c>
      <c r="AM12" s="3">
        <v>1.141365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24</v>
      </c>
      <c r="AW12" s="3">
        <v>1.464286</v>
      </c>
      <c r="AX12" s="3">
        <v>8.6999999999999993</v>
      </c>
      <c r="AY12" s="2">
        <v>22.67343</v>
      </c>
      <c r="AZ12" s="2">
        <v>13.85177</v>
      </c>
      <c r="BA12" s="2">
        <v>3.5926659999999999</v>
      </c>
      <c r="BB12" s="2">
        <v>71.802329999999998</v>
      </c>
      <c r="BC12" s="2">
        <v>25.878599999999999</v>
      </c>
      <c r="BD12" s="3">
        <v>3.972</v>
      </c>
      <c r="BE12" s="2">
        <v>78.549840000000003</v>
      </c>
      <c r="BF12" s="3">
        <v>7.5549999999999997</v>
      </c>
      <c r="BG12" s="2">
        <v>-6.1283880000000002</v>
      </c>
      <c r="BH12" s="2">
        <v>41.986649999999997</v>
      </c>
      <c r="BI12" s="2">
        <v>46.523130000000002</v>
      </c>
      <c r="BJ12" s="2">
        <v>47.788589999999999</v>
      </c>
      <c r="BK12" s="2">
        <v>48.818219999999997</v>
      </c>
      <c r="BL12" s="2">
        <v>27</v>
      </c>
      <c r="BM12" s="2">
        <v>16</v>
      </c>
      <c r="BN12" s="4">
        <v>28</v>
      </c>
      <c r="BO12" s="4">
        <v>3</v>
      </c>
      <c r="BP12" s="4">
        <v>0</v>
      </c>
      <c r="BQ12" s="4">
        <v>27</v>
      </c>
      <c r="BR12" s="2">
        <v>10</v>
      </c>
      <c r="BS12" s="4">
        <v>16</v>
      </c>
      <c r="BT12" s="4">
        <v>0</v>
      </c>
      <c r="BU12" s="4">
        <v>28</v>
      </c>
      <c r="BV12" s="2">
        <v>57.142859999999999</v>
      </c>
      <c r="BW12" s="2">
        <v>13.360799999999999</v>
      </c>
      <c r="BX12" s="2">
        <v>5965.473</v>
      </c>
      <c r="BY12" s="3">
        <v>18.12914</v>
      </c>
      <c r="BZ12" s="3">
        <v>0.30390109999999998</v>
      </c>
      <c r="CA12" s="2">
        <v>1.9392100000000001</v>
      </c>
      <c r="CB12" s="3">
        <v>0.30390109999999998</v>
      </c>
      <c r="CC12" s="3">
        <v>1.081388</v>
      </c>
      <c r="CD12" s="3">
        <v>1.139211</v>
      </c>
      <c r="CE12" s="2">
        <v>5.3470250000000004</v>
      </c>
      <c r="CF12" s="3">
        <v>15064.5</v>
      </c>
      <c r="CG12" s="3">
        <v>15439.95</v>
      </c>
      <c r="CH12" s="2">
        <v>2.4922610000000001</v>
      </c>
      <c r="CI12" s="3">
        <v>7.902609</v>
      </c>
      <c r="CJ12" s="2">
        <v>10.09022</v>
      </c>
      <c r="CK12" s="3">
        <v>26894.87</v>
      </c>
      <c r="CL12" s="3">
        <v>27532.400000000001</v>
      </c>
      <c r="CM12" s="2">
        <v>2.3704770000000002</v>
      </c>
      <c r="CN12" s="3">
        <v>6.2233400000000003</v>
      </c>
      <c r="CO12" s="3">
        <v>6.6120000000000001</v>
      </c>
      <c r="CP12" s="3">
        <v>6.8220770000000002</v>
      </c>
      <c r="CQ12" s="2">
        <v>13.95811</v>
      </c>
      <c r="CR12" s="2">
        <v>7.2595359999999998</v>
      </c>
      <c r="CS12" s="2">
        <v>3.956604</v>
      </c>
      <c r="CT12" s="2">
        <v>6.245196</v>
      </c>
      <c r="CU12" s="2">
        <v>90.34384</v>
      </c>
      <c r="CV12" s="3">
        <v>0.2135428</v>
      </c>
      <c r="CW12" s="2">
        <v>3.5714290000000002</v>
      </c>
      <c r="CX12" s="2">
        <v>2.142163</v>
      </c>
      <c r="CY12" s="2">
        <v>2.2984490000000002</v>
      </c>
      <c r="CZ12" s="2">
        <v>17.434339999999999</v>
      </c>
    </row>
    <row r="13" spans="1:104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23</v>
      </c>
      <c r="E13" s="1" t="s">
        <v>27</v>
      </c>
      <c r="F13" s="1" t="s">
        <v>28</v>
      </c>
      <c r="G13" s="2">
        <v>108553</v>
      </c>
      <c r="H13" s="2">
        <v>35.442500000000003</v>
      </c>
      <c r="I13" s="2">
        <v>38473.89</v>
      </c>
      <c r="J13" s="3">
        <v>34.83</v>
      </c>
      <c r="K13" s="3">
        <v>0</v>
      </c>
      <c r="L13" s="2">
        <v>3.445306</v>
      </c>
      <c r="M13" s="2">
        <v>4.1630779999999996</v>
      </c>
      <c r="N13" s="2">
        <v>4.4788969999999999</v>
      </c>
      <c r="O13" s="2">
        <v>4.7372949999999996</v>
      </c>
      <c r="P13" s="2">
        <v>26.24718</v>
      </c>
      <c r="Q13" s="2">
        <v>21.590630000000001</v>
      </c>
      <c r="R13" s="2">
        <v>19.90286</v>
      </c>
      <c r="S13" s="2">
        <v>18.62567</v>
      </c>
      <c r="T13" s="2">
        <v>7.7903580000000003</v>
      </c>
      <c r="U13" s="2">
        <v>10.23681</v>
      </c>
      <c r="V13" s="2">
        <v>9.4911790000000007</v>
      </c>
      <c r="W13" s="2">
        <v>8.8611679999999993</v>
      </c>
      <c r="X13" s="2">
        <v>6.3749880000000001</v>
      </c>
      <c r="Y13" s="2">
        <v>5.9742709999999999</v>
      </c>
      <c r="Z13" s="2">
        <v>5.6772619999999998</v>
      </c>
      <c r="AA13" s="2">
        <v>5.5285719999999996</v>
      </c>
      <c r="AB13" s="2">
        <v>19.350000000000001</v>
      </c>
      <c r="AC13" s="2">
        <v>15.526070000000001</v>
      </c>
      <c r="AD13" s="2">
        <v>13.80902</v>
      </c>
      <c r="AE13" s="2">
        <v>13.786009999999999</v>
      </c>
      <c r="AF13" s="2">
        <v>5.5739190000000001</v>
      </c>
      <c r="AG13" s="2">
        <v>6.0429130000000004</v>
      </c>
      <c r="AH13" s="2">
        <v>6.3522860000000003</v>
      </c>
      <c r="AI13" s="2">
        <v>4.9964649999999997</v>
      </c>
      <c r="AJ13" s="2">
        <v>5.3748430000000003</v>
      </c>
      <c r="AK13" s="2">
        <v>5.5954459999999999</v>
      </c>
      <c r="AL13" s="3">
        <v>2.0609069999999998</v>
      </c>
      <c r="AM13" s="3">
        <v>1.916145</v>
      </c>
      <c r="AN13" s="2">
        <v>26.55593</v>
      </c>
      <c r="AO13" s="2">
        <v>26.450479999999999</v>
      </c>
      <c r="AP13" s="2">
        <v>26.508400000000002</v>
      </c>
      <c r="AQ13" s="2">
        <v>26.318539999999999</v>
      </c>
      <c r="AR13" s="2">
        <v>-1.1642969999999999</v>
      </c>
      <c r="AS13" s="2">
        <v>-1.183092</v>
      </c>
      <c r="AT13" s="2">
        <v>-1.179713</v>
      </c>
      <c r="AU13" s="2">
        <v>-1.1985619999999999</v>
      </c>
      <c r="AV13" s="1" t="s">
        <v>6</v>
      </c>
      <c r="AW13" s="3">
        <v>1.4827589999999999</v>
      </c>
      <c r="AX13" s="3">
        <v>37.225000000000001</v>
      </c>
      <c r="AY13" s="2">
        <v>6.8762420000000004</v>
      </c>
      <c r="AZ13" s="2">
        <v>27.670670000000001</v>
      </c>
      <c r="BA13" s="2">
        <v>10.56452</v>
      </c>
      <c r="BB13" s="2">
        <v>48.65558</v>
      </c>
      <c r="BC13" s="2">
        <v>40.160960000000003</v>
      </c>
      <c r="BD13" s="3">
        <v>20.53</v>
      </c>
      <c r="BE13" s="2">
        <v>69.654169999999993</v>
      </c>
      <c r="BF13" s="3">
        <v>35.6</v>
      </c>
      <c r="BG13" s="2">
        <v>-2.1629100000000001</v>
      </c>
      <c r="BH13" s="2">
        <v>90.393649999999994</v>
      </c>
      <c r="BI13" s="2">
        <v>88.646100000000004</v>
      </c>
      <c r="BJ13" s="2">
        <v>90.379130000000004</v>
      </c>
      <c r="BK13" s="2">
        <v>87.537210000000002</v>
      </c>
      <c r="BL13" s="2">
        <v>27</v>
      </c>
      <c r="BM13" s="2">
        <v>26</v>
      </c>
      <c r="BN13" s="4">
        <v>29</v>
      </c>
      <c r="BO13" s="4">
        <v>0</v>
      </c>
      <c r="BP13" s="4">
        <v>1</v>
      </c>
      <c r="BQ13" s="4">
        <v>27</v>
      </c>
      <c r="BR13" s="2">
        <v>0</v>
      </c>
      <c r="BS13" s="4">
        <v>17</v>
      </c>
      <c r="BT13" s="4">
        <v>1</v>
      </c>
      <c r="BU13" s="4">
        <v>29</v>
      </c>
      <c r="BV13" s="2">
        <v>58.620690000000003</v>
      </c>
      <c r="BW13" s="2">
        <v>9.2687299999999997</v>
      </c>
      <c r="BX13" s="2">
        <v>3116.652</v>
      </c>
      <c r="BY13" s="3">
        <v>3.2583929999999999</v>
      </c>
      <c r="BZ13" s="3">
        <v>0.1045478</v>
      </c>
      <c r="CA13" s="2">
        <v>1.22861</v>
      </c>
      <c r="CB13" s="3">
        <v>0.1045478</v>
      </c>
      <c r="CC13" s="3">
        <v>1.4354629999999999</v>
      </c>
      <c r="CD13" s="3">
        <v>1.6113729999999999</v>
      </c>
      <c r="CE13" s="2">
        <v>12.254569999999999</v>
      </c>
      <c r="CF13" s="3">
        <v>5876.6639999999998</v>
      </c>
      <c r="CG13" s="3">
        <v>6409.924</v>
      </c>
      <c r="CH13" s="2">
        <v>9.0741999999999994</v>
      </c>
      <c r="CI13" s="3">
        <v>31.664249999999999</v>
      </c>
      <c r="CJ13" s="2">
        <v>17.561610000000002</v>
      </c>
      <c r="CK13" s="3">
        <v>34255.81</v>
      </c>
      <c r="CL13" s="3">
        <v>35836.97</v>
      </c>
      <c r="CM13" s="2">
        <v>4.615748</v>
      </c>
      <c r="CN13" s="3">
        <v>28.477209999999999</v>
      </c>
      <c r="CO13" s="3">
        <v>32.963720000000002</v>
      </c>
      <c r="CP13" s="3">
        <v>34.380769999999998</v>
      </c>
      <c r="CQ13" s="2">
        <v>22.308340000000001</v>
      </c>
      <c r="CR13" s="2">
        <v>5.661619</v>
      </c>
      <c r="CS13" s="2">
        <v>1.306629</v>
      </c>
      <c r="CT13" s="2">
        <v>15.75475</v>
      </c>
      <c r="CU13" s="2">
        <v>123.7021</v>
      </c>
      <c r="CV13" s="3">
        <v>0.1139555</v>
      </c>
      <c r="CW13" s="2">
        <v>17.02618</v>
      </c>
      <c r="CX13" s="2">
        <v>1.63886</v>
      </c>
      <c r="CY13" s="2">
        <v>12.74419</v>
      </c>
      <c r="CZ13" s="2">
        <v>18.0505</v>
      </c>
    </row>
    <row r="14" spans="1:104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</v>
      </c>
      <c r="E14" s="1" t="s">
        <v>31</v>
      </c>
      <c r="F14" s="1" t="s">
        <v>32</v>
      </c>
      <c r="G14" s="2">
        <v>52862.45</v>
      </c>
      <c r="H14" s="2">
        <v>69.0976</v>
      </c>
      <c r="I14" s="2">
        <v>36526.69</v>
      </c>
      <c r="J14" s="3">
        <v>16.812000000000001</v>
      </c>
      <c r="K14" s="3">
        <v>0</v>
      </c>
      <c r="L14" s="2">
        <v>7.9704969999999999</v>
      </c>
      <c r="M14" s="2">
        <v>7.9749639999999999</v>
      </c>
      <c r="N14" s="2">
        <v>8.1191999999999993</v>
      </c>
      <c r="O14" s="2">
        <v>8.0299790000000009</v>
      </c>
      <c r="P14" s="2">
        <v>3.1631230000000001</v>
      </c>
      <c r="Q14" s="2">
        <v>3.657168</v>
      </c>
      <c r="R14" s="2">
        <v>3.3826960000000001</v>
      </c>
      <c r="S14" s="2">
        <v>3.25814</v>
      </c>
      <c r="T14" s="2">
        <v>0.5658183</v>
      </c>
      <c r="U14" s="2">
        <v>0.94144709999999998</v>
      </c>
      <c r="V14" s="2">
        <v>0.76467379999999996</v>
      </c>
      <c r="W14" s="2">
        <v>0.53839170000000003</v>
      </c>
      <c r="X14" s="2">
        <v>0.74643729999999997</v>
      </c>
      <c r="Y14" s="2">
        <v>0.65314689999999997</v>
      </c>
      <c r="Z14" s="2">
        <v>0.57418029999999998</v>
      </c>
      <c r="AA14" s="2">
        <v>0.50185080000000004</v>
      </c>
      <c r="AB14" s="2">
        <v>2.6298219999999999</v>
      </c>
      <c r="AC14" s="2">
        <v>2.4445079999999999</v>
      </c>
      <c r="AD14" s="2">
        <v>2.4848569999999999</v>
      </c>
      <c r="AE14" s="2">
        <v>2.7133949999999998</v>
      </c>
      <c r="AF14" s="2">
        <v>34.791690000000003</v>
      </c>
      <c r="AG14" s="2">
        <v>43.099209999999999</v>
      </c>
      <c r="AH14" s="2">
        <v>64.714290000000005</v>
      </c>
      <c r="AI14" s="2">
        <v>16.900400000000001</v>
      </c>
      <c r="AJ14" s="2">
        <v>17.327310000000001</v>
      </c>
      <c r="AK14" s="2">
        <v>18.865680000000001</v>
      </c>
      <c r="AL14" s="3" t="e">
        <v>#N/A</v>
      </c>
      <c r="AM14" s="3" t="e">
        <v>#N/A</v>
      </c>
      <c r="AN14" s="2">
        <v>15.740959999999999</v>
      </c>
      <c r="AO14" s="2">
        <v>14.75995</v>
      </c>
      <c r="AP14" s="2">
        <v>14.63659</v>
      </c>
      <c r="AQ14" s="2">
        <v>14.635350000000001</v>
      </c>
      <c r="AR14" s="2">
        <v>-0.90928399999999998</v>
      </c>
      <c r="AS14" s="2">
        <v>-0.99664529999999996</v>
      </c>
      <c r="AT14" s="2">
        <v>-1.1373439999999999</v>
      </c>
      <c r="AU14" s="2">
        <v>-1.308435</v>
      </c>
      <c r="AV14" s="1" t="s">
        <v>6</v>
      </c>
      <c r="AW14" s="3">
        <v>1.173913</v>
      </c>
      <c r="AX14" s="3">
        <v>21</v>
      </c>
      <c r="AY14" s="2">
        <v>24.910769999999999</v>
      </c>
      <c r="AZ14" s="2">
        <v>17.859359999999999</v>
      </c>
      <c r="BA14" s="2">
        <v>-5.3724280000000002</v>
      </c>
      <c r="BB14" s="2">
        <v>40.1</v>
      </c>
      <c r="BC14" s="2">
        <v>26.749099999999999</v>
      </c>
      <c r="BD14" s="3">
        <v>11.55</v>
      </c>
      <c r="BE14" s="2">
        <v>45.558439999999997</v>
      </c>
      <c r="BF14" s="3">
        <v>17.786000000000001</v>
      </c>
      <c r="BG14" s="2">
        <v>-5.4762130000000004</v>
      </c>
      <c r="BH14" s="2">
        <v>24.69144</v>
      </c>
      <c r="BI14" s="2">
        <v>28.12181</v>
      </c>
      <c r="BJ14" s="2">
        <v>28.540859999999999</v>
      </c>
      <c r="BK14" s="2">
        <v>28.128360000000001</v>
      </c>
      <c r="BL14" s="2">
        <v>20</v>
      </c>
      <c r="BM14" s="2">
        <v>19</v>
      </c>
      <c r="BN14" s="4">
        <v>23</v>
      </c>
      <c r="BO14" s="4">
        <v>0</v>
      </c>
      <c r="BP14" s="4">
        <v>1</v>
      </c>
      <c r="BQ14" s="4">
        <v>22</v>
      </c>
      <c r="BR14" s="2">
        <v>0</v>
      </c>
      <c r="BS14" s="4">
        <v>19</v>
      </c>
      <c r="BT14" s="4">
        <v>0</v>
      </c>
      <c r="BU14" s="4">
        <v>23</v>
      </c>
      <c r="BV14" s="2">
        <v>82.608699999999999</v>
      </c>
      <c r="BW14" s="2">
        <v>10.265000000000001</v>
      </c>
      <c r="BX14" s="2">
        <v>3144.3290000000002</v>
      </c>
      <c r="BY14" s="3">
        <v>10.625019999999999</v>
      </c>
      <c r="BZ14" s="3">
        <v>0.33791080000000001</v>
      </c>
      <c r="CA14" s="2">
        <v>1.23925</v>
      </c>
      <c r="CB14" s="3">
        <v>0.33791080000000001</v>
      </c>
      <c r="CC14" s="3">
        <v>4.6175280000000001</v>
      </c>
      <c r="CD14" s="3">
        <v>4.7749709999999999</v>
      </c>
      <c r="CE14" s="2">
        <v>3.409672</v>
      </c>
      <c r="CF14" s="3">
        <v>19327.310000000001</v>
      </c>
      <c r="CG14" s="3">
        <v>20048.259999999998</v>
      </c>
      <c r="CH14" s="2">
        <v>3.7301899999999999</v>
      </c>
      <c r="CI14" s="3">
        <v>21.493410000000001</v>
      </c>
      <c r="CJ14" s="2">
        <v>-2.2956189999999999</v>
      </c>
      <c r="CK14" s="3">
        <v>183365.8</v>
      </c>
      <c r="CL14" s="3">
        <v>184944.8</v>
      </c>
      <c r="CM14" s="2">
        <v>0.86113209999999996</v>
      </c>
      <c r="CN14" s="3">
        <v>14.94528</v>
      </c>
      <c r="CO14" s="3">
        <v>15.307729999999999</v>
      </c>
      <c r="CP14" s="3">
        <v>15.78054</v>
      </c>
      <c r="CQ14" s="2">
        <v>12.490360000000001</v>
      </c>
      <c r="CR14" s="2">
        <v>9.8268869999999993</v>
      </c>
      <c r="CS14" s="2">
        <v>6.5362929999999997</v>
      </c>
      <c r="CT14" s="2">
        <v>2.4251459999999998</v>
      </c>
      <c r="CU14" s="2">
        <v>162.34960000000001</v>
      </c>
      <c r="CV14" s="3">
        <v>0.30711709999999998</v>
      </c>
      <c r="CW14" s="2" t="e">
        <v>#N/A</v>
      </c>
      <c r="CX14" s="2">
        <v>2.9025189999999998</v>
      </c>
      <c r="CY14" s="2" t="e">
        <v>#N/A</v>
      </c>
      <c r="CZ14" s="2">
        <v>19.14141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</v>
      </c>
      <c r="E15" s="1" t="s">
        <v>35</v>
      </c>
      <c r="F15" s="1" t="s">
        <v>36</v>
      </c>
      <c r="G15" s="2">
        <v>64355.09</v>
      </c>
      <c r="H15" s="2">
        <v>75.534899999999993</v>
      </c>
      <c r="I15" s="2">
        <v>48610.55</v>
      </c>
      <c r="J15" s="3">
        <v>6.33</v>
      </c>
      <c r="K15" s="3">
        <v>0</v>
      </c>
      <c r="L15" s="2">
        <v>6.319115</v>
      </c>
      <c r="M15" s="2">
        <v>6.7930489999999999</v>
      </c>
      <c r="N15" s="2">
        <v>6.7930489999999999</v>
      </c>
      <c r="O15" s="2">
        <v>6.7930489999999999</v>
      </c>
      <c r="P15" s="2">
        <v>11.9434</v>
      </c>
      <c r="Q15" s="2">
        <v>10.55</v>
      </c>
      <c r="R15" s="2">
        <v>9.5909089999999999</v>
      </c>
      <c r="S15" s="2">
        <v>9.377777</v>
      </c>
      <c r="T15" s="2">
        <v>5.6498710000000001</v>
      </c>
      <c r="U15" s="2">
        <v>5.6335069999999998</v>
      </c>
      <c r="V15" s="2">
        <v>5.5237769999999999</v>
      </c>
      <c r="W15" s="2">
        <v>5.5256119999999997</v>
      </c>
      <c r="X15" s="2">
        <v>2.2446809999999999</v>
      </c>
      <c r="Y15" s="2">
        <v>2.1288040000000001</v>
      </c>
      <c r="Z15" s="2">
        <v>1.996845</v>
      </c>
      <c r="AA15" s="2">
        <v>1.8617649999999999</v>
      </c>
      <c r="AB15" s="2">
        <v>5.7027029999999996</v>
      </c>
      <c r="AC15" s="2">
        <v>4.6113929999999996</v>
      </c>
      <c r="AD15" s="2">
        <v>4.3313309999999996</v>
      </c>
      <c r="AE15" s="2">
        <v>4.2620529999999999</v>
      </c>
      <c r="AF15" s="2">
        <v>2.0367769999999998</v>
      </c>
      <c r="AG15" s="2">
        <v>2.6452330000000002</v>
      </c>
      <c r="AH15" s="2">
        <v>3.0082450000000001</v>
      </c>
      <c r="AI15" s="2">
        <v>3.6719879999999998</v>
      </c>
      <c r="AJ15" s="2">
        <v>4.86904</v>
      </c>
      <c r="AK15" s="2">
        <v>5.6210979999999999</v>
      </c>
      <c r="AL15" s="3">
        <v>3.1112220000000002</v>
      </c>
      <c r="AM15" s="3">
        <v>2.8941400000000002</v>
      </c>
      <c r="AN15" s="2">
        <v>14.00756</v>
      </c>
      <c r="AO15" s="2">
        <v>20.24774</v>
      </c>
      <c r="AP15" s="2">
        <v>22.59808</v>
      </c>
      <c r="AQ15" s="2">
        <v>23.783460000000002</v>
      </c>
      <c r="AR15" s="2">
        <v>3.0517699999999999</v>
      </c>
      <c r="AS15" s="2">
        <v>2.5087160000000002</v>
      </c>
      <c r="AT15" s="2">
        <v>2.52284</v>
      </c>
      <c r="AU15" s="2">
        <v>2.5684680000000002</v>
      </c>
      <c r="AV15" s="1" t="s">
        <v>6</v>
      </c>
      <c r="AW15" s="3">
        <v>1.2380949999999999</v>
      </c>
      <c r="AX15" s="3">
        <v>7.2</v>
      </c>
      <c r="AY15" s="2">
        <v>13.74408</v>
      </c>
      <c r="AZ15" s="2">
        <v>20.178239999999999</v>
      </c>
      <c r="BA15" s="2">
        <v>2</v>
      </c>
      <c r="BB15" s="2">
        <v>23.464009999999998</v>
      </c>
      <c r="BC15" s="2">
        <v>25.844919999999998</v>
      </c>
      <c r="BD15" s="3">
        <v>3.956</v>
      </c>
      <c r="BE15" s="2">
        <v>60.010109999999997</v>
      </c>
      <c r="BF15" s="3">
        <v>6.38</v>
      </c>
      <c r="BG15" s="2">
        <v>-0.78369979999999995</v>
      </c>
      <c r="BH15" s="2">
        <v>75.461839999999995</v>
      </c>
      <c r="BI15" s="2">
        <v>71.174090000000007</v>
      </c>
      <c r="BJ15" s="2">
        <v>66.896180000000001</v>
      </c>
      <c r="BK15" s="2">
        <v>65.55762</v>
      </c>
      <c r="BL15" s="2">
        <v>18</v>
      </c>
      <c r="BM15" s="2">
        <v>16</v>
      </c>
      <c r="BN15" s="4">
        <v>21</v>
      </c>
      <c r="BO15" s="4">
        <v>1</v>
      </c>
      <c r="BP15" s="4">
        <v>0</v>
      </c>
      <c r="BQ15" s="4">
        <v>21</v>
      </c>
      <c r="BR15" s="2">
        <v>4.5454549999999996</v>
      </c>
      <c r="BS15" s="4">
        <v>18</v>
      </c>
      <c r="BT15" s="4">
        <v>0</v>
      </c>
      <c r="BU15" s="4">
        <v>21</v>
      </c>
      <c r="BV15" s="2">
        <v>85.714290000000005</v>
      </c>
      <c r="BW15" s="2">
        <v>7.4850000000000003</v>
      </c>
      <c r="BX15" s="2">
        <v>10166.68</v>
      </c>
      <c r="BY15" s="3">
        <v>25.411010000000001</v>
      </c>
      <c r="BZ15" s="3">
        <v>0.2499441</v>
      </c>
      <c r="CA15" s="2">
        <v>0.90107199999999998</v>
      </c>
      <c r="CB15" s="3">
        <v>0.2499441</v>
      </c>
      <c r="CC15" s="3">
        <v>0.59189499999999995</v>
      </c>
      <c r="CD15" s="3">
        <v>0.60120890000000005</v>
      </c>
      <c r="CE15" s="2">
        <v>1.5735749999999999</v>
      </c>
      <c r="CF15" s="3">
        <v>12708.25</v>
      </c>
      <c r="CG15" s="3">
        <v>12993.94</v>
      </c>
      <c r="CH15" s="2">
        <v>2.248132</v>
      </c>
      <c r="CI15" s="3">
        <v>6.9140499999999996</v>
      </c>
      <c r="CJ15" s="2">
        <v>4.1357759999999999</v>
      </c>
      <c r="CK15" s="3">
        <v>109879</v>
      </c>
      <c r="CL15" s="3">
        <v>103926</v>
      </c>
      <c r="CM15" s="2">
        <v>-5.4177229999999996</v>
      </c>
      <c r="CN15" s="3">
        <v>5.4570670000000003</v>
      </c>
      <c r="CO15" s="3">
        <v>6.0725290000000003</v>
      </c>
      <c r="CP15" s="3">
        <v>6.1284229999999997</v>
      </c>
      <c r="CQ15" s="2">
        <v>15.99638</v>
      </c>
      <c r="CR15" s="2">
        <v>4.2399290000000001</v>
      </c>
      <c r="CS15" s="2">
        <v>3.2892229999999998</v>
      </c>
      <c r="CT15" s="2">
        <v>11.27826</v>
      </c>
      <c r="CU15" s="2">
        <v>143.29689999999999</v>
      </c>
      <c r="CV15" s="3">
        <v>0.22266610000000001</v>
      </c>
      <c r="CW15" s="2">
        <v>-20.683599999999998</v>
      </c>
      <c r="CX15" s="2">
        <v>-22.311769999999999</v>
      </c>
      <c r="CY15" s="2">
        <v>-9.4507510000000003</v>
      </c>
      <c r="CZ15" s="2">
        <v>19.868690000000001</v>
      </c>
    </row>
    <row r="16" spans="1:104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39</v>
      </c>
      <c r="E16" s="1" t="s">
        <v>40</v>
      </c>
      <c r="F16" s="1" t="s">
        <v>41</v>
      </c>
      <c r="G16" s="2">
        <v>32933.129999999997</v>
      </c>
      <c r="H16" s="2" t="e">
        <v>#N/A</v>
      </c>
      <c r="I16" s="2" t="e">
        <v>#N/A</v>
      </c>
      <c r="J16" s="3">
        <v>186.5</v>
      </c>
      <c r="K16" s="3">
        <v>0</v>
      </c>
      <c r="L16" s="2">
        <v>0</v>
      </c>
      <c r="M16" s="2">
        <v>0</v>
      </c>
      <c r="N16" s="2">
        <v>1.21593</v>
      </c>
      <c r="O16" s="2">
        <v>1.5256559999999999</v>
      </c>
      <c r="P16" s="2">
        <v>87.583320000000001</v>
      </c>
      <c r="Q16" s="2">
        <v>41.024560000000001</v>
      </c>
      <c r="R16" s="2">
        <v>27.458469999999998</v>
      </c>
      <c r="S16" s="2">
        <v>21.642890000000001</v>
      </c>
      <c r="T16" s="2">
        <v>23.5855</v>
      </c>
      <c r="U16" s="2">
        <v>19.994150000000001</v>
      </c>
      <c r="V16" s="2">
        <v>15.42061</v>
      </c>
      <c r="W16" s="2">
        <v>12.44736</v>
      </c>
      <c r="X16" s="2">
        <v>2.8337530000000002</v>
      </c>
      <c r="Y16" s="2">
        <v>2.7271839999999998</v>
      </c>
      <c r="Z16" s="2">
        <v>2.62744</v>
      </c>
      <c r="AA16" s="2">
        <v>2.4448150000000002</v>
      </c>
      <c r="AB16" s="2">
        <v>31.676839999999999</v>
      </c>
      <c r="AC16" s="2">
        <v>23.933520000000001</v>
      </c>
      <c r="AD16" s="2">
        <v>18.667149999999999</v>
      </c>
      <c r="AE16" s="2">
        <v>15.5741</v>
      </c>
      <c r="AF16" s="2">
        <v>2.2206229999999998</v>
      </c>
      <c r="AG16" s="2">
        <v>3.4716279999999999</v>
      </c>
      <c r="AH16" s="2">
        <v>4.6179509999999997</v>
      </c>
      <c r="AI16" s="2">
        <v>2.5543110000000002</v>
      </c>
      <c r="AJ16" s="2">
        <v>3.878609</v>
      </c>
      <c r="AK16" s="2">
        <v>4.9783989999999996</v>
      </c>
      <c r="AL16" s="3">
        <v>0.91397099999999998</v>
      </c>
      <c r="AM16" s="3">
        <v>0.6141276</v>
      </c>
      <c r="AN16" s="2">
        <v>13.583780000000001</v>
      </c>
      <c r="AO16" s="2">
        <v>17.129770000000001</v>
      </c>
      <c r="AP16" s="2">
        <v>19.315670000000001</v>
      </c>
      <c r="AQ16" s="2">
        <v>20.970410000000001</v>
      </c>
      <c r="AR16" s="2">
        <v>4.5639989999999999</v>
      </c>
      <c r="AS16" s="2">
        <v>2.6272310000000001</v>
      </c>
      <c r="AT16" s="2">
        <v>1.6278109999999999</v>
      </c>
      <c r="AU16" s="2">
        <v>0.90683510000000001</v>
      </c>
      <c r="AV16" s="1" t="s">
        <v>6</v>
      </c>
      <c r="AW16" s="3">
        <v>1.288462</v>
      </c>
      <c r="AX16" s="3">
        <v>198.4246</v>
      </c>
      <c r="AY16" s="2">
        <v>6.3939089999999998</v>
      </c>
      <c r="AZ16" s="2">
        <v>6.6476860000000002</v>
      </c>
      <c r="BA16" s="2">
        <v>42.059629999999999</v>
      </c>
      <c r="BB16" s="2">
        <v>108.1938</v>
      </c>
      <c r="BC16" s="2">
        <v>45.931139999999999</v>
      </c>
      <c r="BD16" s="3">
        <v>86.78</v>
      </c>
      <c r="BE16" s="2">
        <v>114.9113</v>
      </c>
      <c r="BF16" s="3">
        <v>192.75</v>
      </c>
      <c r="BG16" s="2">
        <v>-3.24254</v>
      </c>
      <c r="BH16" s="2">
        <v>3.1932779999999998</v>
      </c>
      <c r="BI16" s="2">
        <v>2.6763629999999998</v>
      </c>
      <c r="BJ16" s="2">
        <v>27.14329</v>
      </c>
      <c r="BK16" s="2">
        <v>29.487030000000001</v>
      </c>
      <c r="BL16" s="2">
        <v>22</v>
      </c>
      <c r="BM16" s="2">
        <v>16</v>
      </c>
      <c r="BN16" s="4">
        <v>26</v>
      </c>
      <c r="BO16" s="4">
        <v>0</v>
      </c>
      <c r="BP16" s="4">
        <v>4</v>
      </c>
      <c r="BQ16" s="4">
        <v>22</v>
      </c>
      <c r="BR16" s="2">
        <v>0</v>
      </c>
      <c r="BS16" s="4">
        <v>19</v>
      </c>
      <c r="BT16" s="4">
        <v>1</v>
      </c>
      <c r="BU16" s="4">
        <v>26</v>
      </c>
      <c r="BV16" s="2">
        <v>73.076920000000001</v>
      </c>
      <c r="BW16" s="2">
        <v>11.4842</v>
      </c>
      <c r="BX16" s="2">
        <v>176.58519999999999</v>
      </c>
      <c r="BY16" s="3">
        <v>0.2406528</v>
      </c>
      <c r="BZ16" s="3">
        <v>0.1362814</v>
      </c>
      <c r="CA16" s="2">
        <v>1.3216600000000001</v>
      </c>
      <c r="CB16" s="3">
        <v>0.1362814</v>
      </c>
      <c r="CC16" s="3">
        <v>4.3004290000000003</v>
      </c>
      <c r="CD16" s="3">
        <v>4.5145749999999998</v>
      </c>
      <c r="CE16" s="2">
        <v>4.9796579999999997</v>
      </c>
      <c r="CF16" s="3">
        <v>1270.373</v>
      </c>
      <c r="CG16" s="3">
        <v>1332.806</v>
      </c>
      <c r="CH16" s="2">
        <v>4.9145580000000004</v>
      </c>
      <c r="CI16" s="3">
        <v>183.6583</v>
      </c>
      <c r="CJ16" s="2">
        <v>8.0401059999999998</v>
      </c>
      <c r="CK16" s="3">
        <v>10461.89</v>
      </c>
      <c r="CL16" s="3">
        <v>10939.02</v>
      </c>
      <c r="CM16" s="2">
        <v>4.5607329999999999</v>
      </c>
      <c r="CN16" s="3">
        <v>154.94110000000001</v>
      </c>
      <c r="CO16" s="3">
        <v>182.44900000000001</v>
      </c>
      <c r="CP16" s="3">
        <v>181.30189999999999</v>
      </c>
      <c r="CQ16" s="2">
        <v>20.36835</v>
      </c>
      <c r="CR16" s="2">
        <v>2.2203560000000002</v>
      </c>
      <c r="CS16" s="2">
        <v>2.8670789999999999</v>
      </c>
      <c r="CT16" s="2">
        <v>17.753799999999998</v>
      </c>
      <c r="CU16" s="2">
        <v>37.829909999999998</v>
      </c>
      <c r="CV16" s="3">
        <v>0.1148689</v>
      </c>
      <c r="CW16" s="2" t="e">
        <v>#N/A</v>
      </c>
      <c r="CX16" s="2">
        <v>9.7418499999999995</v>
      </c>
      <c r="CY16" s="2" t="e">
        <v>#N/A</v>
      </c>
      <c r="CZ16" s="2">
        <v>20.157889999999998</v>
      </c>
    </row>
    <row r="17" spans="1:104" ht="15" customHeight="1" x14ac:dyDescent="0.2">
      <c r="A17" s="1">
        <f t="shared" si="0"/>
        <v>11</v>
      </c>
      <c r="B17" s="1" t="s">
        <v>43</v>
      </c>
      <c r="C17" s="1" t="s">
        <v>42</v>
      </c>
      <c r="D17" s="1" t="s">
        <v>9</v>
      </c>
      <c r="E17" s="1" t="s">
        <v>31</v>
      </c>
      <c r="F17" s="1" t="s">
        <v>32</v>
      </c>
      <c r="G17" s="2">
        <v>77884.17</v>
      </c>
      <c r="H17" s="2">
        <v>80.332999999999998</v>
      </c>
      <c r="I17" s="2">
        <v>62566.69</v>
      </c>
      <c r="J17" s="3">
        <v>72.8</v>
      </c>
      <c r="K17" s="3">
        <v>0</v>
      </c>
      <c r="L17" s="2">
        <v>7.1428570000000002</v>
      </c>
      <c r="M17" s="2">
        <v>7.1428570000000002</v>
      </c>
      <c r="N17" s="2">
        <v>7.1428570000000002</v>
      </c>
      <c r="O17" s="2">
        <v>7.3884679999999996</v>
      </c>
      <c r="P17" s="2">
        <v>5.3726940000000001</v>
      </c>
      <c r="Q17" s="2">
        <v>5.6587639999999997</v>
      </c>
      <c r="R17" s="2">
        <v>5.7617729999999998</v>
      </c>
      <c r="S17" s="2">
        <v>5.6259670000000002</v>
      </c>
      <c r="T17" s="2">
        <v>1.445519</v>
      </c>
      <c r="U17" s="2">
        <v>1.9156150000000001</v>
      </c>
      <c r="V17" s="2">
        <v>1.7959529999999999</v>
      </c>
      <c r="W17" s="2">
        <v>1.6465289999999999</v>
      </c>
      <c r="X17" s="2">
        <v>0.96029560000000003</v>
      </c>
      <c r="Y17" s="2">
        <v>0.83143</v>
      </c>
      <c r="Z17" s="2">
        <v>0.77105840000000003</v>
      </c>
      <c r="AA17" s="2">
        <v>0.70937879999999998</v>
      </c>
      <c r="AB17" s="2">
        <v>4.6267820000000004</v>
      </c>
      <c r="AC17" s="2">
        <v>4.365259</v>
      </c>
      <c r="AD17" s="2">
        <v>4.1386510000000003</v>
      </c>
      <c r="AE17" s="2">
        <v>3.8794930000000001</v>
      </c>
      <c r="AF17" s="2">
        <v>17.419270000000001</v>
      </c>
      <c r="AG17" s="2">
        <v>19.485040000000001</v>
      </c>
      <c r="AH17" s="2">
        <v>26.9407</v>
      </c>
      <c r="AI17" s="2">
        <v>11.329000000000001</v>
      </c>
      <c r="AJ17" s="2">
        <v>11.99766</v>
      </c>
      <c r="AK17" s="2">
        <v>14.792260000000001</v>
      </c>
      <c r="AL17" s="3">
        <v>38.331020000000002</v>
      </c>
      <c r="AM17" s="3">
        <v>38.2376</v>
      </c>
      <c r="AN17" s="2">
        <v>18.01662</v>
      </c>
      <c r="AO17" s="2">
        <v>17.226389999999999</v>
      </c>
      <c r="AP17" s="2">
        <v>16.770399999999999</v>
      </c>
      <c r="AQ17" s="2">
        <v>16.069199999999999</v>
      </c>
      <c r="AR17" s="2">
        <v>-0.98484899999999997</v>
      </c>
      <c r="AS17" s="2">
        <v>-1.029801</v>
      </c>
      <c r="AT17" s="2">
        <v>-1.1208009999999999</v>
      </c>
      <c r="AU17" s="2">
        <v>-1.3522449999999999</v>
      </c>
      <c r="AV17" s="1" t="s">
        <v>6</v>
      </c>
      <c r="AW17" s="3">
        <v>1.25</v>
      </c>
      <c r="AX17" s="3">
        <v>90</v>
      </c>
      <c r="AY17" s="2">
        <v>23.626359999999998</v>
      </c>
      <c r="AZ17" s="2">
        <v>14.692780000000001</v>
      </c>
      <c r="BA17" s="2">
        <v>-0.26594499999999999</v>
      </c>
      <c r="BB17" s="2">
        <v>41.304349999999999</v>
      </c>
      <c r="BC17" s="2">
        <v>18.566780000000001</v>
      </c>
      <c r="BD17" s="3">
        <v>50.19</v>
      </c>
      <c r="BE17" s="2">
        <v>45.048819999999999</v>
      </c>
      <c r="BF17" s="3">
        <v>76.099999999999994</v>
      </c>
      <c r="BG17" s="2">
        <v>-4.3363930000000002</v>
      </c>
      <c r="BH17" s="2">
        <v>37.963099999999997</v>
      </c>
      <c r="BI17" s="2">
        <v>40.448720000000002</v>
      </c>
      <c r="BJ17" s="2">
        <v>40.881019999999999</v>
      </c>
      <c r="BK17" s="2">
        <v>41.617420000000003</v>
      </c>
      <c r="BL17" s="2">
        <v>18</v>
      </c>
      <c r="BM17" s="2">
        <v>17</v>
      </c>
      <c r="BN17" s="4">
        <v>22</v>
      </c>
      <c r="BO17" s="4">
        <v>0</v>
      </c>
      <c r="BP17" s="4">
        <v>0</v>
      </c>
      <c r="BQ17" s="4">
        <v>22</v>
      </c>
      <c r="BR17" s="2">
        <v>0</v>
      </c>
      <c r="BS17" s="4">
        <v>18</v>
      </c>
      <c r="BT17" s="4">
        <v>0</v>
      </c>
      <c r="BU17" s="4">
        <v>22</v>
      </c>
      <c r="BV17" s="2">
        <v>81.818179999999998</v>
      </c>
      <c r="BW17" s="2">
        <v>8.1767800000000008</v>
      </c>
      <c r="BX17" s="2">
        <v>1069.837</v>
      </c>
      <c r="BY17" s="3">
        <v>2.4405450000000002</v>
      </c>
      <c r="BZ17" s="3">
        <v>0.22812299999999999</v>
      </c>
      <c r="CA17" s="2">
        <v>1.1202399999999999</v>
      </c>
      <c r="CB17" s="3">
        <v>0.22812299999999999</v>
      </c>
      <c r="CC17" s="3">
        <v>12.19164</v>
      </c>
      <c r="CD17" s="3">
        <v>12.80298</v>
      </c>
      <c r="CE17" s="2">
        <v>5.0143719999999998</v>
      </c>
      <c r="CF17" s="3">
        <v>18325.09</v>
      </c>
      <c r="CG17" s="3">
        <v>19440.84</v>
      </c>
      <c r="CH17" s="2">
        <v>6.0886259999999996</v>
      </c>
      <c r="CI17" s="3">
        <v>90.5</v>
      </c>
      <c r="CJ17" s="2">
        <v>-0.55248739999999996</v>
      </c>
      <c r="CK17" s="3">
        <v>152206.6</v>
      </c>
      <c r="CL17" s="3">
        <v>154528.29999999999</v>
      </c>
      <c r="CM17" s="2">
        <v>1.5253540000000001</v>
      </c>
      <c r="CN17" s="3">
        <v>67.532089999999997</v>
      </c>
      <c r="CO17" s="3">
        <v>71.476479999999995</v>
      </c>
      <c r="CP17" s="3">
        <v>73.278459999999995</v>
      </c>
      <c r="CQ17" s="2">
        <v>7.8006029999999997</v>
      </c>
      <c r="CR17" s="2">
        <v>1.8516900000000001</v>
      </c>
      <c r="CS17" s="2">
        <v>-0.65292720000000004</v>
      </c>
      <c r="CT17" s="2">
        <v>5.8407660000000003</v>
      </c>
      <c r="CU17" s="2">
        <v>182.96199999999999</v>
      </c>
      <c r="CV17" s="3">
        <v>0.2349155</v>
      </c>
      <c r="CW17" s="2">
        <v>16.783940000000001</v>
      </c>
      <c r="CX17" s="2">
        <v>0.33545429999999998</v>
      </c>
      <c r="CY17" s="2">
        <v>11.77403</v>
      </c>
      <c r="CZ17" s="2">
        <v>20.242419999999999</v>
      </c>
    </row>
    <row r="18" spans="1:104" ht="15" customHeight="1" x14ac:dyDescent="0.2">
      <c r="A18" s="1">
        <f t="shared" si="0"/>
        <v>12</v>
      </c>
      <c r="B18" s="1" t="s">
        <v>45</v>
      </c>
      <c r="C18" s="1" t="s">
        <v>44</v>
      </c>
      <c r="D18" s="1" t="s">
        <v>39</v>
      </c>
      <c r="E18" s="1" t="s">
        <v>46</v>
      </c>
      <c r="F18" s="1" t="s">
        <v>47</v>
      </c>
      <c r="G18" s="2">
        <v>36846.26</v>
      </c>
      <c r="H18" s="2" t="e">
        <v>#N/A</v>
      </c>
      <c r="I18" s="2" t="e">
        <v>#N/A</v>
      </c>
      <c r="J18" s="3">
        <v>50.74</v>
      </c>
      <c r="K18" s="3">
        <v>0</v>
      </c>
      <c r="L18" s="2">
        <v>2.358943</v>
      </c>
      <c r="M18" s="2">
        <v>2.3470849999999999</v>
      </c>
      <c r="N18" s="2">
        <v>2.46475</v>
      </c>
      <c r="O18" s="2">
        <v>2.588311</v>
      </c>
      <c r="P18" s="2">
        <v>15.470599999999999</v>
      </c>
      <c r="Q18" s="2">
        <v>14.485200000000001</v>
      </c>
      <c r="R18" s="2">
        <v>13.171060000000001</v>
      </c>
      <c r="S18" s="2">
        <v>11.84586</v>
      </c>
      <c r="T18" s="2">
        <v>6.1424139999999996</v>
      </c>
      <c r="U18" s="2">
        <v>8.0314320000000006</v>
      </c>
      <c r="V18" s="2">
        <v>7.4342779999999999</v>
      </c>
      <c r="W18" s="2">
        <v>6.767023</v>
      </c>
      <c r="X18" s="2">
        <v>1.882436</v>
      </c>
      <c r="Y18" s="2">
        <v>1.865659</v>
      </c>
      <c r="Z18" s="2">
        <v>1.716993</v>
      </c>
      <c r="AA18" s="2">
        <v>1.549029</v>
      </c>
      <c r="AB18" s="2">
        <v>10.06312</v>
      </c>
      <c r="AC18" s="2">
        <v>9.255903</v>
      </c>
      <c r="AD18" s="2">
        <v>8.5414879999999993</v>
      </c>
      <c r="AE18" s="2">
        <v>7.6861829999999998</v>
      </c>
      <c r="AF18" s="2">
        <v>5.9722049999999998</v>
      </c>
      <c r="AG18" s="2">
        <v>6.5692579999999996</v>
      </c>
      <c r="AH18" s="2">
        <v>7.4741400000000002</v>
      </c>
      <c r="AI18" s="2">
        <v>6.8248100000000003</v>
      </c>
      <c r="AJ18" s="2">
        <v>7.2749579999999998</v>
      </c>
      <c r="AK18" s="2">
        <v>7.9204400000000001</v>
      </c>
      <c r="AL18" s="3">
        <v>1.6741760000000001</v>
      </c>
      <c r="AM18" s="3">
        <v>1.512378</v>
      </c>
      <c r="AN18" s="2">
        <v>17.159179999999999</v>
      </c>
      <c r="AO18" s="2">
        <v>17.064019999999999</v>
      </c>
      <c r="AP18" s="2">
        <v>17.319299999999998</v>
      </c>
      <c r="AQ18" s="2">
        <v>17.29543</v>
      </c>
      <c r="AR18" s="2">
        <v>0.90917190000000003</v>
      </c>
      <c r="AS18" s="2">
        <v>1.0031920000000001</v>
      </c>
      <c r="AT18" s="2">
        <v>0.72104109999999999</v>
      </c>
      <c r="AU18" s="2">
        <v>0.38124530000000001</v>
      </c>
      <c r="AV18" s="1" t="s">
        <v>6</v>
      </c>
      <c r="AW18" s="3">
        <v>1.204545</v>
      </c>
      <c r="AX18" s="3">
        <v>56.818429999999999</v>
      </c>
      <c r="AY18" s="2">
        <v>11.979559999999999</v>
      </c>
      <c r="AZ18" s="2">
        <v>12.879759999999999</v>
      </c>
      <c r="BA18" s="2">
        <v>10.60327</v>
      </c>
      <c r="BB18" s="2">
        <v>49.345120000000001</v>
      </c>
      <c r="BC18" s="2">
        <v>37.098100000000002</v>
      </c>
      <c r="BD18" s="3">
        <v>31.8</v>
      </c>
      <c r="BE18" s="2">
        <v>59.559759999999997</v>
      </c>
      <c r="BF18" s="3">
        <v>51.28</v>
      </c>
      <c r="BG18" s="2">
        <v>-1.0530349999999999</v>
      </c>
      <c r="BH18" s="2">
        <v>36.185890000000001</v>
      </c>
      <c r="BI18" s="2">
        <v>34.609020000000001</v>
      </c>
      <c r="BJ18" s="2">
        <v>33.327959999999997</v>
      </c>
      <c r="BK18" s="2">
        <v>30.913170000000001</v>
      </c>
      <c r="BL18" s="2">
        <v>22</v>
      </c>
      <c r="BM18" s="2">
        <v>19</v>
      </c>
      <c r="BN18" s="4">
        <v>22</v>
      </c>
      <c r="BO18" s="4">
        <v>0</v>
      </c>
      <c r="BP18" s="4">
        <v>0</v>
      </c>
      <c r="BQ18" s="4">
        <v>22</v>
      </c>
      <c r="BR18" s="2">
        <v>0</v>
      </c>
      <c r="BS18" s="4">
        <v>20</v>
      </c>
      <c r="BT18" s="4">
        <v>1</v>
      </c>
      <c r="BU18" s="4">
        <v>22</v>
      </c>
      <c r="BV18" s="2">
        <v>90.909099999999995</v>
      </c>
      <c r="BW18" s="2">
        <v>7.2481600000000004</v>
      </c>
      <c r="BX18" s="2">
        <v>726.17769999999996</v>
      </c>
      <c r="BY18" s="3">
        <v>1.4996769999999999</v>
      </c>
      <c r="BZ18" s="3">
        <v>0.20651649999999999</v>
      </c>
      <c r="CA18" s="2">
        <v>1.0172600000000001</v>
      </c>
      <c r="CB18" s="3">
        <v>0.20651649999999999</v>
      </c>
      <c r="CC18" s="3">
        <v>3.4935170000000002</v>
      </c>
      <c r="CD18" s="3">
        <v>3.492467</v>
      </c>
      <c r="CE18" s="2">
        <v>-3.0046699999999999E-2</v>
      </c>
      <c r="CF18" s="3">
        <v>3671.64</v>
      </c>
      <c r="CG18" s="3">
        <v>3670.3539999999998</v>
      </c>
      <c r="CH18" s="2">
        <v>-3.504753E-2</v>
      </c>
      <c r="CI18" s="3">
        <v>54.891689999999997</v>
      </c>
      <c r="CJ18" s="2">
        <v>3.5100699999999998</v>
      </c>
      <c r="CK18" s="3">
        <v>30493.84</v>
      </c>
      <c r="CL18" s="3">
        <v>30427.87</v>
      </c>
      <c r="CM18" s="2">
        <v>-0.21635889999999999</v>
      </c>
      <c r="CN18" s="3">
        <v>42.435540000000003</v>
      </c>
      <c r="CO18" s="3">
        <v>46.919020000000003</v>
      </c>
      <c r="CP18" s="3">
        <v>48.689619999999998</v>
      </c>
      <c r="CQ18" s="2">
        <v>19.569590000000002</v>
      </c>
      <c r="CR18" s="2">
        <v>8.14377</v>
      </c>
      <c r="CS18" s="2">
        <v>4.2111280000000004</v>
      </c>
      <c r="CT18" s="2">
        <v>10.565390000000001</v>
      </c>
      <c r="CU18" s="2">
        <v>70.678479999999993</v>
      </c>
      <c r="CV18" s="3">
        <v>0.19181999999999999</v>
      </c>
      <c r="CW18" s="2" t="e">
        <v>#N/A</v>
      </c>
      <c r="CX18" s="2" t="e">
        <v>#N/A</v>
      </c>
      <c r="CY18" s="2" t="e">
        <v>#N/A</v>
      </c>
      <c r="CZ18" s="2">
        <v>20.705259999999999</v>
      </c>
    </row>
    <row r="19" spans="1:104" ht="15" customHeight="1" x14ac:dyDescent="0.2">
      <c r="A19" s="1">
        <f t="shared" si="0"/>
        <v>13</v>
      </c>
      <c r="B19" s="1" t="s">
        <v>49</v>
      </c>
      <c r="C19" s="1" t="s">
        <v>48</v>
      </c>
      <c r="D19" s="1" t="s">
        <v>20</v>
      </c>
      <c r="E19" s="1" t="s">
        <v>10</v>
      </c>
      <c r="F19" s="1" t="s">
        <v>11</v>
      </c>
      <c r="G19" s="2">
        <v>267280.7</v>
      </c>
      <c r="H19" s="2">
        <v>99.024000000000001</v>
      </c>
      <c r="I19" s="2">
        <v>264672</v>
      </c>
      <c r="J19" s="3">
        <v>663</v>
      </c>
      <c r="K19" s="3">
        <v>0</v>
      </c>
      <c r="L19" s="2">
        <v>0.87481149999999996</v>
      </c>
      <c r="M19" s="2">
        <v>0.97285060000000001</v>
      </c>
      <c r="N19" s="2">
        <v>1.116139</v>
      </c>
      <c r="O19" s="2">
        <v>1.330468</v>
      </c>
      <c r="P19" s="2">
        <v>46.888260000000002</v>
      </c>
      <c r="Q19" s="2">
        <v>35.172409999999999</v>
      </c>
      <c r="R19" s="2">
        <v>29.361809999999998</v>
      </c>
      <c r="S19" s="2">
        <v>22.612549999999999</v>
      </c>
      <c r="T19" s="2">
        <v>28.13916</v>
      </c>
      <c r="U19" s="2">
        <v>28.782630000000001</v>
      </c>
      <c r="V19" s="2">
        <v>23.50329</v>
      </c>
      <c r="W19" s="2">
        <v>18.894819999999999</v>
      </c>
      <c r="X19" s="2">
        <v>29.952559999999998</v>
      </c>
      <c r="Y19" s="2">
        <v>24.17943</v>
      </c>
      <c r="Z19" s="2">
        <v>20.145849999999999</v>
      </c>
      <c r="AA19" s="2">
        <v>15.197710000000001</v>
      </c>
      <c r="AB19" s="2">
        <v>31.097560000000001</v>
      </c>
      <c r="AC19" s="2">
        <v>35.30565</v>
      </c>
      <c r="AD19" s="2">
        <v>26.422339999999998</v>
      </c>
      <c r="AE19" s="2">
        <v>22.2334</v>
      </c>
      <c r="AF19" s="2">
        <v>1.755358</v>
      </c>
      <c r="AG19" s="2">
        <v>2.7136230000000001</v>
      </c>
      <c r="AH19" s="2">
        <v>3.4474269999999998</v>
      </c>
      <c r="AI19" s="2">
        <v>1.7396309999999999</v>
      </c>
      <c r="AJ19" s="2">
        <v>2.6736409999999999</v>
      </c>
      <c r="AK19" s="2">
        <v>3.3843770000000002</v>
      </c>
      <c r="AL19" s="3">
        <v>1.457838</v>
      </c>
      <c r="AM19" s="3">
        <v>1.204755</v>
      </c>
      <c r="AN19" s="2">
        <v>33.459119999999999</v>
      </c>
      <c r="AO19" s="2">
        <v>34.753140000000002</v>
      </c>
      <c r="AP19" s="2">
        <v>37.735239999999997</v>
      </c>
      <c r="AQ19" s="2">
        <v>40.072380000000003</v>
      </c>
      <c r="AR19" s="2">
        <v>-0.52990420000000005</v>
      </c>
      <c r="AS19" s="2">
        <v>-0.26020870000000001</v>
      </c>
      <c r="AT19" s="2">
        <v>-0.3514659</v>
      </c>
      <c r="AU19" s="2">
        <v>-0.35200720000000002</v>
      </c>
      <c r="AV19" s="1" t="s">
        <v>6</v>
      </c>
      <c r="AW19" s="3">
        <v>1.2647060000000001</v>
      </c>
      <c r="AX19" s="3">
        <v>750</v>
      </c>
      <c r="AY19" s="2">
        <v>13.12218</v>
      </c>
      <c r="AZ19" s="2">
        <v>68.745440000000002</v>
      </c>
      <c r="BA19" s="2">
        <v>24</v>
      </c>
      <c r="BB19" s="2">
        <v>50.084890000000001</v>
      </c>
      <c r="BC19" s="2">
        <v>31.59984</v>
      </c>
      <c r="BD19" s="3">
        <v>375.75</v>
      </c>
      <c r="BE19" s="2">
        <v>76.447109999999995</v>
      </c>
      <c r="BF19" s="3">
        <v>698.1</v>
      </c>
      <c r="BG19" s="2">
        <v>-5.0279319999999998</v>
      </c>
      <c r="BH19" s="2">
        <v>40.284230000000001</v>
      </c>
      <c r="BI19" s="2">
        <v>33.975740000000002</v>
      </c>
      <c r="BJ19" s="2">
        <v>33.036909999999999</v>
      </c>
      <c r="BK19" s="2">
        <v>31.005569999999999</v>
      </c>
      <c r="BL19" s="2">
        <v>29</v>
      </c>
      <c r="BM19" s="2">
        <v>27</v>
      </c>
      <c r="BN19" s="4">
        <v>34</v>
      </c>
      <c r="BO19" s="4">
        <v>0</v>
      </c>
      <c r="BP19" s="4">
        <v>2</v>
      </c>
      <c r="BQ19" s="4">
        <v>34</v>
      </c>
      <c r="BR19" s="2">
        <v>0</v>
      </c>
      <c r="BS19" s="4">
        <v>27</v>
      </c>
      <c r="BT19" s="4">
        <v>1</v>
      </c>
      <c r="BU19" s="4">
        <v>34</v>
      </c>
      <c r="BV19" s="2">
        <v>79.411770000000004</v>
      </c>
      <c r="BW19" s="2">
        <v>10.0913</v>
      </c>
      <c r="BX19" s="2">
        <v>403.13819999999998</v>
      </c>
      <c r="BY19" s="3">
        <v>0.70131010000000005</v>
      </c>
      <c r="BZ19" s="3">
        <v>0.1739627</v>
      </c>
      <c r="CA19" s="2">
        <v>1.7653300000000001</v>
      </c>
      <c r="CB19" s="3">
        <v>0.1739627</v>
      </c>
      <c r="CC19" s="3">
        <v>18.586400000000001</v>
      </c>
      <c r="CD19" s="3">
        <v>18.818809999999999</v>
      </c>
      <c r="CE19" s="2">
        <v>1.2504580000000001</v>
      </c>
      <c r="CF19" s="3">
        <v>8461.1039999999994</v>
      </c>
      <c r="CG19" s="3">
        <v>8532.2289999999994</v>
      </c>
      <c r="CH19" s="2">
        <v>0.84061620000000004</v>
      </c>
      <c r="CI19" s="3">
        <v>731.17859999999996</v>
      </c>
      <c r="CJ19" s="2">
        <v>2.574122</v>
      </c>
      <c r="CK19" s="3">
        <v>26318.45</v>
      </c>
      <c r="CL19" s="3">
        <v>26514.23</v>
      </c>
      <c r="CM19" s="2">
        <v>0.74388980000000005</v>
      </c>
      <c r="CN19" s="3">
        <v>583.12559999999996</v>
      </c>
      <c r="CO19" s="3">
        <v>646.42939999999999</v>
      </c>
      <c r="CP19" s="3">
        <v>658.38459999999998</v>
      </c>
      <c r="CQ19" s="2">
        <v>13.69764</v>
      </c>
      <c r="CR19" s="2">
        <v>2.5634049999999999</v>
      </c>
      <c r="CS19" s="2">
        <v>0.70101020000000003</v>
      </c>
      <c r="CT19" s="2">
        <v>10.85594</v>
      </c>
      <c r="CU19" s="2">
        <v>376.21809999999999</v>
      </c>
      <c r="CV19" s="3">
        <v>0.14075770000000001</v>
      </c>
      <c r="CW19" s="2">
        <v>18.136330000000001</v>
      </c>
      <c r="CX19" s="2">
        <v>6.5025209999999998</v>
      </c>
      <c r="CY19" s="2">
        <v>13.71641</v>
      </c>
      <c r="CZ19" s="2">
        <v>20.91919</v>
      </c>
    </row>
    <row r="20" spans="1:104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52</v>
      </c>
      <c r="E20" s="1" t="s">
        <v>53</v>
      </c>
      <c r="F20" s="1" t="s">
        <v>54</v>
      </c>
      <c r="G20" s="2">
        <v>440447</v>
      </c>
      <c r="H20" s="2">
        <v>51.313200000000002</v>
      </c>
      <c r="I20" s="2">
        <v>226007.5</v>
      </c>
      <c r="J20" s="3">
        <v>877.3</v>
      </c>
      <c r="K20" s="3">
        <v>0</v>
      </c>
      <c r="L20" s="2">
        <v>1.3678330000000001</v>
      </c>
      <c r="M20" s="2">
        <v>1.5958049999999999</v>
      </c>
      <c r="N20" s="2">
        <v>1.766214</v>
      </c>
      <c r="O20" s="2">
        <v>1.9702500000000001</v>
      </c>
      <c r="P20" s="2">
        <v>31.29861</v>
      </c>
      <c r="Q20" s="2">
        <v>26.70355</v>
      </c>
      <c r="R20" s="2">
        <v>24.14808</v>
      </c>
      <c r="S20" s="2">
        <v>22.082339999999999</v>
      </c>
      <c r="T20" s="2">
        <v>13.097619999999999</v>
      </c>
      <c r="U20" s="2">
        <v>15.120139999999999</v>
      </c>
      <c r="V20" s="2">
        <v>13.62787</v>
      </c>
      <c r="W20" s="2">
        <v>11.895799999999999</v>
      </c>
      <c r="X20" s="2">
        <v>7.9961719999999996</v>
      </c>
      <c r="Y20" s="2">
        <v>6.7745170000000003</v>
      </c>
      <c r="Z20" s="2">
        <v>5.7846500000000001</v>
      </c>
      <c r="AA20" s="2">
        <v>4.9934539999999998</v>
      </c>
      <c r="AB20" s="2">
        <v>24.719639999999998</v>
      </c>
      <c r="AC20" s="2">
        <v>19.55828</v>
      </c>
      <c r="AD20" s="2">
        <v>17.76577</v>
      </c>
      <c r="AE20" s="2">
        <v>16.42679</v>
      </c>
      <c r="AF20" s="2">
        <v>3.6535259999999998</v>
      </c>
      <c r="AG20" s="2">
        <v>4.2496830000000001</v>
      </c>
      <c r="AH20" s="2">
        <v>4.4717549999999999</v>
      </c>
      <c r="AI20" s="2">
        <v>3.6842760000000001</v>
      </c>
      <c r="AJ20" s="2">
        <v>4.1976690000000003</v>
      </c>
      <c r="AK20" s="2">
        <v>4.3364180000000001</v>
      </c>
      <c r="AL20" s="3">
        <v>1.918264</v>
      </c>
      <c r="AM20" s="3">
        <v>1.730151</v>
      </c>
      <c r="AN20" s="2">
        <v>33.87894</v>
      </c>
      <c r="AO20" s="2">
        <v>33.246420000000001</v>
      </c>
      <c r="AP20" s="2">
        <v>33.465769999999999</v>
      </c>
      <c r="AQ20" s="2">
        <v>35.0503</v>
      </c>
      <c r="AR20" s="2">
        <v>0.34298669999999998</v>
      </c>
      <c r="AS20" s="2">
        <v>0.12619569999999999</v>
      </c>
      <c r="AT20" s="2">
        <v>-0.1688655</v>
      </c>
      <c r="AU20" s="2">
        <v>-0.37125900000000001</v>
      </c>
      <c r="AV20" s="1" t="s">
        <v>6</v>
      </c>
      <c r="AW20" s="3">
        <v>1.2068970000000001</v>
      </c>
      <c r="AX20" s="3">
        <v>960</v>
      </c>
      <c r="AY20" s="2">
        <v>9.4266529999999999</v>
      </c>
      <c r="AZ20" s="2">
        <v>25.369350000000001</v>
      </c>
      <c r="BA20" s="2">
        <v>13.815630000000001</v>
      </c>
      <c r="BB20" s="2">
        <v>44.721209999999999</v>
      </c>
      <c r="BC20" s="2">
        <v>29.033670000000001</v>
      </c>
      <c r="BD20" s="3">
        <v>587.5</v>
      </c>
      <c r="BE20" s="2">
        <v>49.327660000000002</v>
      </c>
      <c r="BF20" s="3">
        <v>904.6</v>
      </c>
      <c r="BG20" s="2">
        <v>-3.0179079999999998</v>
      </c>
      <c r="BH20" s="2">
        <v>43.07884</v>
      </c>
      <c r="BI20" s="2">
        <v>42.60924</v>
      </c>
      <c r="BJ20" s="2">
        <v>42.282440000000001</v>
      </c>
      <c r="BK20" s="2">
        <v>43.410499999999999</v>
      </c>
      <c r="BL20" s="2">
        <v>27</v>
      </c>
      <c r="BM20" s="2">
        <v>26</v>
      </c>
      <c r="BN20" s="4">
        <v>29</v>
      </c>
      <c r="BO20" s="4">
        <v>1</v>
      </c>
      <c r="BP20" s="4">
        <v>0</v>
      </c>
      <c r="BQ20" s="4">
        <v>29</v>
      </c>
      <c r="BR20" s="2">
        <v>3.3333330000000001</v>
      </c>
      <c r="BS20" s="4">
        <v>25</v>
      </c>
      <c r="BT20" s="4">
        <v>1</v>
      </c>
      <c r="BU20" s="4">
        <v>29</v>
      </c>
      <c r="BV20" s="2">
        <v>86.206890000000001</v>
      </c>
      <c r="BW20" s="2">
        <v>7.3809399999999998</v>
      </c>
      <c r="BX20" s="2">
        <v>502.04840000000002</v>
      </c>
      <c r="BY20" s="3">
        <v>0.35858020000000002</v>
      </c>
      <c r="BZ20" s="3">
        <v>7.1423429999999996E-2</v>
      </c>
      <c r="CA20" s="2">
        <v>1.11677</v>
      </c>
      <c r="CB20" s="3">
        <v>7.1423429999999996E-2</v>
      </c>
      <c r="CC20" s="3">
        <v>32.828699999999998</v>
      </c>
      <c r="CD20" s="3">
        <v>33.103149999999999</v>
      </c>
      <c r="CE20" s="2">
        <v>0.83600280000000005</v>
      </c>
      <c r="CF20" s="3">
        <v>23974.880000000001</v>
      </c>
      <c r="CG20" s="3">
        <v>24200.83</v>
      </c>
      <c r="CH20" s="2">
        <v>0.94244479999999997</v>
      </c>
      <c r="CI20" s="3">
        <v>934.39290000000005</v>
      </c>
      <c r="CJ20" s="2">
        <v>2.7405140000000001</v>
      </c>
      <c r="CK20" s="3">
        <v>87596.81</v>
      </c>
      <c r="CL20" s="3">
        <v>88087.6</v>
      </c>
      <c r="CM20" s="2">
        <v>0.56028370000000005</v>
      </c>
      <c r="CN20" s="3">
        <v>780.39120000000003</v>
      </c>
      <c r="CO20" s="3">
        <v>848.08029999999997</v>
      </c>
      <c r="CP20" s="3">
        <v>844.26930000000004</v>
      </c>
      <c r="CQ20" s="2">
        <v>12.41797</v>
      </c>
      <c r="CR20" s="2">
        <v>3.4453870000000002</v>
      </c>
      <c r="CS20" s="2">
        <v>3.9123420000000002</v>
      </c>
      <c r="CT20" s="2">
        <v>8.6737389999999994</v>
      </c>
      <c r="CU20" s="2">
        <v>281.50549999999998</v>
      </c>
      <c r="CV20" s="3">
        <v>6.3913579999999998E-2</v>
      </c>
      <c r="CW20" s="2" t="e">
        <v>#N/A</v>
      </c>
      <c r="CX20" s="2">
        <v>4.5815000000000001</v>
      </c>
      <c r="CY20" s="2" t="e">
        <v>#N/A</v>
      </c>
      <c r="CZ20" s="2">
        <v>21.616160000000001</v>
      </c>
    </row>
    <row r="21" spans="1:104" ht="15" customHeight="1" x14ac:dyDescent="0.2">
      <c r="A21" s="1">
        <f t="shared" si="0"/>
        <v>15</v>
      </c>
      <c r="B21" s="1" t="s">
        <v>56</v>
      </c>
      <c r="C21" s="1" t="s">
        <v>55</v>
      </c>
      <c r="D21" s="1" t="s">
        <v>23</v>
      </c>
      <c r="E21" s="1" t="s">
        <v>4</v>
      </c>
      <c r="F21" s="1" t="s">
        <v>5</v>
      </c>
      <c r="G21" s="2">
        <v>56490.76</v>
      </c>
      <c r="H21" s="2">
        <v>99.541600000000003</v>
      </c>
      <c r="I21" s="2">
        <v>56231.81</v>
      </c>
      <c r="J21" s="3">
        <v>3.4904999999999999</v>
      </c>
      <c r="K21" s="3">
        <v>0</v>
      </c>
      <c r="L21" s="2">
        <v>3.151411</v>
      </c>
      <c r="M21" s="2">
        <v>4.2973790000000003</v>
      </c>
      <c r="N21" s="2">
        <v>5.1568550000000002</v>
      </c>
      <c r="O21" s="2">
        <v>6.01633</v>
      </c>
      <c r="P21" s="2">
        <v>6.4758820000000004</v>
      </c>
      <c r="Q21" s="2">
        <v>5.9532030000000002</v>
      </c>
      <c r="R21" s="2">
        <v>5.516438</v>
      </c>
      <c r="S21" s="2">
        <v>5.1025450000000001</v>
      </c>
      <c r="T21" s="2" t="e">
        <v>#N/A</v>
      </c>
      <c r="U21" s="2" t="e">
        <v>#N/A</v>
      </c>
      <c r="V21" s="2" t="e">
        <v>#N/A</v>
      </c>
      <c r="W21" s="2" t="e">
        <v>#N/A</v>
      </c>
      <c r="X21" s="2">
        <v>0.64879180000000003</v>
      </c>
      <c r="Y21" s="2">
        <v>0.60077449999999999</v>
      </c>
      <c r="Z21" s="2">
        <v>0.55404759999999997</v>
      </c>
      <c r="AA21" s="2">
        <v>0.51558349999999997</v>
      </c>
      <c r="AB21" s="2" t="e">
        <v>#N/A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3">
        <v>0.85091190000000005</v>
      </c>
      <c r="AM21" s="3">
        <v>0.7731903</v>
      </c>
      <c r="AN21" s="2" t="e">
        <v>#N/A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1" t="s">
        <v>6</v>
      </c>
      <c r="AW21" s="3">
        <v>1.4038459999999999</v>
      </c>
      <c r="AX21" s="3">
        <v>4.55</v>
      </c>
      <c r="AY21" s="2">
        <v>30.353819999999999</v>
      </c>
      <c r="AZ21" s="2">
        <v>10.091620000000001</v>
      </c>
      <c r="BA21" s="2">
        <v>7.0545410000000004</v>
      </c>
      <c r="BB21" s="2">
        <v>42.673209999999997</v>
      </c>
      <c r="BC21" s="2">
        <v>24.549510000000001</v>
      </c>
      <c r="BD21" s="3">
        <v>2.3239999999999998</v>
      </c>
      <c r="BE21" s="2">
        <v>50.193640000000002</v>
      </c>
      <c r="BF21" s="3">
        <v>3.8725000000000001</v>
      </c>
      <c r="BG21" s="2">
        <v>-9.8644259999999999</v>
      </c>
      <c r="BH21" s="2">
        <v>23.634329999999999</v>
      </c>
      <c r="BI21" s="2">
        <v>30.969370000000001</v>
      </c>
      <c r="BJ21" s="2">
        <v>32.89425</v>
      </c>
      <c r="BK21" s="2">
        <v>35.68177</v>
      </c>
      <c r="BL21" s="2">
        <v>23</v>
      </c>
      <c r="BM21" s="2">
        <v>15</v>
      </c>
      <c r="BN21" s="4">
        <v>26</v>
      </c>
      <c r="BO21" s="4">
        <v>0</v>
      </c>
      <c r="BP21" s="4">
        <v>2</v>
      </c>
      <c r="BQ21" s="4">
        <v>25</v>
      </c>
      <c r="BR21" s="2">
        <v>0</v>
      </c>
      <c r="BS21" s="4">
        <v>17</v>
      </c>
      <c r="BT21" s="4">
        <v>1</v>
      </c>
      <c r="BU21" s="4">
        <v>26</v>
      </c>
      <c r="BV21" s="2">
        <v>65.384609999999995</v>
      </c>
      <c r="BW21" s="2">
        <v>11.8857</v>
      </c>
      <c r="BX21" s="2">
        <v>16184.15</v>
      </c>
      <c r="BY21" s="3">
        <v>47.406680000000001</v>
      </c>
      <c r="BZ21" s="3">
        <v>0.29292049999999997</v>
      </c>
      <c r="CA21" s="2">
        <v>1.7062900000000001</v>
      </c>
      <c r="CB21" s="3">
        <v>0.29292049999999997</v>
      </c>
      <c r="CC21" s="3">
        <v>0.56709639999999994</v>
      </c>
      <c r="CD21" s="3">
        <v>0.58147930000000003</v>
      </c>
      <c r="CE21" s="2">
        <v>2.5362490000000002</v>
      </c>
      <c r="CF21" s="3">
        <v>30665.51</v>
      </c>
      <c r="CG21" s="3">
        <v>32349.74</v>
      </c>
      <c r="CH21" s="2">
        <v>5.4922579999999996</v>
      </c>
      <c r="CI21" s="3">
        <v>4.6652170000000002</v>
      </c>
      <c r="CJ21" s="2">
        <v>-2.4697070000000001</v>
      </c>
      <c r="CK21" s="3">
        <v>55795.88</v>
      </c>
      <c r="CL21" s="3">
        <v>55843.11</v>
      </c>
      <c r="CM21" s="2">
        <v>8.4638599999999994E-2</v>
      </c>
      <c r="CN21" s="3">
        <v>3.1180810000000001</v>
      </c>
      <c r="CO21" s="3">
        <v>3.213117</v>
      </c>
      <c r="CP21" s="3">
        <v>3.2642890000000002</v>
      </c>
      <c r="CQ21" s="2">
        <v>11.943849999999999</v>
      </c>
      <c r="CR21" s="2">
        <v>8.6328139999999998</v>
      </c>
      <c r="CS21" s="2">
        <v>6.9298859999999998</v>
      </c>
      <c r="CT21" s="2">
        <v>3.0479189999999998</v>
      </c>
      <c r="CU21" s="2">
        <v>142.6628</v>
      </c>
      <c r="CV21" s="3">
        <v>0.25254179999999998</v>
      </c>
      <c r="CW21" s="2">
        <v>7.3406450000000003</v>
      </c>
      <c r="CX21" s="2">
        <v>1.5245569999999999</v>
      </c>
      <c r="CY21" s="2">
        <v>2.0341490000000002</v>
      </c>
      <c r="CZ21" s="2">
        <v>21.737369999999999</v>
      </c>
    </row>
    <row r="22" spans="1:104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9</v>
      </c>
      <c r="E22" s="1" t="s">
        <v>59</v>
      </c>
      <c r="F22" s="1" t="s">
        <v>60</v>
      </c>
      <c r="G22" s="2">
        <v>157150.20000000001</v>
      </c>
      <c r="H22" s="2">
        <v>83.305700000000002</v>
      </c>
      <c r="I22" s="2">
        <v>130915.1</v>
      </c>
      <c r="J22" s="3">
        <v>127.92</v>
      </c>
      <c r="K22" s="3">
        <v>0</v>
      </c>
      <c r="L22" s="2">
        <v>1.563477</v>
      </c>
      <c r="M22" s="2">
        <v>1.6042529999999999</v>
      </c>
      <c r="N22" s="2">
        <v>1.7099930000000001</v>
      </c>
      <c r="O22" s="2">
        <v>1.837086</v>
      </c>
      <c r="P22" s="2">
        <v>31.35294</v>
      </c>
      <c r="Q22" s="2">
        <v>24.321750000000002</v>
      </c>
      <c r="R22" s="2">
        <v>20.632259999999999</v>
      </c>
      <c r="S22" s="2">
        <v>17.547180000000001</v>
      </c>
      <c r="T22" s="2">
        <v>18.026160000000001</v>
      </c>
      <c r="U22" s="2">
        <v>15.632669999999999</v>
      </c>
      <c r="V22" s="2">
        <v>13.497640000000001</v>
      </c>
      <c r="W22" s="2">
        <v>11.71654</v>
      </c>
      <c r="X22" s="2">
        <v>3.7281909999999998</v>
      </c>
      <c r="Y22" s="2">
        <v>3.5726849999999999</v>
      </c>
      <c r="Z22" s="2">
        <v>3.3574799999999998</v>
      </c>
      <c r="AA22" s="2">
        <v>3.0820379999999998</v>
      </c>
      <c r="AB22" s="2">
        <v>26.521550000000001</v>
      </c>
      <c r="AC22" s="2">
        <v>24.647400000000001</v>
      </c>
      <c r="AD22" s="2">
        <v>20.074269999999999</v>
      </c>
      <c r="AE22" s="2">
        <v>16.809460000000001</v>
      </c>
      <c r="AF22" s="2">
        <v>3.2222729999999999</v>
      </c>
      <c r="AG22" s="2">
        <v>4.1834949999999997</v>
      </c>
      <c r="AH22" s="2">
        <v>5.1418090000000003</v>
      </c>
      <c r="AI22" s="2">
        <v>3.1476160000000002</v>
      </c>
      <c r="AJ22" s="2">
        <v>4.0019970000000002</v>
      </c>
      <c r="AK22" s="2">
        <v>4.8140689999999999</v>
      </c>
      <c r="AL22" s="3">
        <v>1.3049679999999999</v>
      </c>
      <c r="AM22" s="3">
        <v>1.10466</v>
      </c>
      <c r="AN22" s="2">
        <v>22.08943</v>
      </c>
      <c r="AO22" s="2">
        <v>31.508959999999998</v>
      </c>
      <c r="AP22" s="2">
        <v>32.83858</v>
      </c>
      <c r="AQ22" s="2">
        <v>33.45881</v>
      </c>
      <c r="AR22" s="2">
        <v>0.66121859999999999</v>
      </c>
      <c r="AS22" s="2">
        <v>-0.3707838</v>
      </c>
      <c r="AT22" s="2">
        <v>-0.61214239999999998</v>
      </c>
      <c r="AU22" s="2">
        <v>-0.79765649999999999</v>
      </c>
      <c r="AV22" s="1" t="s">
        <v>6</v>
      </c>
      <c r="AW22" s="3">
        <v>1.357143</v>
      </c>
      <c r="AX22" s="3">
        <v>140</v>
      </c>
      <c r="AY22" s="2">
        <v>9.4434020000000007</v>
      </c>
      <c r="AZ22" s="2">
        <v>14.689260000000001</v>
      </c>
      <c r="BA22" s="2">
        <v>19.7</v>
      </c>
      <c r="BB22" s="2">
        <v>49.771680000000003</v>
      </c>
      <c r="BC22" s="2">
        <v>32.710859999999997</v>
      </c>
      <c r="BD22" s="3">
        <v>79.58</v>
      </c>
      <c r="BE22" s="2">
        <v>60.743899999999996</v>
      </c>
      <c r="BF22" s="3">
        <v>128.36000000000001</v>
      </c>
      <c r="BG22" s="2">
        <v>-0.34278629999999999</v>
      </c>
      <c r="BH22" s="2">
        <v>48.987659999999998</v>
      </c>
      <c r="BI22" s="2">
        <v>38.886800000000001</v>
      </c>
      <c r="BJ22" s="2">
        <v>35.187370000000001</v>
      </c>
      <c r="BK22" s="2">
        <v>32.405859999999997</v>
      </c>
      <c r="BL22" s="2">
        <v>28</v>
      </c>
      <c r="BM22" s="2">
        <v>25</v>
      </c>
      <c r="BN22" s="4">
        <v>28</v>
      </c>
      <c r="BO22" s="4">
        <v>3</v>
      </c>
      <c r="BP22" s="4">
        <v>1</v>
      </c>
      <c r="BQ22" s="4">
        <v>27</v>
      </c>
      <c r="BR22" s="2">
        <v>9.6774190000000004</v>
      </c>
      <c r="BS22" s="4">
        <v>20</v>
      </c>
      <c r="BT22" s="4">
        <v>0</v>
      </c>
      <c r="BU22" s="4">
        <v>28</v>
      </c>
      <c r="BV22" s="2">
        <v>71.428569999999993</v>
      </c>
      <c r="BW22" s="2">
        <v>8.7670300000000001</v>
      </c>
      <c r="BX22" s="2">
        <v>1228.5039999999999</v>
      </c>
      <c r="BY22" s="3">
        <v>1.800805</v>
      </c>
      <c r="BZ22" s="3">
        <v>0.1465852</v>
      </c>
      <c r="CA22" s="2">
        <v>1.2246600000000001</v>
      </c>
      <c r="CB22" s="3">
        <v>0.1465852</v>
      </c>
      <c r="CC22" s="3">
        <v>5.327102</v>
      </c>
      <c r="CD22" s="3">
        <v>5.2332830000000001</v>
      </c>
      <c r="CE22" s="2">
        <v>-1.761174</v>
      </c>
      <c r="CF22" s="3">
        <v>8787.4429999999993</v>
      </c>
      <c r="CG22" s="3">
        <v>8717.2450000000008</v>
      </c>
      <c r="CH22" s="2">
        <v>-0.79884529999999998</v>
      </c>
      <c r="CI22" s="3">
        <v>124.3913</v>
      </c>
      <c r="CJ22" s="2">
        <v>12.548069999999999</v>
      </c>
      <c r="CK22" s="3">
        <v>31985.55</v>
      </c>
      <c r="CL22" s="3">
        <v>31248.14</v>
      </c>
      <c r="CM22" s="2">
        <v>-2.3054420000000002</v>
      </c>
      <c r="CN22" s="3">
        <v>110.45310000000001</v>
      </c>
      <c r="CO22" s="3">
        <v>123.0874</v>
      </c>
      <c r="CP22" s="3">
        <v>123.7092</v>
      </c>
      <c r="CQ22" s="2">
        <v>15.813879999999999</v>
      </c>
      <c r="CR22" s="2">
        <v>3.9261219999999999</v>
      </c>
      <c r="CS22" s="2">
        <v>3.403759</v>
      </c>
      <c r="CT22" s="2">
        <v>11.43866</v>
      </c>
      <c r="CU22" s="2">
        <v>199.65799999999999</v>
      </c>
      <c r="CV22" s="3">
        <v>0.1270491</v>
      </c>
      <c r="CW22" s="2">
        <v>15.206950000000001</v>
      </c>
      <c r="CX22" s="2">
        <v>1.397659</v>
      </c>
      <c r="CY22" s="2">
        <v>0.60402160000000005</v>
      </c>
      <c r="CZ22" s="2">
        <v>22.161619999999999</v>
      </c>
    </row>
    <row r="23" spans="1:104" ht="15" customHeight="1" x14ac:dyDescent="0.2">
      <c r="A23" s="1">
        <f t="shared" si="0"/>
        <v>17</v>
      </c>
      <c r="B23" s="1" t="s">
        <v>62</v>
      </c>
      <c r="C23" s="1" t="s">
        <v>61</v>
      </c>
      <c r="D23" s="1" t="s">
        <v>52</v>
      </c>
      <c r="E23" s="1" t="s">
        <v>53</v>
      </c>
      <c r="F23" s="1" t="s">
        <v>54</v>
      </c>
      <c r="G23" s="2">
        <v>207422.8</v>
      </c>
      <c r="H23" s="2">
        <v>24.419599999999999</v>
      </c>
      <c r="I23" s="2">
        <v>50651.81</v>
      </c>
      <c r="J23" s="3">
        <v>1964.8</v>
      </c>
      <c r="K23" s="3">
        <v>0</v>
      </c>
      <c r="L23" s="2">
        <v>0.66164489999999998</v>
      </c>
      <c r="M23" s="2">
        <v>0.77157980000000004</v>
      </c>
      <c r="N23" s="2">
        <v>0.865228</v>
      </c>
      <c r="O23" s="2">
        <v>0.95047839999999995</v>
      </c>
      <c r="P23" s="2">
        <v>61.227800000000002</v>
      </c>
      <c r="Q23" s="2">
        <v>52.200960000000002</v>
      </c>
      <c r="R23" s="2">
        <v>46.253390000000003</v>
      </c>
      <c r="S23" s="2">
        <v>42.602240000000002</v>
      </c>
      <c r="T23" s="2">
        <v>27.02862</v>
      </c>
      <c r="U23" s="2">
        <v>31.502949999999998</v>
      </c>
      <c r="V23" s="2">
        <v>27.700990000000001</v>
      </c>
      <c r="W23" s="2">
        <v>24.575469999999999</v>
      </c>
      <c r="X23" s="2">
        <v>16.54429</v>
      </c>
      <c r="Y23" s="2">
        <v>13.683820000000001</v>
      </c>
      <c r="Z23" s="2">
        <v>11.586959999999999</v>
      </c>
      <c r="AA23" s="2">
        <v>9.8102660000000004</v>
      </c>
      <c r="AB23" s="2">
        <v>50.067169999999997</v>
      </c>
      <c r="AC23" s="2">
        <v>45.594070000000002</v>
      </c>
      <c r="AD23" s="2">
        <v>40.250100000000003</v>
      </c>
      <c r="AE23" s="2">
        <v>36.364649999999997</v>
      </c>
      <c r="AF23" s="2">
        <v>1.9214310000000001</v>
      </c>
      <c r="AG23" s="2">
        <v>2.2564340000000001</v>
      </c>
      <c r="AH23" s="2">
        <v>2.5462359999999999</v>
      </c>
      <c r="AI23" s="2">
        <v>1.8190230000000001</v>
      </c>
      <c r="AJ23" s="2">
        <v>2.1122239999999999</v>
      </c>
      <c r="AK23" s="2">
        <v>2.3509370000000001</v>
      </c>
      <c r="AL23" s="3">
        <v>5.1292200000000001</v>
      </c>
      <c r="AM23" s="3">
        <v>4.537236</v>
      </c>
      <c r="AN23" s="2">
        <v>45.716259999999998</v>
      </c>
      <c r="AO23" s="2">
        <v>46.250120000000003</v>
      </c>
      <c r="AP23" s="2">
        <v>45.812809999999999</v>
      </c>
      <c r="AQ23" s="2">
        <v>46.431179999999998</v>
      </c>
      <c r="AR23" s="2">
        <v>-1.732278</v>
      </c>
      <c r="AS23" s="2">
        <v>-1.773563</v>
      </c>
      <c r="AT23" s="2">
        <v>-1.8912640000000001</v>
      </c>
      <c r="AU23" s="2">
        <v>-2.0415559999999999</v>
      </c>
      <c r="AV23" s="1" t="s">
        <v>63</v>
      </c>
      <c r="AW23" s="3">
        <v>1.6904760000000001</v>
      </c>
      <c r="AX23" s="3">
        <v>1950</v>
      </c>
      <c r="AY23" s="2">
        <v>-0.75325969999999998</v>
      </c>
      <c r="AZ23" s="2">
        <v>26.213740000000001</v>
      </c>
      <c r="BA23" s="2">
        <v>11.30804</v>
      </c>
      <c r="BB23" s="2">
        <v>78.29401</v>
      </c>
      <c r="BC23" s="2">
        <v>35.972320000000003</v>
      </c>
      <c r="BD23" s="3">
        <v>1075</v>
      </c>
      <c r="BE23" s="2">
        <v>82.772099999999995</v>
      </c>
      <c r="BF23" s="3">
        <v>2036</v>
      </c>
      <c r="BG23" s="2">
        <v>-3.497052</v>
      </c>
      <c r="BH23" s="2">
        <v>40.544060000000002</v>
      </c>
      <c r="BI23" s="2">
        <v>39.746479999999998</v>
      </c>
      <c r="BJ23" s="2">
        <v>39.495049999999999</v>
      </c>
      <c r="BK23" s="2">
        <v>39.29327</v>
      </c>
      <c r="BL23" s="2">
        <v>20</v>
      </c>
      <c r="BM23" s="2">
        <v>19</v>
      </c>
      <c r="BN23" s="4">
        <v>21</v>
      </c>
      <c r="BO23" s="4">
        <v>0</v>
      </c>
      <c r="BP23" s="4">
        <v>0</v>
      </c>
      <c r="BQ23" s="4">
        <v>21</v>
      </c>
      <c r="BR23" s="2">
        <v>0</v>
      </c>
      <c r="BS23" s="4">
        <v>8</v>
      </c>
      <c r="BT23" s="4">
        <v>1</v>
      </c>
      <c r="BU23" s="4">
        <v>21</v>
      </c>
      <c r="BV23" s="2">
        <v>38.095239999999997</v>
      </c>
      <c r="BW23" s="2">
        <v>9.1249900000000004</v>
      </c>
      <c r="BX23" s="2">
        <v>105.5694</v>
      </c>
      <c r="BY23" s="3">
        <v>6.3550060000000005E-2</v>
      </c>
      <c r="BZ23" s="3">
        <v>6.0197420000000001E-2</v>
      </c>
      <c r="CA23" s="2">
        <v>0.80841300000000005</v>
      </c>
      <c r="CB23" s="3">
        <v>6.0197420000000001E-2</v>
      </c>
      <c r="CC23" s="3">
        <v>36.344009999999997</v>
      </c>
      <c r="CD23" s="3">
        <v>37.547350000000002</v>
      </c>
      <c r="CE23" s="2">
        <v>3.310978</v>
      </c>
      <c r="CF23" s="3">
        <v>5370.7389999999996</v>
      </c>
      <c r="CG23" s="3">
        <v>5548.48</v>
      </c>
      <c r="CH23" s="2">
        <v>3.3094290000000002</v>
      </c>
      <c r="CI23" s="3">
        <v>1759.6189999999999</v>
      </c>
      <c r="CJ23" s="2">
        <v>10.81945</v>
      </c>
      <c r="CK23" s="3">
        <v>13204.53</v>
      </c>
      <c r="CL23" s="3">
        <v>13507.06</v>
      </c>
      <c r="CM23" s="2">
        <v>2.2910710000000001</v>
      </c>
      <c r="CN23" s="3">
        <v>1702.8389999999999</v>
      </c>
      <c r="CO23" s="3">
        <v>1944.5940000000001</v>
      </c>
      <c r="CP23" s="3">
        <v>1934.2619999999999</v>
      </c>
      <c r="CQ23" s="2">
        <v>15.383760000000001</v>
      </c>
      <c r="CR23" s="2">
        <v>1.039088</v>
      </c>
      <c r="CS23" s="2">
        <v>1.578808</v>
      </c>
      <c r="CT23" s="2">
        <v>14.19716</v>
      </c>
      <c r="CU23" s="2">
        <v>112.3436</v>
      </c>
      <c r="CV23" s="3">
        <v>5.4161639999999997E-2</v>
      </c>
      <c r="CW23" s="2" t="e">
        <v>#N/A</v>
      </c>
      <c r="CX23" s="2">
        <v>6.5629759999999999</v>
      </c>
      <c r="CY23" s="2" t="e">
        <v>#N/A</v>
      </c>
      <c r="CZ23" s="2">
        <v>23.151520000000001</v>
      </c>
    </row>
    <row r="24" spans="1:104" ht="15" customHeight="1" x14ac:dyDescent="0.2">
      <c r="A24" s="1">
        <f t="shared" si="0"/>
        <v>18</v>
      </c>
      <c r="B24" s="1" t="s">
        <v>65</v>
      </c>
      <c r="C24" s="1" t="s">
        <v>64</v>
      </c>
      <c r="D24" s="1" t="s">
        <v>66</v>
      </c>
      <c r="E24" s="1" t="s">
        <v>4</v>
      </c>
      <c r="F24" s="1" t="s">
        <v>5</v>
      </c>
      <c r="G24" s="2">
        <v>36525.22</v>
      </c>
      <c r="H24" s="2" t="e">
        <v>#N/A</v>
      </c>
      <c r="I24" s="2" t="e">
        <v>#N/A</v>
      </c>
      <c r="J24" s="3">
        <v>10.176</v>
      </c>
      <c r="K24" s="3">
        <v>0</v>
      </c>
      <c r="L24" s="2">
        <v>7.8616359999999998</v>
      </c>
      <c r="M24" s="2">
        <v>9.0408810000000006</v>
      </c>
      <c r="N24" s="2">
        <v>9.3356919999999999</v>
      </c>
      <c r="O24" s="2">
        <v>9.3356919999999999</v>
      </c>
      <c r="P24" s="2">
        <v>9.250909</v>
      </c>
      <c r="Q24" s="2">
        <v>7.4277369999999996</v>
      </c>
      <c r="R24" s="2">
        <v>7.3472920000000004</v>
      </c>
      <c r="S24" s="2">
        <v>7.2427039999999998</v>
      </c>
      <c r="T24" s="2" t="e">
        <v>#N/A</v>
      </c>
      <c r="U24" s="2" t="e">
        <v>#N/A</v>
      </c>
      <c r="V24" s="2" t="e">
        <v>#N/A</v>
      </c>
      <c r="W24" s="2" t="e">
        <v>#N/A</v>
      </c>
      <c r="X24" s="2">
        <v>1.188785</v>
      </c>
      <c r="Y24" s="2">
        <v>1.1832560000000001</v>
      </c>
      <c r="Z24" s="2">
        <v>1.1306670000000001</v>
      </c>
      <c r="AA24" s="2">
        <v>1.0883419999999999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3">
        <v>0.69743339999999998</v>
      </c>
      <c r="AM24" s="3">
        <v>0.68229759999999995</v>
      </c>
      <c r="AN24" s="2" t="e">
        <v>#N/A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1" t="s">
        <v>6</v>
      </c>
      <c r="AW24" s="3">
        <v>1.3653850000000001</v>
      </c>
      <c r="AX24" s="3">
        <v>12.515180000000001</v>
      </c>
      <c r="AY24" s="2">
        <v>22.987210000000001</v>
      </c>
      <c r="AZ24" s="2">
        <v>15.93023</v>
      </c>
      <c r="BA24" s="2">
        <v>10.82587</v>
      </c>
      <c r="BB24" s="2">
        <v>17.059699999999999</v>
      </c>
      <c r="BC24" s="2">
        <v>1.4556290000000001</v>
      </c>
      <c r="BD24" s="3">
        <v>8.3949999999999996</v>
      </c>
      <c r="BE24" s="2">
        <v>21.215</v>
      </c>
      <c r="BF24" s="3">
        <v>12.157999999999999</v>
      </c>
      <c r="BG24" s="2">
        <v>-16.302019999999999</v>
      </c>
      <c r="BH24" s="2">
        <v>70.476190000000003</v>
      </c>
      <c r="BI24" s="2">
        <v>67.860150000000004</v>
      </c>
      <c r="BJ24" s="2">
        <v>68.714550000000003</v>
      </c>
      <c r="BK24" s="2">
        <v>68.988730000000004</v>
      </c>
      <c r="BL24" s="2">
        <v>26</v>
      </c>
      <c r="BM24" s="2">
        <v>20</v>
      </c>
      <c r="BN24" s="4">
        <v>26</v>
      </c>
      <c r="BO24" s="4">
        <v>1</v>
      </c>
      <c r="BP24" s="4">
        <v>1</v>
      </c>
      <c r="BQ24" s="4">
        <v>25</v>
      </c>
      <c r="BR24" s="2">
        <v>3.7037040000000001</v>
      </c>
      <c r="BS24" s="4">
        <v>18</v>
      </c>
      <c r="BT24" s="4">
        <v>0</v>
      </c>
      <c r="BU24" s="4">
        <v>26</v>
      </c>
      <c r="BV24" s="2">
        <v>69.230770000000007</v>
      </c>
      <c r="BW24" s="2">
        <v>7.4303699999999999</v>
      </c>
      <c r="BX24" s="2">
        <v>3589.35</v>
      </c>
      <c r="BY24" s="3">
        <v>5.8152039999999996</v>
      </c>
      <c r="BZ24" s="3">
        <v>0.16201270000000001</v>
      </c>
      <c r="CA24" s="2">
        <v>0.99076399999999998</v>
      </c>
      <c r="CB24" s="3">
        <v>0.16201270000000001</v>
      </c>
      <c r="CC24" s="3">
        <v>1.270691</v>
      </c>
      <c r="CD24" s="3">
        <v>1.347756</v>
      </c>
      <c r="CE24" s="2">
        <v>6.0648080000000002</v>
      </c>
      <c r="CF24" s="3">
        <v>6298.05</v>
      </c>
      <c r="CG24" s="3">
        <v>6498.4979999999996</v>
      </c>
      <c r="CH24" s="2">
        <v>3.1826970000000001</v>
      </c>
      <c r="CI24" s="3">
        <v>12.76839</v>
      </c>
      <c r="CJ24" s="2">
        <v>-1.983136</v>
      </c>
      <c r="CK24" s="3">
        <v>11538.99</v>
      </c>
      <c r="CL24" s="3">
        <v>11680.97</v>
      </c>
      <c r="CM24" s="2">
        <v>1.2303949999999999</v>
      </c>
      <c r="CN24" s="3">
        <v>10.13054</v>
      </c>
      <c r="CO24" s="3">
        <v>9.668177</v>
      </c>
      <c r="CP24" s="3">
        <v>9.8034219999999994</v>
      </c>
      <c r="CQ24" s="2">
        <v>0.4487276</v>
      </c>
      <c r="CR24" s="2">
        <v>5.252516</v>
      </c>
      <c r="CS24" s="2">
        <v>3.8004880000000001</v>
      </c>
      <c r="CT24" s="2">
        <v>-4.5640650000000003</v>
      </c>
      <c r="CU24" s="2">
        <v>44.050989999999999</v>
      </c>
      <c r="CV24" s="3">
        <v>0.1206043</v>
      </c>
      <c r="CW24" s="2">
        <v>12.764609999999999</v>
      </c>
      <c r="CX24" s="2">
        <v>3.1553879999999999</v>
      </c>
      <c r="CY24" s="2">
        <v>7.5424870000000004</v>
      </c>
      <c r="CZ24" s="2">
        <v>23.263159999999999</v>
      </c>
    </row>
    <row r="25" spans="1:104" ht="15" customHeight="1" x14ac:dyDescent="0.2">
      <c r="A25" s="1">
        <f t="shared" si="0"/>
        <v>19</v>
      </c>
      <c r="B25" s="1" t="s">
        <v>68</v>
      </c>
      <c r="C25" s="1" t="s">
        <v>67</v>
      </c>
      <c r="D25" s="1" t="s">
        <v>9</v>
      </c>
      <c r="E25" s="1" t="s">
        <v>69</v>
      </c>
      <c r="F25" s="1" t="s">
        <v>70</v>
      </c>
      <c r="G25" s="2">
        <v>98572.31</v>
      </c>
      <c r="H25" s="2">
        <v>64.752499999999998</v>
      </c>
      <c r="I25" s="2">
        <v>63828.04</v>
      </c>
      <c r="J25" s="3">
        <v>19.768000000000001</v>
      </c>
      <c r="K25" s="3">
        <v>0</v>
      </c>
      <c r="L25" s="2">
        <v>3.541077</v>
      </c>
      <c r="M25" s="2">
        <v>3.895184</v>
      </c>
      <c r="N25" s="2">
        <v>4.5022260000000003</v>
      </c>
      <c r="O25" s="2">
        <v>4.8816269999999999</v>
      </c>
      <c r="P25" s="2">
        <v>10.80219</v>
      </c>
      <c r="Q25" s="2">
        <v>11.6166</v>
      </c>
      <c r="R25" s="2">
        <v>10.539289999999999</v>
      </c>
      <c r="S25" s="2">
        <v>9.342155</v>
      </c>
      <c r="T25" s="2">
        <v>5.8536260000000002</v>
      </c>
      <c r="U25" s="2">
        <v>5.7626850000000003</v>
      </c>
      <c r="V25" s="2">
        <v>5.3661099999999999</v>
      </c>
      <c r="W25" s="2">
        <v>5.0606660000000003</v>
      </c>
      <c r="X25" s="2">
        <v>2.0268959999999998</v>
      </c>
      <c r="Y25" s="2">
        <v>1.889866</v>
      </c>
      <c r="Z25" s="2">
        <v>1.7462899999999999</v>
      </c>
      <c r="AA25" s="2">
        <v>1.6163529999999999</v>
      </c>
      <c r="AB25" s="2">
        <v>3.1558359999999999</v>
      </c>
      <c r="AC25" s="2">
        <v>3.0770149999999998</v>
      </c>
      <c r="AD25" s="2">
        <v>2.9100109999999999</v>
      </c>
      <c r="AE25" s="2">
        <v>2.8471359999999999</v>
      </c>
      <c r="AF25" s="2">
        <v>6.4853909999999999</v>
      </c>
      <c r="AG25" s="2">
        <v>7.5996990000000002</v>
      </c>
      <c r="AH25" s="2">
        <v>8.2524200000000008</v>
      </c>
      <c r="AI25" s="2">
        <v>15.54801</v>
      </c>
      <c r="AJ25" s="2">
        <v>18.085129999999999</v>
      </c>
      <c r="AK25" s="2">
        <v>19.543659999999999</v>
      </c>
      <c r="AL25" s="3">
        <v>2.5664009999999999</v>
      </c>
      <c r="AM25" s="3">
        <v>2.506812</v>
      </c>
      <c r="AN25" s="2">
        <v>35.142859999999999</v>
      </c>
      <c r="AO25" s="2">
        <v>36.784260000000003</v>
      </c>
      <c r="AP25" s="2">
        <v>38.305630000000001</v>
      </c>
      <c r="AQ25" s="2">
        <v>39.422289999999997</v>
      </c>
      <c r="AR25" s="2">
        <v>3.5422060000000002</v>
      </c>
      <c r="AS25" s="2">
        <v>3.3589509999999998</v>
      </c>
      <c r="AT25" s="2">
        <v>3.1111740000000001</v>
      </c>
      <c r="AU25" s="2">
        <v>2.923772</v>
      </c>
      <c r="AV25" s="1" t="s">
        <v>6</v>
      </c>
      <c r="AW25" s="3">
        <v>1.2272730000000001</v>
      </c>
      <c r="AX25" s="3">
        <v>26</v>
      </c>
      <c r="AY25" s="2">
        <v>31.525700000000001</v>
      </c>
      <c r="AZ25" s="2">
        <v>16.268660000000001</v>
      </c>
      <c r="BA25" s="2">
        <v>3</v>
      </c>
      <c r="BB25" s="2">
        <v>3.011978</v>
      </c>
      <c r="BC25" s="2">
        <v>6.0628770000000003</v>
      </c>
      <c r="BD25" s="3">
        <v>17.350000000000001</v>
      </c>
      <c r="BE25" s="2">
        <v>13.936590000000001</v>
      </c>
      <c r="BF25" s="3">
        <v>23.125</v>
      </c>
      <c r="BG25" s="2">
        <v>-14.51676</v>
      </c>
      <c r="BH25" s="2">
        <v>38.209330000000001</v>
      </c>
      <c r="BI25" s="2">
        <v>42.228369999999998</v>
      </c>
      <c r="BJ25" s="2">
        <v>50.330719999999999</v>
      </c>
      <c r="BK25" s="2">
        <v>49.835099999999997</v>
      </c>
      <c r="BL25" s="2">
        <v>16</v>
      </c>
      <c r="BM25" s="2">
        <v>16</v>
      </c>
      <c r="BN25" s="4">
        <v>22</v>
      </c>
      <c r="BO25" s="4">
        <v>1</v>
      </c>
      <c r="BP25" s="4">
        <v>0</v>
      </c>
      <c r="BQ25" s="4">
        <v>21</v>
      </c>
      <c r="BR25" s="2">
        <v>4.5454549999999996</v>
      </c>
      <c r="BS25" s="4">
        <v>19</v>
      </c>
      <c r="BT25" s="4">
        <v>1</v>
      </c>
      <c r="BU25" s="4">
        <v>22</v>
      </c>
      <c r="BV25" s="2">
        <v>86.363640000000004</v>
      </c>
      <c r="BW25" s="2">
        <v>6.0013399999999999</v>
      </c>
      <c r="BX25" s="2">
        <v>4986.4579999999996</v>
      </c>
      <c r="BY25" s="3">
        <v>7.2079019999999998</v>
      </c>
      <c r="BZ25" s="3">
        <v>0.1445495</v>
      </c>
      <c r="CA25" s="2">
        <v>0.72957300000000003</v>
      </c>
      <c r="CB25" s="3">
        <v>0.1445495</v>
      </c>
      <c r="CC25" s="3">
        <v>1.673</v>
      </c>
      <c r="CD25" s="3">
        <v>1.8173509999999999</v>
      </c>
      <c r="CE25" s="2">
        <v>8.6282370000000004</v>
      </c>
      <c r="CF25" s="3">
        <v>21795.040000000001</v>
      </c>
      <c r="CG25" s="3">
        <v>22211.63</v>
      </c>
      <c r="CH25" s="2">
        <v>1.911378</v>
      </c>
      <c r="CI25" s="3">
        <v>25.76</v>
      </c>
      <c r="CJ25" s="2">
        <v>0.93168019999999996</v>
      </c>
      <c r="CK25" s="3">
        <v>114420.8</v>
      </c>
      <c r="CL25" s="3">
        <v>111936.4</v>
      </c>
      <c r="CM25" s="2">
        <v>-2.1712600000000002</v>
      </c>
      <c r="CN25" s="3">
        <v>20.264289999999999</v>
      </c>
      <c r="CO25" s="3">
        <v>20.285409999999999</v>
      </c>
      <c r="CP25" s="3">
        <v>19.513380000000002</v>
      </c>
      <c r="CQ25" s="2">
        <v>-2.449071</v>
      </c>
      <c r="CR25" s="2">
        <v>-2.550662</v>
      </c>
      <c r="CS25" s="2">
        <v>1.304829</v>
      </c>
      <c r="CT25" s="2">
        <v>0.10424849999999999</v>
      </c>
      <c r="CU25" s="2">
        <v>159.18450000000001</v>
      </c>
      <c r="CV25" s="3">
        <v>0.1614901</v>
      </c>
      <c r="CW25" s="2">
        <v>4.323728</v>
      </c>
      <c r="CX25" s="2">
        <v>0.15759380000000001</v>
      </c>
      <c r="CY25" s="2">
        <v>8.3829390000000004</v>
      </c>
      <c r="CZ25" s="2">
        <v>23.282830000000001</v>
      </c>
    </row>
    <row r="26" spans="1:104" ht="15" customHeight="1" x14ac:dyDescent="0.2">
      <c r="A26" s="1">
        <f t="shared" si="0"/>
        <v>20</v>
      </c>
      <c r="B26" s="1" t="s">
        <v>72</v>
      </c>
      <c r="C26" s="1" t="s">
        <v>71</v>
      </c>
      <c r="D26" s="1" t="s">
        <v>52</v>
      </c>
      <c r="E26" s="1" t="s">
        <v>73</v>
      </c>
      <c r="F26" s="1" t="s">
        <v>74</v>
      </c>
      <c r="G26" s="2">
        <v>62323.59</v>
      </c>
      <c r="H26" s="2">
        <v>82.077200000000005</v>
      </c>
      <c r="I26" s="2">
        <v>51153.46</v>
      </c>
      <c r="J26" s="3">
        <v>105.54</v>
      </c>
      <c r="K26" s="3">
        <v>0</v>
      </c>
      <c r="L26" s="2">
        <v>3.7900320000000001</v>
      </c>
      <c r="M26" s="2">
        <v>4.2439109999999998</v>
      </c>
      <c r="N26" s="2">
        <v>4.6424399999999997</v>
      </c>
      <c r="O26" s="2">
        <v>5.0311469999999998</v>
      </c>
      <c r="P26" s="2">
        <v>14.12851</v>
      </c>
      <c r="Q26" s="2">
        <v>13.01864</v>
      </c>
      <c r="R26" s="2">
        <v>11.92179</v>
      </c>
      <c r="S26" s="2">
        <v>11.30584</v>
      </c>
      <c r="T26" s="2">
        <v>7.1989179999999999</v>
      </c>
      <c r="U26" s="2">
        <v>6.9460569999999997</v>
      </c>
      <c r="V26" s="2">
        <v>6.3819179999999998</v>
      </c>
      <c r="W26" s="2">
        <v>6.014977</v>
      </c>
      <c r="X26" s="2">
        <v>2.2945000000000002</v>
      </c>
      <c r="Y26" s="2">
        <v>2.1218340000000002</v>
      </c>
      <c r="Z26" s="2">
        <v>1.9544440000000001</v>
      </c>
      <c r="AA26" s="2">
        <v>1.8071919999999999</v>
      </c>
      <c r="AB26" s="2">
        <v>7.265657</v>
      </c>
      <c r="AC26" s="2">
        <v>7.0576569999999998</v>
      </c>
      <c r="AD26" s="2">
        <v>6.6087999999999996</v>
      </c>
      <c r="AE26" s="2">
        <v>6.3339239999999997</v>
      </c>
      <c r="AF26" s="2">
        <v>6.1595019999999998</v>
      </c>
      <c r="AG26" s="2">
        <v>6.4384180000000004</v>
      </c>
      <c r="AH26" s="2">
        <v>7.2522060000000002</v>
      </c>
      <c r="AI26" s="2">
        <v>7.9112039999999997</v>
      </c>
      <c r="AJ26" s="2">
        <v>8.0367750000000004</v>
      </c>
      <c r="AK26" s="2">
        <v>8.8603529999999999</v>
      </c>
      <c r="AL26" s="3">
        <v>1.610636</v>
      </c>
      <c r="AM26" s="3">
        <v>1.482602</v>
      </c>
      <c r="AN26" s="2">
        <v>16.562629999999999</v>
      </c>
      <c r="AO26" s="2">
        <v>17.4633</v>
      </c>
      <c r="AP26" s="2">
        <v>17.738849999999999</v>
      </c>
      <c r="AQ26" s="2">
        <v>17.946100000000001</v>
      </c>
      <c r="AR26" s="2">
        <v>1.8162510000000001</v>
      </c>
      <c r="AS26" s="2">
        <v>1.5379989999999999</v>
      </c>
      <c r="AT26" s="2">
        <v>1.2692369999999999</v>
      </c>
      <c r="AU26" s="2">
        <v>1.0917129999999999</v>
      </c>
      <c r="AV26" s="1" t="s">
        <v>6</v>
      </c>
      <c r="AW26" s="3">
        <v>1.1499999999999999</v>
      </c>
      <c r="AX26" s="3">
        <v>125</v>
      </c>
      <c r="AY26" s="2">
        <v>18.438510000000001</v>
      </c>
      <c r="AZ26" s="2">
        <v>16.29843</v>
      </c>
      <c r="BA26" s="2">
        <v>8.1063299999999998</v>
      </c>
      <c r="BB26" s="2">
        <v>21.786290000000001</v>
      </c>
      <c r="BC26" s="2">
        <v>13.13109</v>
      </c>
      <c r="BD26" s="3">
        <v>80.84</v>
      </c>
      <c r="BE26" s="2">
        <v>30.554189999999998</v>
      </c>
      <c r="BF26" s="3">
        <v>112.4</v>
      </c>
      <c r="BG26" s="2">
        <v>-6.1032060000000001</v>
      </c>
      <c r="BH26" s="2">
        <v>53.682639999999999</v>
      </c>
      <c r="BI26" s="2">
        <v>54.878149999999998</v>
      </c>
      <c r="BJ26" s="2">
        <v>55.61253</v>
      </c>
      <c r="BK26" s="2">
        <v>55.969839999999998</v>
      </c>
      <c r="BL26" s="2">
        <v>16</v>
      </c>
      <c r="BM26" s="2">
        <v>15</v>
      </c>
      <c r="BN26" s="4">
        <v>20</v>
      </c>
      <c r="BO26" s="4">
        <v>0</v>
      </c>
      <c r="BP26" s="4">
        <v>1</v>
      </c>
      <c r="BQ26" s="4">
        <v>20</v>
      </c>
      <c r="BR26" s="2">
        <v>0</v>
      </c>
      <c r="BS26" s="4">
        <v>18</v>
      </c>
      <c r="BT26" s="4">
        <v>1</v>
      </c>
      <c r="BU26" s="4">
        <v>20</v>
      </c>
      <c r="BV26" s="2">
        <v>90</v>
      </c>
      <c r="BW26" s="2">
        <v>7.6593099999999996</v>
      </c>
      <c r="BX26" s="2">
        <v>590.52099999999996</v>
      </c>
      <c r="BY26" s="3">
        <v>0.89578709999999995</v>
      </c>
      <c r="BZ26" s="3">
        <v>0.15169440000000001</v>
      </c>
      <c r="CA26" s="2">
        <v>1.1760600000000001</v>
      </c>
      <c r="CB26" s="3">
        <v>0.15169440000000001</v>
      </c>
      <c r="CC26" s="3">
        <v>7.9272850000000004</v>
      </c>
      <c r="CD26" s="3">
        <v>8.0834240000000008</v>
      </c>
      <c r="CE26" s="2">
        <v>1.969635</v>
      </c>
      <c r="CF26" s="3">
        <v>7673.0469999999996</v>
      </c>
      <c r="CG26" s="3">
        <v>7897.4790000000003</v>
      </c>
      <c r="CH26" s="2">
        <v>2.9249429999999998</v>
      </c>
      <c r="CI26" s="3">
        <v>124.1948</v>
      </c>
      <c r="CJ26" s="2">
        <v>0.64834360000000002</v>
      </c>
      <c r="CK26" s="3">
        <v>64784.27</v>
      </c>
      <c r="CL26" s="3">
        <v>66603.23</v>
      </c>
      <c r="CM26" s="2">
        <v>2.8077130000000001</v>
      </c>
      <c r="CN26" s="3">
        <v>102.1675</v>
      </c>
      <c r="CO26" s="3">
        <v>107.2161</v>
      </c>
      <c r="CP26" s="3">
        <v>105.75620000000001</v>
      </c>
      <c r="CQ26" s="2">
        <v>3.3009050000000002</v>
      </c>
      <c r="CR26" s="2">
        <v>-1.563269</v>
      </c>
      <c r="CS26" s="2">
        <v>-0.2043903</v>
      </c>
      <c r="CT26" s="2">
        <v>4.9414280000000002</v>
      </c>
      <c r="CU26" s="2">
        <v>85.57526</v>
      </c>
      <c r="CV26" s="3">
        <v>0.13730800000000001</v>
      </c>
      <c r="CW26" s="2" t="e">
        <v>#N/A</v>
      </c>
      <c r="CX26" s="2">
        <v>7.3565189999999996</v>
      </c>
      <c r="CY26" s="2" t="e">
        <v>#N/A</v>
      </c>
      <c r="CZ26" s="2">
        <v>23.343440000000001</v>
      </c>
    </row>
    <row r="27" spans="1:104" ht="15" customHeight="1" x14ac:dyDescent="0.2">
      <c r="A27" s="1">
        <f t="shared" si="0"/>
        <v>21</v>
      </c>
      <c r="B27" s="1" t="s">
        <v>76</v>
      </c>
      <c r="C27" s="1" t="s">
        <v>75</v>
      </c>
      <c r="D27" s="1" t="s">
        <v>23</v>
      </c>
      <c r="E27" s="1" t="s">
        <v>35</v>
      </c>
      <c r="F27" s="1" t="s">
        <v>36</v>
      </c>
      <c r="G27" s="2">
        <v>70824</v>
      </c>
      <c r="H27" s="2">
        <v>99.760800000000003</v>
      </c>
      <c r="I27" s="2">
        <v>70654.59</v>
      </c>
      <c r="J27" s="3">
        <v>11.35</v>
      </c>
      <c r="K27" s="3">
        <v>0</v>
      </c>
      <c r="L27" s="2">
        <v>4.3171809999999997</v>
      </c>
      <c r="M27" s="2">
        <v>4.5814979999999998</v>
      </c>
      <c r="N27" s="2">
        <v>4.7577100000000003</v>
      </c>
      <c r="O27" s="2">
        <v>5.0220260000000003</v>
      </c>
      <c r="P27" s="2">
        <v>17.19697</v>
      </c>
      <c r="Q27" s="2">
        <v>15.76389</v>
      </c>
      <c r="R27" s="2">
        <v>15.303660000000001</v>
      </c>
      <c r="S27" s="2">
        <v>14.01235</v>
      </c>
      <c r="T27" s="2">
        <v>8.5641590000000001</v>
      </c>
      <c r="U27" s="2">
        <v>8.5201569999999993</v>
      </c>
      <c r="V27" s="2">
        <v>8.3249030000000008</v>
      </c>
      <c r="W27" s="2">
        <v>7.9739699999999996</v>
      </c>
      <c r="X27" s="2">
        <v>1.6912339999999999</v>
      </c>
      <c r="Y27" s="2">
        <v>1.6344369999999999</v>
      </c>
      <c r="Z27" s="2">
        <v>1.542373</v>
      </c>
      <c r="AA27" s="2">
        <v>1.513585</v>
      </c>
      <c r="AB27" s="2">
        <v>7.6730879999999999</v>
      </c>
      <c r="AC27" s="2">
        <v>6.8711989999999998</v>
      </c>
      <c r="AD27" s="2">
        <v>6.6374269999999997</v>
      </c>
      <c r="AE27" s="2">
        <v>6.2647459999999997</v>
      </c>
      <c r="AF27" s="2">
        <v>-2.4542320000000002</v>
      </c>
      <c r="AG27" s="2">
        <v>-0.43095749999999999</v>
      </c>
      <c r="AH27" s="2">
        <v>0.1906523</v>
      </c>
      <c r="AI27" s="2">
        <v>-4.2663700000000002</v>
      </c>
      <c r="AJ27" s="2">
        <v>-0.76607460000000005</v>
      </c>
      <c r="AK27" s="2">
        <v>0.34552630000000001</v>
      </c>
      <c r="AL27" s="3">
        <v>1.929325</v>
      </c>
      <c r="AM27" s="3">
        <v>1.87436</v>
      </c>
      <c r="AN27" s="2">
        <v>24.519449999999999</v>
      </c>
      <c r="AO27" s="2">
        <v>25.769639999999999</v>
      </c>
      <c r="AP27" s="2">
        <v>27.038460000000001</v>
      </c>
      <c r="AQ27" s="2">
        <v>27.75122</v>
      </c>
      <c r="AR27" s="2">
        <v>3.3073030000000001</v>
      </c>
      <c r="AS27" s="2">
        <v>3.6189309999999999</v>
      </c>
      <c r="AT27" s="2">
        <v>3.641705</v>
      </c>
      <c r="AU27" s="2">
        <v>3.574144</v>
      </c>
      <c r="AV27" s="1" t="s">
        <v>63</v>
      </c>
      <c r="AW27" s="3">
        <v>1.6481479999999999</v>
      </c>
      <c r="AX27" s="3">
        <v>12.558590000000001</v>
      </c>
      <c r="AY27" s="2">
        <v>10.64832</v>
      </c>
      <c r="AZ27" s="2">
        <v>10.36824</v>
      </c>
      <c r="BA27" s="2">
        <v>8.1279590000000006</v>
      </c>
      <c r="BB27" s="2">
        <v>14.76239</v>
      </c>
      <c r="BC27" s="2">
        <v>3.8426399999999998</v>
      </c>
      <c r="BD27" s="3">
        <v>9.09</v>
      </c>
      <c r="BE27" s="2">
        <v>24.862490000000001</v>
      </c>
      <c r="BF27" s="3">
        <v>12.244999999999999</v>
      </c>
      <c r="BG27" s="2">
        <v>-7.3091030000000003</v>
      </c>
      <c r="BH27" s="2">
        <v>72.764390000000006</v>
      </c>
      <c r="BI27" s="2">
        <v>71.784840000000003</v>
      </c>
      <c r="BJ27" s="2">
        <v>72.12518</v>
      </c>
      <c r="BK27" s="2">
        <v>70.359700000000004</v>
      </c>
      <c r="BL27" s="2">
        <v>23</v>
      </c>
      <c r="BM27" s="2">
        <v>22</v>
      </c>
      <c r="BN27" s="4">
        <v>27</v>
      </c>
      <c r="BO27" s="4">
        <v>1</v>
      </c>
      <c r="BP27" s="4">
        <v>2</v>
      </c>
      <c r="BQ27" s="4">
        <v>24</v>
      </c>
      <c r="BR27" s="2">
        <v>3.7037040000000001</v>
      </c>
      <c r="BS27" s="4">
        <v>12</v>
      </c>
      <c r="BT27" s="4">
        <v>1</v>
      </c>
      <c r="BU27" s="4">
        <v>27</v>
      </c>
      <c r="BV27" s="2">
        <v>44.444450000000003</v>
      </c>
      <c r="BW27" s="2">
        <v>6.6381300000000003</v>
      </c>
      <c r="BX27" s="2">
        <v>6240</v>
      </c>
      <c r="BY27" s="3">
        <v>12.13852</v>
      </c>
      <c r="BZ27" s="3">
        <v>0.19452759999999999</v>
      </c>
      <c r="CA27" s="2">
        <v>0.56489199999999995</v>
      </c>
      <c r="CB27" s="3">
        <v>0.19452759999999999</v>
      </c>
      <c r="CC27" s="3">
        <v>0.70379939999999996</v>
      </c>
      <c r="CD27" s="3">
        <v>0.72378410000000004</v>
      </c>
      <c r="CE27" s="2">
        <v>2.8395410000000001</v>
      </c>
      <c r="CF27" s="3">
        <v>8806.6309999999994</v>
      </c>
      <c r="CG27" s="3">
        <v>8954.5540000000001</v>
      </c>
      <c r="CH27" s="2">
        <v>1.6796709999999999</v>
      </c>
      <c r="CI27" s="3">
        <v>12.24464</v>
      </c>
      <c r="CJ27" s="2">
        <v>2.5639409999999998</v>
      </c>
      <c r="CK27" s="3">
        <v>52189.49</v>
      </c>
      <c r="CL27" s="3">
        <v>53992.85</v>
      </c>
      <c r="CM27" s="2">
        <v>3.4554119999999999</v>
      </c>
      <c r="CN27" s="3">
        <v>11.01854</v>
      </c>
      <c r="CO27" s="3">
        <v>11.64559</v>
      </c>
      <c r="CP27" s="3">
        <v>11.647309999999999</v>
      </c>
      <c r="CQ27" s="2">
        <v>3.0081869999999999</v>
      </c>
      <c r="CR27" s="2">
        <v>-2.5382039999999999</v>
      </c>
      <c r="CS27" s="2">
        <v>-2.5525869999999999</v>
      </c>
      <c r="CT27" s="2">
        <v>5.6908250000000002</v>
      </c>
      <c r="CU27" s="2">
        <v>141.5224</v>
      </c>
      <c r="CV27" s="3">
        <v>0.19982259999999999</v>
      </c>
      <c r="CW27" s="2">
        <v>34.4086</v>
      </c>
      <c r="CX27" s="2" t="e">
        <v>#N/A</v>
      </c>
      <c r="CY27" s="2">
        <v>10.64415</v>
      </c>
      <c r="CZ27" s="2">
        <v>23.404039999999998</v>
      </c>
    </row>
    <row r="28" spans="1:104" ht="15" customHeight="1" x14ac:dyDescent="0.2">
      <c r="A28" s="1">
        <f t="shared" si="0"/>
        <v>22</v>
      </c>
      <c r="B28" s="1" t="s">
        <v>78</v>
      </c>
      <c r="C28" s="1" t="s">
        <v>77</v>
      </c>
      <c r="D28" s="1" t="s">
        <v>9</v>
      </c>
      <c r="E28" s="1" t="s">
        <v>31</v>
      </c>
      <c r="F28" s="1" t="s">
        <v>32</v>
      </c>
      <c r="G28" s="2">
        <v>64413.48</v>
      </c>
      <c r="H28" s="2">
        <v>50.226199999999999</v>
      </c>
      <c r="I28" s="2">
        <v>32352.45</v>
      </c>
      <c r="J28" s="3">
        <v>107</v>
      </c>
      <c r="K28" s="3">
        <v>0</v>
      </c>
      <c r="L28" s="2">
        <v>7.9439250000000001</v>
      </c>
      <c r="M28" s="2">
        <v>4.953271</v>
      </c>
      <c r="N28" s="2">
        <v>4.6728969999999999</v>
      </c>
      <c r="O28" s="2">
        <v>4.8598129999999999</v>
      </c>
      <c r="P28" s="2">
        <v>3.9179789999999999</v>
      </c>
      <c r="Q28" s="2">
        <v>6.1921299999999997</v>
      </c>
      <c r="R28" s="2">
        <v>6.4711220000000003</v>
      </c>
      <c r="S28" s="2">
        <v>6.4033519999999999</v>
      </c>
      <c r="T28" s="2">
        <v>1.8132269999999999</v>
      </c>
      <c r="U28" s="2">
        <v>2.2391510000000001</v>
      </c>
      <c r="V28" s="2">
        <v>2.204034</v>
      </c>
      <c r="W28" s="2">
        <v>1.980216</v>
      </c>
      <c r="X28" s="2">
        <v>0.80818760000000001</v>
      </c>
      <c r="Y28" s="2">
        <v>0.75220889999999996</v>
      </c>
      <c r="Z28" s="2">
        <v>0.69152720000000001</v>
      </c>
      <c r="AA28" s="2">
        <v>0.65233960000000002</v>
      </c>
      <c r="AB28" s="2">
        <v>4.7725239999999998</v>
      </c>
      <c r="AC28" s="2">
        <v>3.9237259999999998</v>
      </c>
      <c r="AD28" s="2">
        <v>3.7757420000000002</v>
      </c>
      <c r="AE28" s="2">
        <v>3.951292</v>
      </c>
      <c r="AF28" s="2">
        <v>14.380319999999999</v>
      </c>
      <c r="AG28" s="2">
        <v>18.884979999999999</v>
      </c>
      <c r="AH28" s="2">
        <v>19.756769999999999</v>
      </c>
      <c r="AI28" s="2">
        <v>11.228719999999999</v>
      </c>
      <c r="AJ28" s="2">
        <v>13.61769</v>
      </c>
      <c r="AK28" s="2">
        <v>12.87063</v>
      </c>
      <c r="AL28" s="3" t="e">
        <v>#N/A</v>
      </c>
      <c r="AM28" s="3" t="e">
        <v>#N/A</v>
      </c>
      <c r="AN28" s="2">
        <v>15.82287</v>
      </c>
      <c r="AO28" s="2">
        <v>17.021509999999999</v>
      </c>
      <c r="AP28" s="2">
        <v>15.825329999999999</v>
      </c>
      <c r="AQ28" s="2">
        <v>15.65287</v>
      </c>
      <c r="AR28" s="2">
        <v>-0.62062930000000005</v>
      </c>
      <c r="AS28" s="2">
        <v>-0.56068720000000005</v>
      </c>
      <c r="AT28" s="2">
        <v>-0.75383160000000005</v>
      </c>
      <c r="AU28" s="2">
        <v>-0.92537950000000002</v>
      </c>
      <c r="AV28" s="1" t="s">
        <v>63</v>
      </c>
      <c r="AW28" s="3">
        <v>1.6666669999999999</v>
      </c>
      <c r="AX28" s="3">
        <v>110</v>
      </c>
      <c r="AY28" s="2">
        <v>2.8037429999999999</v>
      </c>
      <c r="AZ28" s="2">
        <v>12.147819999999999</v>
      </c>
      <c r="BA28" s="2">
        <v>-13.644019999999999</v>
      </c>
      <c r="BB28" s="2">
        <v>47.667679999999997</v>
      </c>
      <c r="BC28" s="2">
        <v>28.328140000000001</v>
      </c>
      <c r="BD28" s="3">
        <v>68.44</v>
      </c>
      <c r="BE28" s="2">
        <v>56.341320000000003</v>
      </c>
      <c r="BF28" s="3">
        <v>113.46</v>
      </c>
      <c r="BG28" s="2">
        <v>-5.693638</v>
      </c>
      <c r="BH28" s="2">
        <v>31.371289999999998</v>
      </c>
      <c r="BI28" s="2">
        <v>30.59299</v>
      </c>
      <c r="BJ28" s="2">
        <v>30.186309999999999</v>
      </c>
      <c r="BK28" s="2">
        <v>31.750630000000001</v>
      </c>
      <c r="BL28" s="2">
        <v>19</v>
      </c>
      <c r="BM28" s="2">
        <v>18</v>
      </c>
      <c r="BN28" s="4">
        <v>21</v>
      </c>
      <c r="BO28" s="4">
        <v>1</v>
      </c>
      <c r="BP28" s="4">
        <v>1</v>
      </c>
      <c r="BQ28" s="4">
        <v>20</v>
      </c>
      <c r="BR28" s="2">
        <v>4.5454549999999996</v>
      </c>
      <c r="BS28" s="4">
        <v>8</v>
      </c>
      <c r="BT28" s="4">
        <v>1</v>
      </c>
      <c r="BU28" s="4">
        <v>21</v>
      </c>
      <c r="BV28" s="2">
        <v>38.095239999999997</v>
      </c>
      <c r="BW28" s="2">
        <v>8.0548099999999998</v>
      </c>
      <c r="BX28" s="2">
        <v>601.99519999999995</v>
      </c>
      <c r="BY28" s="3">
        <v>1.142128</v>
      </c>
      <c r="BZ28" s="3">
        <v>0.1897238</v>
      </c>
      <c r="CA28" s="2">
        <v>1.2246300000000001</v>
      </c>
      <c r="CB28" s="3">
        <v>0.1897238</v>
      </c>
      <c r="CC28" s="3">
        <v>15.322839999999999</v>
      </c>
      <c r="CD28" s="3">
        <v>17.040859999999999</v>
      </c>
      <c r="CE28" s="2">
        <v>11.212149999999999</v>
      </c>
      <c r="CF28" s="3">
        <v>14091.49</v>
      </c>
      <c r="CG28" s="3">
        <v>15955.92</v>
      </c>
      <c r="CH28" s="2">
        <v>13.2309</v>
      </c>
      <c r="CI28" s="3">
        <v>104.9988</v>
      </c>
      <c r="CJ28" s="2">
        <v>4.7631500000000004</v>
      </c>
      <c r="CK28" s="3">
        <v>145853.20000000001</v>
      </c>
      <c r="CL28" s="3">
        <v>146478.5</v>
      </c>
      <c r="CM28" s="2">
        <v>0.42870039999999998</v>
      </c>
      <c r="CN28" s="3">
        <v>94.775919999999999</v>
      </c>
      <c r="CO28" s="3">
        <v>107.1561</v>
      </c>
      <c r="CP28" s="3">
        <v>109.8169</v>
      </c>
      <c r="CQ28" s="2">
        <v>12.897869999999999</v>
      </c>
      <c r="CR28" s="2">
        <v>-0.14564389999999999</v>
      </c>
      <c r="CS28" s="2">
        <v>-2.5650979999999999</v>
      </c>
      <c r="CT28" s="2">
        <v>13.06254</v>
      </c>
      <c r="CU28" s="2">
        <v>107.78440000000001</v>
      </c>
      <c r="CV28" s="3">
        <v>0.16733210000000001</v>
      </c>
      <c r="CW28" s="2">
        <v>22.43909</v>
      </c>
      <c r="CX28" s="2">
        <v>3.8864879999999999</v>
      </c>
      <c r="CY28" s="2">
        <v>34.418149999999997</v>
      </c>
      <c r="CZ28" s="2">
        <v>23.535350000000001</v>
      </c>
    </row>
    <row r="29" spans="1:104" ht="15" customHeight="1" x14ac:dyDescent="0.2">
      <c r="A29" s="1">
        <f t="shared" si="0"/>
        <v>23</v>
      </c>
      <c r="B29" s="1" t="s">
        <v>80</v>
      </c>
      <c r="C29" s="1" t="s">
        <v>79</v>
      </c>
      <c r="D29" s="1" t="s">
        <v>9</v>
      </c>
      <c r="E29" s="1" t="s">
        <v>81</v>
      </c>
      <c r="F29" s="1" t="s">
        <v>82</v>
      </c>
      <c r="G29" s="2">
        <v>56693.17</v>
      </c>
      <c r="H29" s="2">
        <v>76.253200000000007</v>
      </c>
      <c r="I29" s="2">
        <v>43230.36</v>
      </c>
      <c r="J29" s="3">
        <v>45.755000000000003</v>
      </c>
      <c r="K29" s="3">
        <v>0</v>
      </c>
      <c r="L29" s="2">
        <v>4.0432740000000003</v>
      </c>
      <c r="M29" s="2">
        <v>4.0432740000000003</v>
      </c>
      <c r="N29" s="2">
        <v>4.152552</v>
      </c>
      <c r="O29" s="2">
        <v>4.2071899999999998</v>
      </c>
      <c r="P29" s="2">
        <v>10.56048</v>
      </c>
      <c r="Q29" s="2">
        <v>13.22007</v>
      </c>
      <c r="R29" s="2">
        <v>12.042770000000001</v>
      </c>
      <c r="S29" s="2">
        <v>10.69042</v>
      </c>
      <c r="T29" s="2">
        <v>4.8852840000000004</v>
      </c>
      <c r="U29" s="2">
        <v>6.6895379999999998</v>
      </c>
      <c r="V29" s="2">
        <v>6.3749739999999999</v>
      </c>
      <c r="W29" s="2">
        <v>5.9448129999999999</v>
      </c>
      <c r="X29" s="2">
        <v>2.3658540000000001</v>
      </c>
      <c r="Y29" s="2">
        <v>2.2539410000000002</v>
      </c>
      <c r="Z29" s="2">
        <v>2.0988530000000001</v>
      </c>
      <c r="AA29" s="2">
        <v>1.8907020000000001</v>
      </c>
      <c r="AB29" s="2">
        <v>5.4769119999999996</v>
      </c>
      <c r="AC29" s="2">
        <v>6.3717249999999996</v>
      </c>
      <c r="AD29" s="2">
        <v>6.0405170000000004</v>
      </c>
      <c r="AE29" s="2">
        <v>5.4904789999999997</v>
      </c>
      <c r="AF29" s="2">
        <v>4.4216759999999997</v>
      </c>
      <c r="AG29" s="2">
        <v>4.4020760000000001</v>
      </c>
      <c r="AH29" s="2">
        <v>4.9461779999999997</v>
      </c>
      <c r="AI29" s="2">
        <v>5.8297220000000003</v>
      </c>
      <c r="AJ29" s="2">
        <v>5.8311019999999996</v>
      </c>
      <c r="AK29" s="2">
        <v>6.4803759999999997</v>
      </c>
      <c r="AL29" s="3">
        <v>29.467300000000002</v>
      </c>
      <c r="AM29" s="3">
        <v>26.771979999999999</v>
      </c>
      <c r="AN29" s="2">
        <v>13.35614</v>
      </c>
      <c r="AO29" s="2">
        <v>12.99037</v>
      </c>
      <c r="AP29" s="2">
        <v>13.32001</v>
      </c>
      <c r="AQ29" s="2">
        <v>13.497859999999999</v>
      </c>
      <c r="AR29" s="2">
        <v>1.429319</v>
      </c>
      <c r="AS29" s="2">
        <v>1.6157170000000001</v>
      </c>
      <c r="AT29" s="2">
        <v>1.5623130000000001</v>
      </c>
      <c r="AU29" s="2">
        <v>1.4074059999999999</v>
      </c>
      <c r="AV29" s="1" t="s">
        <v>83</v>
      </c>
      <c r="AW29" s="3">
        <v>1.5625</v>
      </c>
      <c r="AX29" s="3">
        <v>50.5</v>
      </c>
      <c r="AY29" s="2">
        <v>10.37045</v>
      </c>
      <c r="AZ29" s="2">
        <v>17.049379999999999</v>
      </c>
      <c r="BA29" s="2">
        <v>0.45452819999999999</v>
      </c>
      <c r="BB29" s="2">
        <v>27.344840000000001</v>
      </c>
      <c r="BC29" s="2">
        <v>30.059699999999999</v>
      </c>
      <c r="BD29" s="3">
        <v>29.675000000000001</v>
      </c>
      <c r="BE29" s="2">
        <v>54.18703</v>
      </c>
      <c r="BF29" s="3">
        <v>45.924999999999997</v>
      </c>
      <c r="BG29" s="2">
        <v>-0.37016270000000001</v>
      </c>
      <c r="BH29" s="2">
        <v>42.698929999999997</v>
      </c>
      <c r="BI29" s="2">
        <v>55.301569999999998</v>
      </c>
      <c r="BJ29" s="2">
        <v>51.372250000000001</v>
      </c>
      <c r="BK29" s="2">
        <v>46.737119999999997</v>
      </c>
      <c r="BL29" s="2">
        <v>12</v>
      </c>
      <c r="BM29" s="2">
        <v>11</v>
      </c>
      <c r="BN29" s="4">
        <v>16</v>
      </c>
      <c r="BO29" s="4">
        <v>0</v>
      </c>
      <c r="BP29" s="4">
        <v>1</v>
      </c>
      <c r="BQ29" s="4">
        <v>15</v>
      </c>
      <c r="BR29" s="2">
        <v>0</v>
      </c>
      <c r="BS29" s="4">
        <v>9</v>
      </c>
      <c r="BT29" s="4">
        <v>1</v>
      </c>
      <c r="BU29" s="4">
        <v>16</v>
      </c>
      <c r="BV29" s="2">
        <v>56.25</v>
      </c>
      <c r="BW29" s="2">
        <v>7.6258900000000001</v>
      </c>
      <c r="BX29" s="2">
        <v>1239.059</v>
      </c>
      <c r="BY29" s="3">
        <v>2.4872619999999999</v>
      </c>
      <c r="BZ29" s="3">
        <v>0.2007379</v>
      </c>
      <c r="CA29" s="2">
        <v>1.0743400000000001</v>
      </c>
      <c r="CB29" s="3">
        <v>0.2007379</v>
      </c>
      <c r="CC29" s="3">
        <v>3.331134</v>
      </c>
      <c r="CD29" s="3">
        <v>3.416153</v>
      </c>
      <c r="CE29" s="2">
        <v>2.5522710000000002</v>
      </c>
      <c r="CF29" s="3">
        <v>6613.558</v>
      </c>
      <c r="CG29" s="3">
        <v>6798.18</v>
      </c>
      <c r="CH29" s="2">
        <v>2.7915719999999999</v>
      </c>
      <c r="CI29" s="3">
        <v>49.8</v>
      </c>
      <c r="CJ29" s="2">
        <v>1.405621</v>
      </c>
      <c r="CK29" s="3">
        <v>85865.39</v>
      </c>
      <c r="CL29" s="3">
        <v>87240.23</v>
      </c>
      <c r="CM29" s="2">
        <v>1.6011599999999999</v>
      </c>
      <c r="CN29" s="3">
        <v>39.982709999999997</v>
      </c>
      <c r="CO29" s="3">
        <v>42.907260000000001</v>
      </c>
      <c r="CP29" s="3">
        <v>43.893270000000001</v>
      </c>
      <c r="CQ29" s="2">
        <v>14.436970000000001</v>
      </c>
      <c r="CR29" s="2">
        <v>6.6369769999999999</v>
      </c>
      <c r="CS29" s="2">
        <v>4.2415019999999997</v>
      </c>
      <c r="CT29" s="2">
        <v>7.3145389999999999</v>
      </c>
      <c r="CU29" s="2">
        <v>90.203199999999995</v>
      </c>
      <c r="CV29" s="3">
        <v>0.15910769999999999</v>
      </c>
      <c r="CW29" s="2">
        <v>3.955997</v>
      </c>
      <c r="CX29" s="2">
        <v>1.7967930000000001</v>
      </c>
      <c r="CY29" s="2">
        <v>9.7311969999999999</v>
      </c>
      <c r="CZ29" s="2">
        <v>23.878789999999999</v>
      </c>
    </row>
    <row r="30" spans="1:104" ht="15" customHeight="1" x14ac:dyDescent="0.2">
      <c r="A30" s="1">
        <f t="shared" si="0"/>
        <v>24</v>
      </c>
      <c r="B30" s="1" t="s">
        <v>85</v>
      </c>
      <c r="C30" s="1" t="s">
        <v>84</v>
      </c>
      <c r="D30" s="1" t="s">
        <v>52</v>
      </c>
      <c r="E30" s="1" t="s">
        <v>53</v>
      </c>
      <c r="F30" s="1" t="s">
        <v>86</v>
      </c>
      <c r="G30" s="2">
        <v>224086.2</v>
      </c>
      <c r="H30" s="2">
        <v>43.408200000000001</v>
      </c>
      <c r="I30" s="2">
        <v>97271.77</v>
      </c>
      <c r="J30" s="3">
        <v>418.1</v>
      </c>
      <c r="K30" s="3">
        <v>0</v>
      </c>
      <c r="L30" s="2">
        <v>1.435063</v>
      </c>
      <c r="M30" s="2">
        <v>1.549868</v>
      </c>
      <c r="N30" s="2">
        <v>1.688591</v>
      </c>
      <c r="O30" s="2">
        <v>1.852428</v>
      </c>
      <c r="P30" s="2">
        <v>37.131439999999998</v>
      </c>
      <c r="Q30" s="2">
        <v>34.668320000000001</v>
      </c>
      <c r="R30" s="2">
        <v>31.970870000000001</v>
      </c>
      <c r="S30" s="2">
        <v>29.381589999999999</v>
      </c>
      <c r="T30" s="2">
        <v>20.19041</v>
      </c>
      <c r="U30" s="2">
        <v>22.97505</v>
      </c>
      <c r="V30" s="2">
        <v>20.980080000000001</v>
      </c>
      <c r="W30" s="2">
        <v>19.228090000000002</v>
      </c>
      <c r="X30" s="2">
        <v>8.2710319999999999</v>
      </c>
      <c r="Y30" s="2">
        <v>7.39595</v>
      </c>
      <c r="Z30" s="2">
        <v>6.7218629999999999</v>
      </c>
      <c r="AA30" s="2">
        <v>6.0498589999999997</v>
      </c>
      <c r="AB30" s="2">
        <v>31.836010000000002</v>
      </c>
      <c r="AC30" s="2">
        <v>26.855840000000001</v>
      </c>
      <c r="AD30" s="2">
        <v>25.447130000000001</v>
      </c>
      <c r="AE30" s="2">
        <v>23.575610000000001</v>
      </c>
      <c r="AF30" s="2">
        <v>2.9282720000000002</v>
      </c>
      <c r="AG30" s="2">
        <v>3.261879</v>
      </c>
      <c r="AH30" s="2">
        <v>3.5040589999999998</v>
      </c>
      <c r="AI30" s="2">
        <v>2.9437340000000001</v>
      </c>
      <c r="AJ30" s="2">
        <v>3.2421769999999999</v>
      </c>
      <c r="AK30" s="2">
        <v>3.4353099999999999</v>
      </c>
      <c r="AL30" s="3">
        <v>3.8516970000000001</v>
      </c>
      <c r="AM30" s="3">
        <v>3.5419700000000001</v>
      </c>
      <c r="AN30" s="2">
        <v>23.504470000000001</v>
      </c>
      <c r="AO30" s="2">
        <v>23.759620000000002</v>
      </c>
      <c r="AP30" s="2">
        <v>23.99625</v>
      </c>
      <c r="AQ30" s="2">
        <v>24.197369999999999</v>
      </c>
      <c r="AR30" s="2">
        <v>0.3372753</v>
      </c>
      <c r="AS30" s="2">
        <v>0.1206795</v>
      </c>
      <c r="AT30" s="2">
        <v>-0.12749160000000001</v>
      </c>
      <c r="AU30" s="2">
        <v>-0.38480310000000001</v>
      </c>
      <c r="AV30" s="1" t="s">
        <v>63</v>
      </c>
      <c r="AW30" s="3">
        <v>1.8518520000000001</v>
      </c>
      <c r="AX30" s="3">
        <v>418</v>
      </c>
      <c r="AY30" s="2">
        <v>-2.3919340000000001E-2</v>
      </c>
      <c r="AZ30" s="2">
        <v>21.333449999999999</v>
      </c>
      <c r="BA30" s="2">
        <v>9.6999999999999993</v>
      </c>
      <c r="BB30" s="2">
        <v>24.434529999999999</v>
      </c>
      <c r="BC30" s="2">
        <v>25.329730000000001</v>
      </c>
      <c r="BD30" s="3">
        <v>300.7</v>
      </c>
      <c r="BE30" s="2">
        <v>39.04224</v>
      </c>
      <c r="BF30" s="3">
        <v>442.6</v>
      </c>
      <c r="BG30" s="2">
        <v>-5.5354710000000003</v>
      </c>
      <c r="BH30" s="2">
        <v>53.295830000000002</v>
      </c>
      <c r="BI30" s="2">
        <v>53.262970000000003</v>
      </c>
      <c r="BJ30" s="2">
        <v>53.209800000000001</v>
      </c>
      <c r="BK30" s="2">
        <v>53.412610000000001</v>
      </c>
      <c r="BL30" s="2">
        <v>24</v>
      </c>
      <c r="BM30" s="2">
        <v>20</v>
      </c>
      <c r="BN30" s="4">
        <v>27</v>
      </c>
      <c r="BO30" s="4">
        <v>1</v>
      </c>
      <c r="BP30" s="4">
        <v>3</v>
      </c>
      <c r="BQ30" s="4">
        <v>26</v>
      </c>
      <c r="BR30" s="2">
        <v>3.3333330000000001</v>
      </c>
      <c r="BS30" s="4">
        <v>8</v>
      </c>
      <c r="BT30" s="4">
        <v>4</v>
      </c>
      <c r="BU30" s="4">
        <v>27</v>
      </c>
      <c r="BV30" s="2">
        <v>29.629629999999999</v>
      </c>
      <c r="BW30" s="2">
        <v>6.5541999999999998</v>
      </c>
      <c r="BX30" s="2">
        <v>535.96310000000005</v>
      </c>
      <c r="BY30" s="3">
        <v>0.3457749</v>
      </c>
      <c r="BZ30" s="3">
        <v>6.4514680000000005E-2</v>
      </c>
      <c r="CA30" s="2">
        <v>0.817469</v>
      </c>
      <c r="CB30" s="3">
        <v>6.4514680000000005E-2</v>
      </c>
      <c r="CC30" s="3">
        <v>11.8552</v>
      </c>
      <c r="CD30" s="3">
        <v>12.110810000000001</v>
      </c>
      <c r="CE30" s="2">
        <v>2.156091</v>
      </c>
      <c r="CF30" s="3">
        <v>7928.085</v>
      </c>
      <c r="CG30" s="3">
        <v>8169.424</v>
      </c>
      <c r="CH30" s="2">
        <v>3.0441050000000001</v>
      </c>
      <c r="CI30" s="3">
        <v>392.8261</v>
      </c>
      <c r="CJ30" s="2">
        <v>6.408417</v>
      </c>
      <c r="CK30" s="3">
        <v>40311.78</v>
      </c>
      <c r="CL30" s="3">
        <v>41313.18</v>
      </c>
      <c r="CM30" s="2">
        <v>2.484143</v>
      </c>
      <c r="CN30" s="3">
        <v>379.62240000000003</v>
      </c>
      <c r="CO30" s="3">
        <v>412.41180000000003</v>
      </c>
      <c r="CP30" s="3">
        <v>411.47309999999999</v>
      </c>
      <c r="CQ30" s="2">
        <v>10.13575</v>
      </c>
      <c r="CR30" s="2">
        <v>1.3792629999999999</v>
      </c>
      <c r="CS30" s="2">
        <v>1.610541</v>
      </c>
      <c r="CT30" s="2">
        <v>8.6373569999999997</v>
      </c>
      <c r="CU30" s="2">
        <v>125.9995</v>
      </c>
      <c r="CV30" s="3">
        <v>5.6228130000000001E-2</v>
      </c>
      <c r="CW30" s="2" t="e">
        <v>#N/A</v>
      </c>
      <c r="CX30" s="2">
        <v>5.8333539999999999</v>
      </c>
      <c r="CY30" s="2" t="e">
        <v>#N/A</v>
      </c>
      <c r="CZ30" s="2">
        <v>24.121210000000001</v>
      </c>
    </row>
    <row r="31" spans="1:104" ht="15" customHeight="1" x14ac:dyDescent="0.2">
      <c r="A31" s="1">
        <f t="shared" si="0"/>
        <v>25</v>
      </c>
      <c r="B31" s="1" t="s">
        <v>88</v>
      </c>
      <c r="C31" s="1" t="s">
        <v>87</v>
      </c>
      <c r="D31" s="1" t="s">
        <v>9</v>
      </c>
      <c r="E31" s="1" t="s">
        <v>31</v>
      </c>
      <c r="F31" s="1" t="s">
        <v>32</v>
      </c>
      <c r="G31" s="2">
        <v>25548.85</v>
      </c>
      <c r="H31" s="2">
        <v>97.524500000000003</v>
      </c>
      <c r="I31" s="2">
        <v>24916.39</v>
      </c>
      <c r="J31" s="3">
        <v>123.9</v>
      </c>
      <c r="K31" s="3">
        <v>0</v>
      </c>
      <c r="L31" s="2">
        <v>7.0217910000000003</v>
      </c>
      <c r="M31" s="2">
        <v>7.4092010000000004</v>
      </c>
      <c r="N31" s="2">
        <v>7.3688450000000003</v>
      </c>
      <c r="O31" s="2">
        <v>7.6674740000000003</v>
      </c>
      <c r="P31" s="2">
        <v>4.1815730000000002</v>
      </c>
      <c r="Q31" s="2">
        <v>3.8203239999999998</v>
      </c>
      <c r="R31" s="2">
        <v>3.8442440000000002</v>
      </c>
      <c r="S31" s="2">
        <v>3.7229570000000001</v>
      </c>
      <c r="T31" s="2">
        <v>0.52496169999999998</v>
      </c>
      <c r="U31" s="2">
        <v>0.65034979999999998</v>
      </c>
      <c r="V31" s="2">
        <v>0.58577769999999996</v>
      </c>
      <c r="W31" s="2">
        <v>0.57493039999999995</v>
      </c>
      <c r="X31" s="2">
        <v>0.37556840000000002</v>
      </c>
      <c r="Y31" s="2">
        <v>0.3659347</v>
      </c>
      <c r="Z31" s="2">
        <v>0.34394629999999998</v>
      </c>
      <c r="AA31" s="2">
        <v>0.31107659999999998</v>
      </c>
      <c r="AB31" s="2">
        <v>2.078859</v>
      </c>
      <c r="AC31" s="2">
        <v>1.7328920000000001</v>
      </c>
      <c r="AD31" s="2">
        <v>1.704644</v>
      </c>
      <c r="AE31" s="2">
        <v>1.4305509999999999</v>
      </c>
      <c r="AF31" s="2">
        <v>-75.225139999999996</v>
      </c>
      <c r="AG31" s="2">
        <v>-55.243090000000002</v>
      </c>
      <c r="AH31" s="2">
        <v>-55.89875</v>
      </c>
      <c r="AI31" s="2">
        <v>39.343029999999999</v>
      </c>
      <c r="AJ31" s="2">
        <v>35.503189999999996</v>
      </c>
      <c r="AK31" s="2">
        <v>38.979880000000001</v>
      </c>
      <c r="AL31" s="3">
        <v>0.42141489999999998</v>
      </c>
      <c r="AM31" s="3">
        <v>0.42381429999999998</v>
      </c>
      <c r="AN31" s="2">
        <v>16.75564</v>
      </c>
      <c r="AO31" s="2">
        <v>16.283080000000002</v>
      </c>
      <c r="AP31" s="2">
        <v>16.109390000000001</v>
      </c>
      <c r="AQ31" s="2">
        <v>14.897779999999999</v>
      </c>
      <c r="AR31" s="2">
        <v>-0.91937729999999995</v>
      </c>
      <c r="AS31" s="2">
        <v>-0.77730279999999996</v>
      </c>
      <c r="AT31" s="2">
        <v>-0.83340400000000003</v>
      </c>
      <c r="AU31" s="2">
        <v>-0.88718750000000002</v>
      </c>
      <c r="AV31" s="1" t="s">
        <v>6</v>
      </c>
      <c r="AW31" s="3">
        <v>1.521739</v>
      </c>
      <c r="AX31" s="3">
        <v>152.5</v>
      </c>
      <c r="AY31" s="2">
        <v>23.083130000000001</v>
      </c>
      <c r="AZ31" s="2">
        <v>9.5786289999999994</v>
      </c>
      <c r="BA31" s="2">
        <v>9.1402669999999997</v>
      </c>
      <c r="BB31" s="2">
        <v>-3.4595549999999999</v>
      </c>
      <c r="BC31" s="2">
        <v>6.4250109999999996</v>
      </c>
      <c r="BD31" s="3">
        <v>112.84</v>
      </c>
      <c r="BE31" s="2">
        <v>9.8014949999999992</v>
      </c>
      <c r="BF31" s="3">
        <v>153.74</v>
      </c>
      <c r="BG31" s="2">
        <v>-19.409389999999998</v>
      </c>
      <c r="BH31" s="2">
        <v>28.79974</v>
      </c>
      <c r="BI31" s="2">
        <v>27.17258</v>
      </c>
      <c r="BJ31" s="2">
        <v>29.145479999999999</v>
      </c>
      <c r="BK31" s="2">
        <v>28.89584</v>
      </c>
      <c r="BL31" s="2">
        <v>19</v>
      </c>
      <c r="BM31" s="2">
        <v>17</v>
      </c>
      <c r="BN31" s="4">
        <v>23</v>
      </c>
      <c r="BO31" s="4">
        <v>0</v>
      </c>
      <c r="BP31" s="4">
        <v>0</v>
      </c>
      <c r="BQ31" s="4">
        <v>23</v>
      </c>
      <c r="BR31" s="2">
        <v>0</v>
      </c>
      <c r="BS31" s="4">
        <v>14</v>
      </c>
      <c r="BT31" s="4">
        <v>2</v>
      </c>
      <c r="BU31" s="4">
        <v>23</v>
      </c>
      <c r="BV31" s="2">
        <v>60.86956</v>
      </c>
      <c r="BW31" s="2">
        <v>10.0426</v>
      </c>
      <c r="BX31" s="2">
        <v>206.2054</v>
      </c>
      <c r="BY31" s="3">
        <v>1.0891010000000001</v>
      </c>
      <c r="BZ31" s="3">
        <v>0.52816300000000005</v>
      </c>
      <c r="CA31" s="2">
        <v>1.31785</v>
      </c>
      <c r="CB31" s="3">
        <v>0.52816300000000005</v>
      </c>
      <c r="CC31" s="3">
        <v>30.995439999999999</v>
      </c>
      <c r="CD31" s="3">
        <v>32.166409999999999</v>
      </c>
      <c r="CE31" s="2">
        <v>3.7778740000000002</v>
      </c>
      <c r="CF31" s="3">
        <v>21754.080000000002</v>
      </c>
      <c r="CG31" s="3">
        <v>23551.06</v>
      </c>
      <c r="CH31" s="2">
        <v>8.2604170000000003</v>
      </c>
      <c r="CI31" s="3">
        <v>173.78569999999999</v>
      </c>
      <c r="CJ31" s="2">
        <v>-12.248250000000001</v>
      </c>
      <c r="CK31" s="3">
        <v>297942.40000000002</v>
      </c>
      <c r="CL31" s="3">
        <v>305623.5</v>
      </c>
      <c r="CM31" s="2">
        <v>2.57802</v>
      </c>
      <c r="CN31" s="3">
        <v>122.4676</v>
      </c>
      <c r="CO31" s="3">
        <v>123.0137</v>
      </c>
      <c r="CP31" s="3">
        <v>124.8108</v>
      </c>
      <c r="CQ31" s="2">
        <v>1.1696340000000001</v>
      </c>
      <c r="CR31" s="2">
        <v>0.72045329999999996</v>
      </c>
      <c r="CS31" s="2">
        <v>-0.72972769999999998</v>
      </c>
      <c r="CT31" s="2">
        <v>0.44596200000000003</v>
      </c>
      <c r="CU31" s="2">
        <v>126.49209999999999</v>
      </c>
      <c r="CV31" s="3">
        <v>0.49509900000000001</v>
      </c>
      <c r="CW31" s="2">
        <v>22.323709999999998</v>
      </c>
      <c r="CX31" s="2">
        <v>4.949916</v>
      </c>
      <c r="CY31" s="2">
        <v>10.10975</v>
      </c>
      <c r="CZ31" s="2">
        <v>24.383839999999999</v>
      </c>
    </row>
    <row r="32" spans="1:104" ht="15" customHeight="1" x14ac:dyDescent="0.2">
      <c r="A32" s="1">
        <f t="shared" si="0"/>
        <v>26</v>
      </c>
      <c r="B32" s="1" t="s">
        <v>90</v>
      </c>
      <c r="C32" s="1" t="s">
        <v>89</v>
      </c>
      <c r="D32" s="1" t="s">
        <v>52</v>
      </c>
      <c r="E32" s="1" t="s">
        <v>91</v>
      </c>
      <c r="F32" s="1" t="s">
        <v>92</v>
      </c>
      <c r="G32" s="2">
        <v>83778.28</v>
      </c>
      <c r="H32" s="2">
        <v>96.965199999999996</v>
      </c>
      <c r="I32" s="2">
        <v>81235.78</v>
      </c>
      <c r="J32" s="3">
        <v>159.96</v>
      </c>
      <c r="K32" s="3">
        <v>0</v>
      </c>
      <c r="L32" s="2">
        <v>1.844211</v>
      </c>
      <c r="M32" s="2">
        <v>1.9942489999999999</v>
      </c>
      <c r="N32" s="2">
        <v>2.1255310000000001</v>
      </c>
      <c r="O32" s="2">
        <v>2.2670919999999999</v>
      </c>
      <c r="P32" s="2">
        <v>26.410550000000001</v>
      </c>
      <c r="Q32" s="2">
        <v>24.45872</v>
      </c>
      <c r="R32" s="2">
        <v>22.38768</v>
      </c>
      <c r="S32" s="2">
        <v>20.777740000000001</v>
      </c>
      <c r="T32" s="2">
        <v>10.857760000000001</v>
      </c>
      <c r="U32" s="2">
        <v>12.07952</v>
      </c>
      <c r="V32" s="2">
        <v>11.25136</v>
      </c>
      <c r="W32" s="2">
        <v>10.46458</v>
      </c>
      <c r="X32" s="2">
        <v>3.518078</v>
      </c>
      <c r="Y32" s="2">
        <v>3.2745139999999999</v>
      </c>
      <c r="Z32" s="2">
        <v>3.0352939999999999</v>
      </c>
      <c r="AA32" s="2">
        <v>2.8031190000000001</v>
      </c>
      <c r="AB32" s="2">
        <v>14.408989999999999</v>
      </c>
      <c r="AC32" s="2">
        <v>13.08446</v>
      </c>
      <c r="AD32" s="2">
        <v>12.665509999999999</v>
      </c>
      <c r="AE32" s="2">
        <v>11.649839999999999</v>
      </c>
      <c r="AF32" s="2">
        <v>2.5597020000000001</v>
      </c>
      <c r="AG32" s="2">
        <v>2.844357</v>
      </c>
      <c r="AH32" s="2">
        <v>3.1844779999999999</v>
      </c>
      <c r="AI32" s="2">
        <v>2.8599209999999999</v>
      </c>
      <c r="AJ32" s="2">
        <v>3.156469</v>
      </c>
      <c r="AK32" s="2">
        <v>3.4951780000000001</v>
      </c>
      <c r="AL32" s="3">
        <v>3.3109459999999999</v>
      </c>
      <c r="AM32" s="3">
        <v>3.0378790000000002</v>
      </c>
      <c r="AN32" s="2">
        <v>24.479520000000001</v>
      </c>
      <c r="AO32" s="2">
        <v>26.40307</v>
      </c>
      <c r="AP32" s="2">
        <v>26.800840000000001</v>
      </c>
      <c r="AQ32" s="2">
        <v>27.060829999999999</v>
      </c>
      <c r="AR32" s="2">
        <v>1.400344</v>
      </c>
      <c r="AS32" s="2">
        <v>1.268043</v>
      </c>
      <c r="AT32" s="2">
        <v>1.1125339999999999</v>
      </c>
      <c r="AU32" s="2">
        <v>0.9302378</v>
      </c>
      <c r="AV32" s="1" t="s">
        <v>24</v>
      </c>
      <c r="AW32" s="3">
        <v>1.5</v>
      </c>
      <c r="AX32" s="3">
        <v>179</v>
      </c>
      <c r="AY32" s="2">
        <v>11.902979999999999</v>
      </c>
      <c r="AZ32" s="2">
        <v>13.387919999999999</v>
      </c>
      <c r="BA32" s="2">
        <v>7.9</v>
      </c>
      <c r="BB32" s="2">
        <v>27.073409999999999</v>
      </c>
      <c r="BC32" s="2">
        <v>20.815719999999999</v>
      </c>
      <c r="BD32" s="3">
        <v>114.44</v>
      </c>
      <c r="BE32" s="2">
        <v>39.776299999999999</v>
      </c>
      <c r="BF32" s="3">
        <v>167.94</v>
      </c>
      <c r="BG32" s="2">
        <v>-4.7516939999999996</v>
      </c>
      <c r="BH32" s="2">
        <v>48.685400000000001</v>
      </c>
      <c r="BI32" s="2">
        <v>48.989579999999997</v>
      </c>
      <c r="BJ32" s="2">
        <v>47.896349999999998</v>
      </c>
      <c r="BK32" s="2">
        <v>46.925780000000003</v>
      </c>
      <c r="BL32" s="2">
        <v>24</v>
      </c>
      <c r="BM32" s="2">
        <v>21</v>
      </c>
      <c r="BN32" s="4">
        <v>26</v>
      </c>
      <c r="BO32" s="4">
        <v>0</v>
      </c>
      <c r="BP32" s="4">
        <v>1</v>
      </c>
      <c r="BQ32" s="4">
        <v>26</v>
      </c>
      <c r="BR32" s="2">
        <v>0</v>
      </c>
      <c r="BS32" s="4">
        <v>16</v>
      </c>
      <c r="BT32" s="4">
        <v>2</v>
      </c>
      <c r="BU32" s="4">
        <v>26</v>
      </c>
      <c r="BV32" s="2">
        <v>61.538460000000001</v>
      </c>
      <c r="BW32" s="2">
        <v>6.0929500000000001</v>
      </c>
      <c r="BX32" s="2">
        <v>523.74519999999995</v>
      </c>
      <c r="BY32" s="3">
        <v>0.71919679999999997</v>
      </c>
      <c r="BZ32" s="3">
        <v>0.1373181</v>
      </c>
      <c r="CA32" s="2">
        <v>0.72943400000000003</v>
      </c>
      <c r="CB32" s="3">
        <v>0.1373181</v>
      </c>
      <c r="CC32" s="3">
        <v>6.4595120000000001</v>
      </c>
      <c r="CD32" s="3">
        <v>6.5258409999999998</v>
      </c>
      <c r="CE32" s="2">
        <v>1.0268330000000001</v>
      </c>
      <c r="CF32" s="3">
        <v>5134.7920000000004</v>
      </c>
      <c r="CG32" s="3">
        <v>5159.3140000000003</v>
      </c>
      <c r="CH32" s="2">
        <v>0.4775643</v>
      </c>
      <c r="CI32" s="3">
        <v>166.2851</v>
      </c>
      <c r="CJ32" s="2">
        <v>7.6464299999999996</v>
      </c>
      <c r="CK32" s="3">
        <v>29734.51</v>
      </c>
      <c r="CL32" s="3">
        <v>29262.39</v>
      </c>
      <c r="CM32" s="2">
        <v>-1.5877600000000001</v>
      </c>
      <c r="CN32" s="3">
        <v>147.22909999999999</v>
      </c>
      <c r="CO32" s="3">
        <v>160.16550000000001</v>
      </c>
      <c r="CP32" s="3">
        <v>159.97999999999999</v>
      </c>
      <c r="CQ32" s="2">
        <v>8.6469760000000004</v>
      </c>
      <c r="CR32" s="2">
        <v>-0.12828709999999999</v>
      </c>
      <c r="CS32" s="2">
        <v>-1.249313E-2</v>
      </c>
      <c r="CT32" s="2">
        <v>8.7865350000000007</v>
      </c>
      <c r="CU32" s="2">
        <v>105.2389</v>
      </c>
      <c r="CV32" s="3">
        <v>0.1256159</v>
      </c>
      <c r="CW32" s="2">
        <v>-100</v>
      </c>
      <c r="CX32" s="2">
        <v>2.541868</v>
      </c>
      <c r="CY32" s="2" t="e">
        <v>#N/A</v>
      </c>
      <c r="CZ32" s="2">
        <v>24.85859</v>
      </c>
    </row>
    <row r="33" spans="1:104" ht="15" customHeight="1" x14ac:dyDescent="0.2">
      <c r="A33" s="1">
        <f t="shared" si="0"/>
        <v>27</v>
      </c>
      <c r="B33" s="1" t="s">
        <v>94</v>
      </c>
      <c r="C33" s="1" t="s">
        <v>93</v>
      </c>
      <c r="D33" s="1" t="s">
        <v>9</v>
      </c>
      <c r="E33" s="1" t="s">
        <v>4</v>
      </c>
      <c r="F33" s="1" t="s">
        <v>95</v>
      </c>
      <c r="G33" s="2">
        <v>45675.89</v>
      </c>
      <c r="H33" s="2">
        <v>99.998099999999994</v>
      </c>
      <c r="I33" s="2">
        <v>45675.02</v>
      </c>
      <c r="J33" s="3">
        <v>334.7</v>
      </c>
      <c r="K33" s="3">
        <v>0</v>
      </c>
      <c r="L33" s="2">
        <v>3.4657900000000001</v>
      </c>
      <c r="M33" s="2">
        <v>3.7048100000000002</v>
      </c>
      <c r="N33" s="2">
        <v>3.8990140000000002</v>
      </c>
      <c r="O33" s="2">
        <v>4.1679120000000003</v>
      </c>
      <c r="P33" s="2">
        <v>13.589119999999999</v>
      </c>
      <c r="Q33" s="2">
        <v>10.80026</v>
      </c>
      <c r="R33" s="2">
        <v>9.5628580000000003</v>
      </c>
      <c r="S33" s="2">
        <v>8.7389039999999998</v>
      </c>
      <c r="T33" s="2">
        <v>9.4313540000000007</v>
      </c>
      <c r="U33" s="2">
        <v>7.4009970000000003</v>
      </c>
      <c r="V33" s="2">
        <v>7.3481800000000002</v>
      </c>
      <c r="W33" s="2">
        <v>6.6931349999999998</v>
      </c>
      <c r="X33" s="2">
        <v>2.2136239999999998</v>
      </c>
      <c r="Y33" s="2">
        <v>1.600096</v>
      </c>
      <c r="Z33" s="2">
        <v>1.4715320000000001</v>
      </c>
      <c r="AA33" s="2">
        <v>1.3422970000000001</v>
      </c>
      <c r="AB33" s="2" t="e">
        <v>#N/A</v>
      </c>
      <c r="AC33" s="2" t="e">
        <v>#N/A</v>
      </c>
      <c r="AD33" s="2" t="e">
        <v>#N/A</v>
      </c>
      <c r="AE33" s="2" t="e">
        <v>#N/A</v>
      </c>
      <c r="AF33" s="2">
        <v>-0.95954870000000003</v>
      </c>
      <c r="AG33" s="2">
        <v>3.0998060000000001</v>
      </c>
      <c r="AH33" s="2">
        <v>4.6625800000000002</v>
      </c>
      <c r="AI33" s="2">
        <v>-0.96585670000000001</v>
      </c>
      <c r="AJ33" s="2">
        <v>3.1201829999999999</v>
      </c>
      <c r="AK33" s="2">
        <v>4.6932320000000001</v>
      </c>
      <c r="AL33" s="3">
        <v>1.7970410000000001</v>
      </c>
      <c r="AM33" s="3">
        <v>1.5844830000000001</v>
      </c>
      <c r="AN33" s="2">
        <v>7.1489859999999998</v>
      </c>
      <c r="AO33" s="2">
        <v>9.0109300000000001</v>
      </c>
      <c r="AP33" s="2">
        <v>8.7091639999999995</v>
      </c>
      <c r="AQ33" s="2">
        <v>9.3341779999999996</v>
      </c>
      <c r="AR33" s="2">
        <v>0.55718210000000001</v>
      </c>
      <c r="AS33" s="2">
        <v>4.8335940000000001E-2</v>
      </c>
      <c r="AT33" s="2">
        <v>4.7990989999999997E-2</v>
      </c>
      <c r="AU33" s="2">
        <v>4.3712889999999997E-2</v>
      </c>
      <c r="AV33" s="1" t="s">
        <v>6</v>
      </c>
      <c r="AW33" s="3">
        <v>1.361111</v>
      </c>
      <c r="AX33" s="3">
        <v>354.5</v>
      </c>
      <c r="AY33" s="2">
        <v>5.915737</v>
      </c>
      <c r="AZ33" s="2">
        <v>14.81535</v>
      </c>
      <c r="BA33" s="2">
        <v>6</v>
      </c>
      <c r="BB33" s="2">
        <v>51.106090000000002</v>
      </c>
      <c r="BC33" s="2">
        <v>10.09868</v>
      </c>
      <c r="BD33" s="3">
        <v>212.7</v>
      </c>
      <c r="BE33" s="2">
        <v>57.357790000000001</v>
      </c>
      <c r="BF33" s="3">
        <v>346.9</v>
      </c>
      <c r="BG33" s="2">
        <v>-3.5168590000000002</v>
      </c>
      <c r="BH33" s="2">
        <v>47.236240000000002</v>
      </c>
      <c r="BI33" s="2">
        <v>40.190469999999998</v>
      </c>
      <c r="BJ33" s="2">
        <v>37.72345</v>
      </c>
      <c r="BK33" s="2">
        <v>37.230550000000001</v>
      </c>
      <c r="BL33" s="2">
        <v>15</v>
      </c>
      <c r="BM33" s="2">
        <v>8</v>
      </c>
      <c r="BN33" s="4">
        <v>18</v>
      </c>
      <c r="BO33" s="4">
        <v>0</v>
      </c>
      <c r="BP33" s="4">
        <v>0</v>
      </c>
      <c r="BQ33" s="4">
        <v>18</v>
      </c>
      <c r="BR33" s="2">
        <v>0</v>
      </c>
      <c r="BS33" s="4">
        <v>12</v>
      </c>
      <c r="BT33" s="4">
        <v>0</v>
      </c>
      <c r="BU33" s="4">
        <v>18</v>
      </c>
      <c r="BV33" s="2">
        <v>66.666669999999996</v>
      </c>
      <c r="BW33" s="2">
        <v>7.0850099999999996</v>
      </c>
      <c r="BX33" s="2">
        <v>136.46809999999999</v>
      </c>
      <c r="BY33" s="3">
        <v>0.33670620000000001</v>
      </c>
      <c r="BZ33" s="3">
        <v>0.2467288</v>
      </c>
      <c r="CA33" s="2">
        <v>0.85222500000000001</v>
      </c>
      <c r="CB33" s="3">
        <v>0.2467288</v>
      </c>
      <c r="CC33" s="3">
        <v>30.37068</v>
      </c>
      <c r="CD33" s="3">
        <v>31.04177</v>
      </c>
      <c r="CE33" s="2">
        <v>2.209651</v>
      </c>
      <c r="CF33" s="3">
        <v>5553.0870000000004</v>
      </c>
      <c r="CG33" s="3">
        <v>5916.7479999999996</v>
      </c>
      <c r="CH33" s="2">
        <v>6.5487979999999997</v>
      </c>
      <c r="CI33" s="3">
        <v>351.84739999999999</v>
      </c>
      <c r="CJ33" s="2">
        <v>0.75391529999999995</v>
      </c>
      <c r="CK33" s="3">
        <v>68886.31</v>
      </c>
      <c r="CL33" s="3">
        <v>66390.69</v>
      </c>
      <c r="CM33" s="2">
        <v>-3.6228180000000001</v>
      </c>
      <c r="CN33" s="3">
        <v>314.27809999999999</v>
      </c>
      <c r="CO33" s="3">
        <v>332.12349999999998</v>
      </c>
      <c r="CP33" s="3">
        <v>331.4769</v>
      </c>
      <c r="CQ33" s="2">
        <v>6.4980390000000003</v>
      </c>
      <c r="CR33" s="2">
        <v>0.77575450000000001</v>
      </c>
      <c r="CS33" s="2">
        <v>0.9723425</v>
      </c>
      <c r="CT33" s="2">
        <v>5.6782250000000003</v>
      </c>
      <c r="CU33" s="2">
        <v>98.347430000000003</v>
      </c>
      <c r="CV33" s="3">
        <v>0.2153159</v>
      </c>
      <c r="CW33" s="2">
        <v>-2.0308329999999999</v>
      </c>
      <c r="CX33" s="2">
        <v>19.186070000000001</v>
      </c>
      <c r="CY33" s="2">
        <v>18.154949999999999</v>
      </c>
      <c r="CZ33" s="2">
        <v>25.0505</v>
      </c>
    </row>
    <row r="34" spans="1:104" ht="15" customHeight="1" x14ac:dyDescent="0.2">
      <c r="A34" s="1">
        <f t="shared" si="0"/>
        <v>28</v>
      </c>
      <c r="B34" s="1" t="s">
        <v>97</v>
      </c>
      <c r="C34" s="1" t="s">
        <v>96</v>
      </c>
      <c r="D34" s="1" t="s">
        <v>52</v>
      </c>
      <c r="E34" s="1" t="s">
        <v>14</v>
      </c>
      <c r="F34" s="1" t="s">
        <v>98</v>
      </c>
      <c r="G34" s="2">
        <v>92765.04</v>
      </c>
      <c r="H34" s="2">
        <v>92.261300000000006</v>
      </c>
      <c r="I34" s="2">
        <v>85586.23</v>
      </c>
      <c r="J34" s="3">
        <v>161.94</v>
      </c>
      <c r="K34" s="3">
        <v>0</v>
      </c>
      <c r="L34" s="2">
        <v>1.945165</v>
      </c>
      <c r="M34" s="2">
        <v>2.1304189999999998</v>
      </c>
      <c r="N34" s="2">
        <v>2.3156720000000002</v>
      </c>
      <c r="O34" s="2">
        <v>2.4947509999999999</v>
      </c>
      <c r="P34" s="2">
        <v>22.77637</v>
      </c>
      <c r="Q34" s="2">
        <v>20.280529999999999</v>
      </c>
      <c r="R34" s="2">
        <v>18.853940000000001</v>
      </c>
      <c r="S34" s="2">
        <v>17.440799999999999</v>
      </c>
      <c r="T34" s="2">
        <v>12.192030000000001</v>
      </c>
      <c r="U34" s="2">
        <v>13.68432</v>
      </c>
      <c r="V34" s="2">
        <v>12.73306</v>
      </c>
      <c r="W34" s="2">
        <v>11.529249999999999</v>
      </c>
      <c r="X34" s="2">
        <v>3.5560809999999998</v>
      </c>
      <c r="Y34" s="2">
        <v>3.3164220000000002</v>
      </c>
      <c r="Z34" s="2">
        <v>3.0712989999999998</v>
      </c>
      <c r="AA34" s="2">
        <v>2.8201830000000001</v>
      </c>
      <c r="AB34" s="2">
        <v>20.589960000000001</v>
      </c>
      <c r="AC34" s="2">
        <v>16.683769999999999</v>
      </c>
      <c r="AD34" s="2">
        <v>15.495100000000001</v>
      </c>
      <c r="AE34" s="2">
        <v>14.0481</v>
      </c>
      <c r="AF34" s="2">
        <v>3.8642629999999998</v>
      </c>
      <c r="AG34" s="2">
        <v>4.6358740000000003</v>
      </c>
      <c r="AH34" s="2">
        <v>5.1873709999999997</v>
      </c>
      <c r="AI34" s="2">
        <v>4.2467990000000002</v>
      </c>
      <c r="AJ34" s="2">
        <v>4.9745679999999997</v>
      </c>
      <c r="AK34" s="2">
        <v>5.4301729999999999</v>
      </c>
      <c r="AL34" s="3">
        <v>3.5931999999999999</v>
      </c>
      <c r="AM34" s="3">
        <v>3.323699</v>
      </c>
      <c r="AN34" s="2">
        <v>19.511209999999998</v>
      </c>
      <c r="AO34" s="2">
        <v>20.668610000000001</v>
      </c>
      <c r="AP34" s="2">
        <v>20.74249</v>
      </c>
      <c r="AQ34" s="2">
        <v>21.190339999999999</v>
      </c>
      <c r="AR34" s="2">
        <v>0.99652830000000003</v>
      </c>
      <c r="AS34" s="2">
        <v>1.2326330000000001</v>
      </c>
      <c r="AT34" s="2">
        <v>0.86693299999999995</v>
      </c>
      <c r="AU34" s="2">
        <v>0.51551349999999996</v>
      </c>
      <c r="AV34" s="1" t="s">
        <v>6</v>
      </c>
      <c r="AW34" s="3">
        <v>1.521739</v>
      </c>
      <c r="AX34" s="3">
        <v>173</v>
      </c>
      <c r="AY34" s="2">
        <v>6.8296910000000004</v>
      </c>
      <c r="AZ34" s="2">
        <v>16.352740000000001</v>
      </c>
      <c r="BA34" s="2">
        <v>5</v>
      </c>
      <c r="BB34" s="2">
        <v>41.111890000000002</v>
      </c>
      <c r="BC34" s="2">
        <v>23.883099999999999</v>
      </c>
      <c r="BD34" s="3">
        <v>111.14</v>
      </c>
      <c r="BE34" s="2">
        <v>45.708120000000001</v>
      </c>
      <c r="BF34" s="3">
        <v>167.98</v>
      </c>
      <c r="BG34" s="2">
        <v>-3.5956619999999999</v>
      </c>
      <c r="BH34" s="2">
        <v>43.785690000000002</v>
      </c>
      <c r="BI34" s="2">
        <v>44.514299999999999</v>
      </c>
      <c r="BJ34" s="2">
        <v>44.34928</v>
      </c>
      <c r="BK34" s="2">
        <v>43.987180000000002</v>
      </c>
      <c r="BL34" s="2">
        <v>22</v>
      </c>
      <c r="BM34" s="2">
        <v>21</v>
      </c>
      <c r="BN34" s="4">
        <v>23</v>
      </c>
      <c r="BO34" s="4">
        <v>1</v>
      </c>
      <c r="BP34" s="4">
        <v>2</v>
      </c>
      <c r="BQ34" s="4">
        <v>20</v>
      </c>
      <c r="BR34" s="2">
        <v>4.3478260000000004</v>
      </c>
      <c r="BS34" s="4">
        <v>15</v>
      </c>
      <c r="BT34" s="4">
        <v>3</v>
      </c>
      <c r="BU34" s="4">
        <v>23</v>
      </c>
      <c r="BV34" s="2">
        <v>65.217389999999995</v>
      </c>
      <c r="BW34" s="2">
        <v>7.3559999999999999</v>
      </c>
      <c r="BX34" s="2">
        <v>572.83590000000004</v>
      </c>
      <c r="BY34" s="3">
        <v>0.82661220000000002</v>
      </c>
      <c r="BZ34" s="3">
        <v>0.14430180000000001</v>
      </c>
      <c r="CA34" s="2">
        <v>0.96432899999999999</v>
      </c>
      <c r="CB34" s="3">
        <v>0.14430180000000001</v>
      </c>
      <c r="CC34" s="3">
        <v>7.8031319999999997</v>
      </c>
      <c r="CD34" s="3">
        <v>7.8679589999999999</v>
      </c>
      <c r="CE34" s="2">
        <v>0.83079340000000002</v>
      </c>
      <c r="CF34" s="3">
        <v>6043.5969999999998</v>
      </c>
      <c r="CG34" s="3">
        <v>6138.9669999999996</v>
      </c>
      <c r="CH34" s="2">
        <v>1.5780449999999999</v>
      </c>
      <c r="CI34" s="3">
        <v>168.52379999999999</v>
      </c>
      <c r="CJ34" s="2">
        <v>2.656126</v>
      </c>
      <c r="CK34" s="3">
        <v>35999.08</v>
      </c>
      <c r="CL34" s="3">
        <v>36063.21</v>
      </c>
      <c r="CM34" s="2">
        <v>0.17814640000000001</v>
      </c>
      <c r="CN34" s="3">
        <v>147.53450000000001</v>
      </c>
      <c r="CO34" s="3">
        <v>161.5094</v>
      </c>
      <c r="CP34" s="3">
        <v>161.99</v>
      </c>
      <c r="CQ34" s="2">
        <v>9.7641580000000001</v>
      </c>
      <c r="CR34" s="2">
        <v>0.26658769999999998</v>
      </c>
      <c r="CS34" s="2">
        <v>-3.0857320000000001E-2</v>
      </c>
      <c r="CT34" s="2">
        <v>9.4723220000000001</v>
      </c>
      <c r="CU34" s="2">
        <v>120.05329999999999</v>
      </c>
      <c r="CV34" s="3">
        <v>0.12941659999999999</v>
      </c>
      <c r="CW34" s="2" t="e">
        <v>#N/A</v>
      </c>
      <c r="CX34" s="2">
        <v>2.0308540000000002</v>
      </c>
      <c r="CY34" s="2" t="e">
        <v>#N/A</v>
      </c>
      <c r="CZ34" s="2">
        <v>25.171720000000001</v>
      </c>
    </row>
    <row r="35" spans="1:104" ht="15" customHeight="1" x14ac:dyDescent="0.2">
      <c r="A35" s="1">
        <f t="shared" si="0"/>
        <v>29</v>
      </c>
      <c r="B35" s="1" t="s">
        <v>100</v>
      </c>
      <c r="C35" s="1" t="s">
        <v>99</v>
      </c>
      <c r="D35" s="1" t="s">
        <v>9</v>
      </c>
      <c r="E35" s="1" t="s">
        <v>4</v>
      </c>
      <c r="F35" s="1" t="s">
        <v>101</v>
      </c>
      <c r="G35" s="2">
        <v>85563.06</v>
      </c>
      <c r="H35" s="2">
        <v>99.570499999999996</v>
      </c>
      <c r="I35" s="2">
        <v>85195.57</v>
      </c>
      <c r="J35" s="3">
        <v>212.15</v>
      </c>
      <c r="K35" s="3">
        <v>0</v>
      </c>
      <c r="L35" s="2">
        <v>5.3735569999999999</v>
      </c>
      <c r="M35" s="2">
        <v>5.6563749999999997</v>
      </c>
      <c r="N35" s="2">
        <v>6.0898099999999999</v>
      </c>
      <c r="O35" s="2">
        <v>6.5519679999999996</v>
      </c>
      <c r="P35" s="2">
        <v>13.04735</v>
      </c>
      <c r="Q35" s="2">
        <v>9.0895449999999993</v>
      </c>
      <c r="R35" s="2">
        <v>8.1690419999999992</v>
      </c>
      <c r="S35" s="2">
        <v>7.5538540000000003</v>
      </c>
      <c r="T35" s="2">
        <v>10.61443</v>
      </c>
      <c r="U35" s="2">
        <v>7.1105219999999996</v>
      </c>
      <c r="V35" s="2">
        <v>6.807817</v>
      </c>
      <c r="W35" s="2">
        <v>6.4904279999999996</v>
      </c>
      <c r="X35" s="2">
        <v>1.664059</v>
      </c>
      <c r="Y35" s="2">
        <v>1.4087259999999999</v>
      </c>
      <c r="Z35" s="2">
        <v>1.2842009999999999</v>
      </c>
      <c r="AA35" s="2">
        <v>1.183146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>
        <v>4.6679409999999999</v>
      </c>
      <c r="AG35" s="2">
        <v>5.0802350000000001</v>
      </c>
      <c r="AH35" s="2">
        <v>5.3503559999999997</v>
      </c>
      <c r="AI35" s="2">
        <v>5.6760780000000004</v>
      </c>
      <c r="AJ35" s="2">
        <v>6.1201949999999998</v>
      </c>
      <c r="AK35" s="2">
        <v>6.383159</v>
      </c>
      <c r="AL35" s="3">
        <v>0.4761378</v>
      </c>
      <c r="AM35" s="3">
        <v>0.43025560000000002</v>
      </c>
      <c r="AN35" s="2">
        <v>6.2952310000000002</v>
      </c>
      <c r="AO35" s="2">
        <v>9.2290539999999996</v>
      </c>
      <c r="AP35" s="2">
        <v>9.1413899999999995</v>
      </c>
      <c r="AQ35" s="2">
        <v>9.4707360000000005</v>
      </c>
      <c r="AR35" s="2">
        <v>2.1854990000000001</v>
      </c>
      <c r="AS35" s="2">
        <v>1.262912</v>
      </c>
      <c r="AT35" s="2">
        <v>1.156803</v>
      </c>
      <c r="AU35" s="2">
        <v>1.05016</v>
      </c>
      <c r="AV35" s="1" t="s">
        <v>6</v>
      </c>
      <c r="AW35" s="3">
        <v>1.3333330000000001</v>
      </c>
      <c r="AX35" s="3">
        <v>249.5</v>
      </c>
      <c r="AY35" s="2">
        <v>17.60547</v>
      </c>
      <c r="AZ35" s="2">
        <v>15.49831</v>
      </c>
      <c r="BA35" s="2">
        <v>18.71283</v>
      </c>
      <c r="BB35" s="2">
        <v>20.553470000000001</v>
      </c>
      <c r="BC35" s="2">
        <v>5.5997969999999997</v>
      </c>
      <c r="BD35" s="3">
        <v>156.22</v>
      </c>
      <c r="BE35" s="2">
        <v>35.802070000000001</v>
      </c>
      <c r="BF35" s="3">
        <v>228.4</v>
      </c>
      <c r="BG35" s="2">
        <v>-7.1147080000000003</v>
      </c>
      <c r="BH35" s="2">
        <v>70.432400000000001</v>
      </c>
      <c r="BI35" s="2">
        <v>51.251950000000001</v>
      </c>
      <c r="BJ35" s="2">
        <v>49.734340000000003</v>
      </c>
      <c r="BK35" s="2">
        <v>50.310870000000001</v>
      </c>
      <c r="BL35" s="2">
        <v>16</v>
      </c>
      <c r="BM35" s="2">
        <v>8</v>
      </c>
      <c r="BN35" s="4">
        <v>18</v>
      </c>
      <c r="BO35" s="4">
        <v>0</v>
      </c>
      <c r="BP35" s="4">
        <v>0</v>
      </c>
      <c r="BQ35" s="4">
        <v>18</v>
      </c>
      <c r="BR35" s="2">
        <v>0</v>
      </c>
      <c r="BS35" s="4">
        <v>13</v>
      </c>
      <c r="BT35" s="4">
        <v>0</v>
      </c>
      <c r="BU35" s="4">
        <v>18</v>
      </c>
      <c r="BV35" s="2">
        <v>72.222219999999993</v>
      </c>
      <c r="BW35" s="2">
        <v>8.4492899999999995</v>
      </c>
      <c r="BX35" s="2">
        <v>403.31400000000002</v>
      </c>
      <c r="BY35" s="3">
        <v>0.94627459999999997</v>
      </c>
      <c r="BZ35" s="3">
        <v>0.23462479999999999</v>
      </c>
      <c r="CA35" s="2">
        <v>1.17564</v>
      </c>
      <c r="CB35" s="3">
        <v>0.23462479999999999</v>
      </c>
      <c r="CC35" s="3">
        <v>24.26369</v>
      </c>
      <c r="CD35" s="3">
        <v>23.81062</v>
      </c>
      <c r="CE35" s="2">
        <v>-1.8672409999999999</v>
      </c>
      <c r="CF35" s="3">
        <v>14423.01</v>
      </c>
      <c r="CG35" s="3">
        <v>14793.68</v>
      </c>
      <c r="CH35" s="2">
        <v>2.5700090000000002</v>
      </c>
      <c r="CI35" s="3">
        <v>249.13159999999999</v>
      </c>
      <c r="CJ35" s="2">
        <v>0.14787910000000001</v>
      </c>
      <c r="CK35" s="3">
        <v>157526.79999999999</v>
      </c>
      <c r="CL35" s="3">
        <v>157816.20000000001</v>
      </c>
      <c r="CM35" s="2">
        <v>0.1837134</v>
      </c>
      <c r="CN35" s="3">
        <v>207.45939999999999</v>
      </c>
      <c r="CO35" s="3">
        <v>209.85159999999999</v>
      </c>
      <c r="CP35" s="3">
        <v>209.42500000000001</v>
      </c>
      <c r="CQ35" s="2">
        <v>2.2609469999999998</v>
      </c>
      <c r="CR35" s="2">
        <v>1.095259</v>
      </c>
      <c r="CS35" s="2">
        <v>1.3011809999999999</v>
      </c>
      <c r="CT35" s="2">
        <v>1.1530640000000001</v>
      </c>
      <c r="CU35" s="2">
        <v>190.0479</v>
      </c>
      <c r="CV35" s="3">
        <v>0.22211439999999999</v>
      </c>
      <c r="CW35" s="2">
        <v>-7.7401869999999997</v>
      </c>
      <c r="CX35" s="2">
        <v>0.52772929999999996</v>
      </c>
      <c r="CY35" s="2">
        <v>2.5219269999999998</v>
      </c>
      <c r="CZ35" s="2">
        <v>25.58586</v>
      </c>
    </row>
    <row r="36" spans="1:104" ht="15" customHeight="1" x14ac:dyDescent="0.2">
      <c r="A36" s="1">
        <f t="shared" si="0"/>
        <v>30</v>
      </c>
      <c r="B36" s="1" t="s">
        <v>103</v>
      </c>
      <c r="C36" s="1" t="s">
        <v>102</v>
      </c>
      <c r="D36" s="1" t="s">
        <v>52</v>
      </c>
      <c r="E36" s="1" t="s">
        <v>10</v>
      </c>
      <c r="F36" s="1" t="s">
        <v>104</v>
      </c>
      <c r="G36" s="2">
        <v>59278.13</v>
      </c>
      <c r="H36" s="2">
        <v>81.833799999999997</v>
      </c>
      <c r="I36" s="2">
        <v>48509.55</v>
      </c>
      <c r="J36" s="3">
        <v>138.74</v>
      </c>
      <c r="K36" s="3">
        <v>0</v>
      </c>
      <c r="L36" s="2">
        <v>0.97304310000000005</v>
      </c>
      <c r="M36" s="2">
        <v>1.4559610000000001</v>
      </c>
      <c r="N36" s="2">
        <v>1.8523860000000001</v>
      </c>
      <c r="O36" s="2">
        <v>2.241603</v>
      </c>
      <c r="P36" s="2">
        <v>51.768659999999997</v>
      </c>
      <c r="Q36" s="2">
        <v>27.748000000000001</v>
      </c>
      <c r="R36" s="2">
        <v>21.883279999999999</v>
      </c>
      <c r="S36" s="2">
        <v>18.147929999999999</v>
      </c>
      <c r="T36" s="2">
        <v>14.387549999999999</v>
      </c>
      <c r="U36" s="2">
        <v>13.3348</v>
      </c>
      <c r="V36" s="2">
        <v>10.980560000000001</v>
      </c>
      <c r="W36" s="2">
        <v>9.0703029999999991</v>
      </c>
      <c r="X36" s="2">
        <v>5.6790830000000003</v>
      </c>
      <c r="Y36" s="2">
        <v>5.1279009999999996</v>
      </c>
      <c r="Z36" s="2">
        <v>4.5192180000000004</v>
      </c>
      <c r="AA36" s="2">
        <v>3.9414769999999999</v>
      </c>
      <c r="AB36" s="2">
        <v>20.11393</v>
      </c>
      <c r="AC36" s="2">
        <v>15.280670000000001</v>
      </c>
      <c r="AD36" s="2">
        <v>15.64775</v>
      </c>
      <c r="AE36" s="2">
        <v>13.97064</v>
      </c>
      <c r="AF36" s="2">
        <v>4.5255289999999997</v>
      </c>
      <c r="AG36" s="2">
        <v>4.8926340000000001</v>
      </c>
      <c r="AH36" s="2">
        <v>5.9384959999999998</v>
      </c>
      <c r="AI36" s="2">
        <v>4.4265869999999996</v>
      </c>
      <c r="AJ36" s="2">
        <v>4.6331749999999996</v>
      </c>
      <c r="AK36" s="2">
        <v>5.4283650000000003</v>
      </c>
      <c r="AL36" s="3">
        <v>0.98464510000000005</v>
      </c>
      <c r="AM36" s="3">
        <v>0.77218940000000003</v>
      </c>
      <c r="AN36" s="2">
        <v>18.234829999999999</v>
      </c>
      <c r="AO36" s="2">
        <v>18.877949999999998</v>
      </c>
      <c r="AP36" s="2">
        <v>19.60932</v>
      </c>
      <c r="AQ36" s="2">
        <v>20.695630000000001</v>
      </c>
      <c r="AR36" s="2">
        <v>-4.0334200000000002E-3</v>
      </c>
      <c r="AS36" s="2">
        <v>-0.29805559999999998</v>
      </c>
      <c r="AT36" s="2">
        <v>-0.61491530000000005</v>
      </c>
      <c r="AU36" s="2">
        <v>-0.85238250000000004</v>
      </c>
      <c r="AV36" s="1" t="s">
        <v>6</v>
      </c>
      <c r="AW36" s="3">
        <v>1.2222219999999999</v>
      </c>
      <c r="AX36" s="3">
        <v>161</v>
      </c>
      <c r="AY36" s="2">
        <v>16.04439</v>
      </c>
      <c r="AZ36" s="2">
        <v>18.480250000000002</v>
      </c>
      <c r="BA36" s="2">
        <v>24</v>
      </c>
      <c r="BB36" s="2">
        <v>37.339149999999997</v>
      </c>
      <c r="BC36" s="2">
        <v>18.66235</v>
      </c>
      <c r="BD36" s="3">
        <v>89.41</v>
      </c>
      <c r="BE36" s="2">
        <v>55.172800000000002</v>
      </c>
      <c r="BF36" s="3">
        <v>145.52000000000001</v>
      </c>
      <c r="BG36" s="2">
        <v>-4.6591519999999997</v>
      </c>
      <c r="BH36" s="2">
        <v>51.52646</v>
      </c>
      <c r="BI36" s="2">
        <v>39.96452</v>
      </c>
      <c r="BJ36" s="2">
        <v>39.908949999999997</v>
      </c>
      <c r="BK36" s="2">
        <v>39.527070000000002</v>
      </c>
      <c r="BL36" s="2">
        <v>17</v>
      </c>
      <c r="BM36" s="2">
        <v>16</v>
      </c>
      <c r="BN36" s="4">
        <v>18</v>
      </c>
      <c r="BO36" s="4">
        <v>0</v>
      </c>
      <c r="BP36" s="4">
        <v>1</v>
      </c>
      <c r="BQ36" s="4">
        <v>18</v>
      </c>
      <c r="BR36" s="2">
        <v>0</v>
      </c>
      <c r="BS36" s="4">
        <v>15</v>
      </c>
      <c r="BT36" s="4">
        <v>0</v>
      </c>
      <c r="BU36" s="4">
        <v>18</v>
      </c>
      <c r="BV36" s="2">
        <v>83.333330000000004</v>
      </c>
      <c r="BW36" s="2">
        <v>9.5291099999999993</v>
      </c>
      <c r="BX36" s="2">
        <v>427.26060000000001</v>
      </c>
      <c r="BY36" s="3">
        <v>0.660547</v>
      </c>
      <c r="BZ36" s="3">
        <v>0.1546005</v>
      </c>
      <c r="CA36" s="2">
        <v>1.2888200000000001</v>
      </c>
      <c r="CB36" s="3">
        <v>0.1546005</v>
      </c>
      <c r="CC36" s="3">
        <v>5.0218379999999998</v>
      </c>
      <c r="CD36" s="3">
        <v>5.0293479999999997</v>
      </c>
      <c r="CE36" s="2">
        <v>0.14953610000000001</v>
      </c>
      <c r="CF36" s="3">
        <v>3088.6060000000002</v>
      </c>
      <c r="CG36" s="3">
        <v>3071.7469999999998</v>
      </c>
      <c r="CH36" s="2">
        <v>-0.54584739999999998</v>
      </c>
      <c r="CI36" s="3">
        <v>157.86670000000001</v>
      </c>
      <c r="CJ36" s="2">
        <v>1.984799</v>
      </c>
      <c r="CK36" s="3">
        <v>22961.119999999999</v>
      </c>
      <c r="CL36" s="3">
        <v>23090.3</v>
      </c>
      <c r="CM36" s="2">
        <v>0.56259630000000005</v>
      </c>
      <c r="CN36" s="3">
        <v>128.28960000000001</v>
      </c>
      <c r="CO36" s="3">
        <v>139.14590000000001</v>
      </c>
      <c r="CP36" s="3">
        <v>139.28149999999999</v>
      </c>
      <c r="CQ36" s="2">
        <v>8.1459519999999994</v>
      </c>
      <c r="CR36" s="2">
        <v>-0.29168729999999998</v>
      </c>
      <c r="CS36" s="2">
        <v>-0.38880710000000002</v>
      </c>
      <c r="CT36" s="2">
        <v>8.4623220000000003</v>
      </c>
      <c r="CU36" s="2">
        <v>78.406170000000003</v>
      </c>
      <c r="CV36" s="3">
        <v>0.13226830000000001</v>
      </c>
      <c r="CW36" s="2" t="e">
        <v>#N/A</v>
      </c>
      <c r="CX36" s="2">
        <v>3.8966159999999999</v>
      </c>
      <c r="CY36" s="2" t="e">
        <v>#N/A</v>
      </c>
      <c r="CZ36" s="2">
        <v>26.161619999999999</v>
      </c>
    </row>
    <row r="37" spans="1:104" ht="15" customHeight="1" x14ac:dyDescent="0.2">
      <c r="A37" s="1">
        <f t="shared" si="0"/>
        <v>31</v>
      </c>
      <c r="B37" s="1" t="s">
        <v>106</v>
      </c>
      <c r="C37" s="1" t="s">
        <v>105</v>
      </c>
      <c r="D37" s="1" t="s">
        <v>9</v>
      </c>
      <c r="E37" s="1" t="s">
        <v>53</v>
      </c>
      <c r="F37" s="1" t="s">
        <v>54</v>
      </c>
      <c r="G37" s="2">
        <v>31323.599999999999</v>
      </c>
      <c r="H37" s="2">
        <v>88.218900000000005</v>
      </c>
      <c r="I37" s="2">
        <v>27633.34</v>
      </c>
      <c r="J37" s="3">
        <v>174.02</v>
      </c>
      <c r="K37" s="3">
        <v>0</v>
      </c>
      <c r="L37" s="2">
        <v>0.40225260000000002</v>
      </c>
      <c r="M37" s="2">
        <v>0.3016894</v>
      </c>
      <c r="N37" s="2">
        <v>0.95034649999999998</v>
      </c>
      <c r="O37" s="2">
        <v>1.754265</v>
      </c>
      <c r="P37" s="2">
        <v>139.21600000000001</v>
      </c>
      <c r="Q37" s="2" t="e">
        <v>#N/A</v>
      </c>
      <c r="R37" s="2">
        <v>41.937759999999997</v>
      </c>
      <c r="S37" s="2">
        <v>22.747710000000001</v>
      </c>
      <c r="T37" s="2">
        <v>13.32179</v>
      </c>
      <c r="U37" s="2">
        <v>38.49841</v>
      </c>
      <c r="V37" s="2">
        <v>13.818580000000001</v>
      </c>
      <c r="W37" s="2">
        <v>10.547599999999999</v>
      </c>
      <c r="X37" s="2">
        <v>6.3883999999999999</v>
      </c>
      <c r="Y37" s="2">
        <v>6.7241119999999999</v>
      </c>
      <c r="Z37" s="2">
        <v>5.9141630000000003</v>
      </c>
      <c r="AA37" s="2">
        <v>4.8688900000000004</v>
      </c>
      <c r="AB37" s="2" t="e">
        <v>#N/A</v>
      </c>
      <c r="AC37" s="2">
        <v>15.40293</v>
      </c>
      <c r="AD37" s="2">
        <v>15.60219</v>
      </c>
      <c r="AE37" s="2">
        <v>12.533060000000001</v>
      </c>
      <c r="AF37" s="2">
        <v>3.0686589999999998</v>
      </c>
      <c r="AG37" s="2">
        <v>3.0126200000000001</v>
      </c>
      <c r="AH37" s="2">
        <v>4.6617980000000001</v>
      </c>
      <c r="AI37" s="2">
        <v>3.315191</v>
      </c>
      <c r="AJ37" s="2">
        <v>3.2760020000000001</v>
      </c>
      <c r="AK37" s="2">
        <v>5.0986050000000001</v>
      </c>
      <c r="AL37" s="3" t="e">
        <v>#N/A</v>
      </c>
      <c r="AM37" s="3">
        <v>0.84529690000000002</v>
      </c>
      <c r="AN37" s="2">
        <v>8.5424900000000008</v>
      </c>
      <c r="AO37" s="2">
        <v>4.1789560000000003</v>
      </c>
      <c r="AP37" s="2">
        <v>10.77102</v>
      </c>
      <c r="AQ37" s="2">
        <v>12.953110000000001</v>
      </c>
      <c r="AR37" s="2">
        <v>1.3910560000000001</v>
      </c>
      <c r="AS37" s="2">
        <v>2.8629120000000001</v>
      </c>
      <c r="AT37" s="2">
        <v>1.110976</v>
      </c>
      <c r="AU37" s="2">
        <v>0.90363300000000002</v>
      </c>
      <c r="AV37" s="1" t="s">
        <v>63</v>
      </c>
      <c r="AW37" s="3">
        <v>1.822581</v>
      </c>
      <c r="AX37" s="3">
        <v>175</v>
      </c>
      <c r="AY37" s="2">
        <v>0.56315660000000001</v>
      </c>
      <c r="AZ37" s="2">
        <v>-8.2689339999999998</v>
      </c>
      <c r="BA37" s="2">
        <v>62.690849999999998</v>
      </c>
      <c r="BB37" s="2">
        <v>8.1272490000000008</v>
      </c>
      <c r="BC37" s="2">
        <v>36.529110000000003</v>
      </c>
      <c r="BD37" s="3">
        <v>93.4</v>
      </c>
      <c r="BE37" s="2">
        <v>86.316919999999996</v>
      </c>
      <c r="BF37" s="3">
        <v>181.88</v>
      </c>
      <c r="BG37" s="2">
        <v>-4.3215329999999996</v>
      </c>
      <c r="BH37" s="2">
        <v>63.858759999999997</v>
      </c>
      <c r="BI37" s="2" t="e">
        <v>#N/A</v>
      </c>
      <c r="BJ37" s="2">
        <v>40.039700000000003</v>
      </c>
      <c r="BK37" s="2">
        <v>39.72381</v>
      </c>
      <c r="BL37" s="2">
        <v>29</v>
      </c>
      <c r="BM37" s="2">
        <v>28</v>
      </c>
      <c r="BN37" s="4">
        <v>31</v>
      </c>
      <c r="BO37" s="4">
        <v>1</v>
      </c>
      <c r="BP37" s="4">
        <v>1</v>
      </c>
      <c r="BQ37" s="4">
        <v>29</v>
      </c>
      <c r="BR37" s="2">
        <v>3.225806</v>
      </c>
      <c r="BS37" s="4">
        <v>10</v>
      </c>
      <c r="BT37" s="4">
        <v>5</v>
      </c>
      <c r="BU37" s="4">
        <v>31</v>
      </c>
      <c r="BV37" s="2">
        <v>32.25806</v>
      </c>
      <c r="BW37" s="2">
        <v>10.326599999999999</v>
      </c>
      <c r="BX37" s="2">
        <v>180</v>
      </c>
      <c r="BY37" s="3">
        <v>0.64679629999999999</v>
      </c>
      <c r="BZ37" s="3">
        <v>0.35933130000000002</v>
      </c>
      <c r="CA37" s="2">
        <v>0.90232699999999999</v>
      </c>
      <c r="CB37" s="3">
        <v>0.35933130000000002</v>
      </c>
      <c r="CC37" s="3">
        <v>-2.2336480000000001</v>
      </c>
      <c r="CD37" s="3">
        <v>-1.9683809999999999</v>
      </c>
      <c r="CE37" s="2">
        <v>-11.87593</v>
      </c>
      <c r="CF37" s="3">
        <v>-311.80680000000001</v>
      </c>
      <c r="CG37" s="3">
        <v>-184.51830000000001</v>
      </c>
      <c r="CH37" s="2">
        <v>-40.822890000000001</v>
      </c>
      <c r="CI37" s="3">
        <v>152.8759</v>
      </c>
      <c r="CJ37" s="2">
        <v>14.471970000000001</v>
      </c>
      <c r="CK37" s="3">
        <v>20986.13</v>
      </c>
      <c r="CL37" s="3">
        <v>21142.02</v>
      </c>
      <c r="CM37" s="2">
        <v>0.74282879999999996</v>
      </c>
      <c r="CN37" s="3">
        <v>144.17080000000001</v>
      </c>
      <c r="CO37" s="3">
        <v>166.44470000000001</v>
      </c>
      <c r="CP37" s="3">
        <v>172.42160000000001</v>
      </c>
      <c r="CQ37" s="2">
        <v>20.704080000000001</v>
      </c>
      <c r="CR37" s="2">
        <v>4.5512439999999996</v>
      </c>
      <c r="CS37" s="2">
        <v>0.92705490000000002</v>
      </c>
      <c r="CT37" s="2">
        <v>15.449680000000001</v>
      </c>
      <c r="CU37" s="2">
        <v>72.058880000000002</v>
      </c>
      <c r="CV37" s="3">
        <v>0.23004659999999999</v>
      </c>
      <c r="CW37" s="2">
        <v>63.804519999999997</v>
      </c>
      <c r="CX37" s="2">
        <v>4.9660900000000003</v>
      </c>
      <c r="CY37" s="2" t="e">
        <v>#N/A</v>
      </c>
      <c r="CZ37" s="2">
        <v>26.292929999999998</v>
      </c>
    </row>
    <row r="38" spans="1:104" ht="15" customHeight="1" x14ac:dyDescent="0.2">
      <c r="A38" s="1">
        <f t="shared" si="0"/>
        <v>32</v>
      </c>
      <c r="B38" s="1" t="s">
        <v>108</v>
      </c>
      <c r="C38" s="1" t="s">
        <v>107</v>
      </c>
      <c r="D38" s="1" t="s">
        <v>52</v>
      </c>
      <c r="E38" s="1" t="s">
        <v>109</v>
      </c>
      <c r="F38" s="1" t="s">
        <v>110</v>
      </c>
      <c r="G38" s="2">
        <v>79406.740000000005</v>
      </c>
      <c r="H38" s="2">
        <v>67.197800000000001</v>
      </c>
      <c r="I38" s="2">
        <v>53359.59</v>
      </c>
      <c r="J38" s="3">
        <v>175.06</v>
      </c>
      <c r="K38" s="3">
        <v>0</v>
      </c>
      <c r="L38" s="2">
        <v>1.8450820000000001</v>
      </c>
      <c r="M38" s="2">
        <v>1.970753</v>
      </c>
      <c r="N38" s="2">
        <v>2.1649720000000001</v>
      </c>
      <c r="O38" s="2">
        <v>2.4106019999999999</v>
      </c>
      <c r="P38" s="2">
        <v>36.244300000000003</v>
      </c>
      <c r="Q38" s="2">
        <v>25.772839999999999</v>
      </c>
      <c r="R38" s="2">
        <v>23.115469999999998</v>
      </c>
      <c r="S38" s="2">
        <v>20.904720000000001</v>
      </c>
      <c r="T38" s="2">
        <v>13.46083</v>
      </c>
      <c r="U38" s="2">
        <v>13.01351</v>
      </c>
      <c r="V38" s="2">
        <v>11.641719999999999</v>
      </c>
      <c r="W38" s="2">
        <v>10.517709999999999</v>
      </c>
      <c r="X38" s="2">
        <v>2.066824</v>
      </c>
      <c r="Y38" s="2">
        <v>1.9944170000000001</v>
      </c>
      <c r="Z38" s="2">
        <v>1.9103239999999999</v>
      </c>
      <c r="AA38" s="2">
        <v>1.8271580000000001</v>
      </c>
      <c r="AB38" s="2">
        <v>15.62312</v>
      </c>
      <c r="AC38" s="2">
        <v>14.08413</v>
      </c>
      <c r="AD38" s="2">
        <v>12.62438</v>
      </c>
      <c r="AE38" s="2">
        <v>11.931950000000001</v>
      </c>
      <c r="AF38" s="2">
        <v>3.6665679999999998</v>
      </c>
      <c r="AG38" s="2">
        <v>4.5647599999999997</v>
      </c>
      <c r="AH38" s="2">
        <v>5.1663389999999998</v>
      </c>
      <c r="AI38" s="2">
        <v>3.9642559999999998</v>
      </c>
      <c r="AJ38" s="2">
        <v>4.8179270000000001</v>
      </c>
      <c r="AK38" s="2">
        <v>5.3384919999999996</v>
      </c>
      <c r="AL38" s="3">
        <v>2.6504099999999999</v>
      </c>
      <c r="AM38" s="3">
        <v>2.3941780000000001</v>
      </c>
      <c r="AN38" s="2">
        <v>25.283740000000002</v>
      </c>
      <c r="AO38" s="2">
        <v>25.954190000000001</v>
      </c>
      <c r="AP38" s="2">
        <v>26.965</v>
      </c>
      <c r="AQ38" s="2">
        <v>27.64367</v>
      </c>
      <c r="AR38" s="2">
        <v>1.230583</v>
      </c>
      <c r="AS38" s="2">
        <v>0.97722339999999996</v>
      </c>
      <c r="AT38" s="2">
        <v>0.61173730000000004</v>
      </c>
      <c r="AU38" s="2">
        <v>0.33917029999999998</v>
      </c>
      <c r="AV38" s="1" t="s">
        <v>6</v>
      </c>
      <c r="AW38" s="3">
        <v>1.425</v>
      </c>
      <c r="AX38" s="3">
        <v>197.5</v>
      </c>
      <c r="AY38" s="2">
        <v>12.81847</v>
      </c>
      <c r="AZ38" s="2">
        <v>7.738448</v>
      </c>
      <c r="BA38" s="2">
        <v>10</v>
      </c>
      <c r="BB38" s="2">
        <v>19.047940000000001</v>
      </c>
      <c r="BC38" s="2">
        <v>3.463352</v>
      </c>
      <c r="BD38" s="3">
        <v>137</v>
      </c>
      <c r="BE38" s="2">
        <v>27.781020000000002</v>
      </c>
      <c r="BF38" s="3">
        <v>188.4</v>
      </c>
      <c r="BG38" s="2">
        <v>-7.0806800000000001</v>
      </c>
      <c r="BH38" s="2">
        <v>68.454729999999998</v>
      </c>
      <c r="BI38" s="2">
        <v>50.472189999999998</v>
      </c>
      <c r="BJ38" s="2">
        <v>50.68439</v>
      </c>
      <c r="BK38" s="2">
        <v>50.55444</v>
      </c>
      <c r="BL38" s="2">
        <v>18</v>
      </c>
      <c r="BM38" s="2">
        <v>15</v>
      </c>
      <c r="BN38" s="4">
        <v>20</v>
      </c>
      <c r="BO38" s="4">
        <v>0</v>
      </c>
      <c r="BP38" s="4">
        <v>1</v>
      </c>
      <c r="BQ38" s="4">
        <v>20</v>
      </c>
      <c r="BR38" s="2">
        <v>0</v>
      </c>
      <c r="BS38" s="4">
        <v>13</v>
      </c>
      <c r="BT38" s="4">
        <v>1</v>
      </c>
      <c r="BU38" s="4">
        <v>20</v>
      </c>
      <c r="BV38" s="2">
        <v>65</v>
      </c>
      <c r="BW38" s="2">
        <v>6.77461</v>
      </c>
      <c r="BX38" s="2">
        <v>453.59730000000002</v>
      </c>
      <c r="BY38" s="3">
        <v>0.48854009999999998</v>
      </c>
      <c r="BZ38" s="3">
        <v>0.10770349999999999</v>
      </c>
      <c r="CA38" s="2">
        <v>0.86923899999999998</v>
      </c>
      <c r="CB38" s="3">
        <v>0.10770349999999999</v>
      </c>
      <c r="CC38" s="3">
        <v>6.7313390000000002</v>
      </c>
      <c r="CD38" s="3">
        <v>6.7353509999999996</v>
      </c>
      <c r="CE38" s="2">
        <v>5.9592720000000002E-2</v>
      </c>
      <c r="CF38" s="3">
        <v>4339.5420000000004</v>
      </c>
      <c r="CG38" s="3">
        <v>4402.4070000000002</v>
      </c>
      <c r="CH38" s="2">
        <v>1.448655</v>
      </c>
      <c r="CI38" s="3">
        <v>186.5333</v>
      </c>
      <c r="CJ38" s="2">
        <v>5.8792</v>
      </c>
      <c r="CK38" s="3">
        <v>25265.32</v>
      </c>
      <c r="CL38" s="3">
        <v>25514.68</v>
      </c>
      <c r="CM38" s="2">
        <v>0.98698140000000001</v>
      </c>
      <c r="CN38" s="3">
        <v>170.42869999999999</v>
      </c>
      <c r="CO38" s="3">
        <v>174.12270000000001</v>
      </c>
      <c r="CP38" s="3">
        <v>169.98390000000001</v>
      </c>
      <c r="CQ38" s="2">
        <v>2.7174469999999999</v>
      </c>
      <c r="CR38" s="2">
        <v>0.53827760000000002</v>
      </c>
      <c r="CS38" s="2">
        <v>2.9862519999999999</v>
      </c>
      <c r="CT38" s="2">
        <v>2.1674989999999998</v>
      </c>
      <c r="CU38" s="2">
        <v>90.201989999999995</v>
      </c>
      <c r="CV38" s="3">
        <v>0.1135949</v>
      </c>
      <c r="CW38" s="2" t="e">
        <v>#N/A</v>
      </c>
      <c r="CX38" s="2">
        <v>3.7676430000000001</v>
      </c>
      <c r="CY38" s="2" t="e">
        <v>#N/A</v>
      </c>
      <c r="CZ38" s="2">
        <v>26.626259999999998</v>
      </c>
    </row>
    <row r="39" spans="1:104" ht="15" customHeight="1" x14ac:dyDescent="0.2">
      <c r="A39" s="1">
        <f t="shared" si="0"/>
        <v>33</v>
      </c>
      <c r="B39" s="1" t="s">
        <v>112</v>
      </c>
      <c r="C39" s="1" t="s">
        <v>111</v>
      </c>
      <c r="D39" s="1" t="s">
        <v>52</v>
      </c>
      <c r="E39" s="1" t="s">
        <v>10</v>
      </c>
      <c r="F39" s="1" t="s">
        <v>104</v>
      </c>
      <c r="G39" s="2">
        <v>106387.2</v>
      </c>
      <c r="H39" s="2">
        <v>74.140900000000002</v>
      </c>
      <c r="I39" s="2">
        <v>78876.47</v>
      </c>
      <c r="J39" s="3">
        <v>134.6</v>
      </c>
      <c r="K39" s="3">
        <v>0</v>
      </c>
      <c r="L39" s="2">
        <v>1.337296</v>
      </c>
      <c r="M39" s="2">
        <v>1.5276959999999999</v>
      </c>
      <c r="N39" s="2">
        <v>1.9394039999999999</v>
      </c>
      <c r="O39" s="2">
        <v>2.395988</v>
      </c>
      <c r="P39" s="2">
        <v>24.925930000000001</v>
      </c>
      <c r="Q39" s="2">
        <v>23.614039999999999</v>
      </c>
      <c r="R39" s="2">
        <v>19.228570000000001</v>
      </c>
      <c r="S39" s="2">
        <v>15.26979</v>
      </c>
      <c r="T39" s="2">
        <v>9.3582070000000002</v>
      </c>
      <c r="U39" s="2">
        <v>10.898400000000001</v>
      </c>
      <c r="V39" s="2">
        <v>9.3002249999999993</v>
      </c>
      <c r="W39" s="2">
        <v>7.2751749999999999</v>
      </c>
      <c r="X39" s="2">
        <v>8.1815739999999995</v>
      </c>
      <c r="Y39" s="2">
        <v>6.5980400000000001</v>
      </c>
      <c r="Z39" s="2">
        <v>5.3412699999999997</v>
      </c>
      <c r="AA39" s="2">
        <v>4.2730160000000001</v>
      </c>
      <c r="AB39" s="2">
        <v>16.215050000000002</v>
      </c>
      <c r="AC39" s="2">
        <v>17.25104</v>
      </c>
      <c r="AD39" s="2">
        <v>13.55274</v>
      </c>
      <c r="AE39" s="2">
        <v>11.53604</v>
      </c>
      <c r="AF39" s="2">
        <v>3.1509939999999999</v>
      </c>
      <c r="AG39" s="2">
        <v>5.448582</v>
      </c>
      <c r="AH39" s="2">
        <v>7.2971490000000001</v>
      </c>
      <c r="AI39" s="2">
        <v>2.8044479999999998</v>
      </c>
      <c r="AJ39" s="2">
        <v>4.7821259999999999</v>
      </c>
      <c r="AK39" s="2">
        <v>6.124568</v>
      </c>
      <c r="AL39" s="3">
        <v>0.94424969999999997</v>
      </c>
      <c r="AM39" s="3">
        <v>0.76650689999999999</v>
      </c>
      <c r="AN39" s="2">
        <v>14.197710000000001</v>
      </c>
      <c r="AO39" s="2">
        <v>13.462590000000001</v>
      </c>
      <c r="AP39" s="2">
        <v>13.761659999999999</v>
      </c>
      <c r="AQ39" s="2">
        <v>14.94393</v>
      </c>
      <c r="AR39" s="2">
        <v>-1.130409</v>
      </c>
      <c r="AS39" s="2">
        <v>-1.346719</v>
      </c>
      <c r="AT39" s="2">
        <v>-1.296116</v>
      </c>
      <c r="AU39" s="2">
        <v>-1.392871</v>
      </c>
      <c r="AV39" s="1" t="s">
        <v>6</v>
      </c>
      <c r="AW39" s="3">
        <v>1.413043</v>
      </c>
      <c r="AX39" s="3">
        <v>147</v>
      </c>
      <c r="AY39" s="2">
        <v>9.2124819999999996</v>
      </c>
      <c r="AZ39" s="2">
        <v>27.941179999999999</v>
      </c>
      <c r="BA39" s="2">
        <v>26.25</v>
      </c>
      <c r="BB39" s="2">
        <v>32.898899999999998</v>
      </c>
      <c r="BC39" s="2">
        <v>21.239419999999999</v>
      </c>
      <c r="BD39" s="3">
        <v>86.52</v>
      </c>
      <c r="BE39" s="2">
        <v>55.570979999999999</v>
      </c>
      <c r="BF39" s="3">
        <v>135.41999999999999</v>
      </c>
      <c r="BG39" s="2">
        <v>-0.60551759999999999</v>
      </c>
      <c r="BH39" s="2">
        <v>33.209879999999998</v>
      </c>
      <c r="BI39" s="2">
        <v>36.394869999999997</v>
      </c>
      <c r="BJ39" s="2">
        <v>36.372549999999997</v>
      </c>
      <c r="BK39" s="2">
        <v>35.759529999999998</v>
      </c>
      <c r="BL39" s="2">
        <v>19</v>
      </c>
      <c r="BM39" s="2">
        <v>18</v>
      </c>
      <c r="BN39" s="4">
        <v>23</v>
      </c>
      <c r="BO39" s="4">
        <v>0</v>
      </c>
      <c r="BP39" s="4">
        <v>0</v>
      </c>
      <c r="BQ39" s="4">
        <v>23</v>
      </c>
      <c r="BR39" s="2">
        <v>0</v>
      </c>
      <c r="BS39" s="4">
        <v>17</v>
      </c>
      <c r="BT39" s="4">
        <v>2</v>
      </c>
      <c r="BU39" s="4">
        <v>23</v>
      </c>
      <c r="BV39" s="2">
        <v>73.913039999999995</v>
      </c>
      <c r="BW39" s="2">
        <v>10.1981</v>
      </c>
      <c r="BX39" s="2">
        <v>790.39559999999994</v>
      </c>
      <c r="BY39" s="3">
        <v>1.12988</v>
      </c>
      <c r="BZ39" s="3">
        <v>0.1429512</v>
      </c>
      <c r="CA39" s="2">
        <v>1.48163</v>
      </c>
      <c r="CB39" s="3">
        <v>0.1429512</v>
      </c>
      <c r="CC39" s="3">
        <v>5.6030540000000002</v>
      </c>
      <c r="CD39" s="3">
        <v>5.6107300000000002</v>
      </c>
      <c r="CE39" s="2">
        <v>0.13699529999999999</v>
      </c>
      <c r="CF39" s="3">
        <v>6120.4629999999997</v>
      </c>
      <c r="CG39" s="3">
        <v>6024.902</v>
      </c>
      <c r="CH39" s="2">
        <v>-1.5613379999999999</v>
      </c>
      <c r="CI39" s="3">
        <v>142.16669999999999</v>
      </c>
      <c r="CJ39" s="2">
        <v>3.3997649999999999</v>
      </c>
      <c r="CK39" s="3">
        <v>64199.39</v>
      </c>
      <c r="CL39" s="3">
        <v>64352.58</v>
      </c>
      <c r="CM39" s="2">
        <v>0.2386093</v>
      </c>
      <c r="CN39" s="3">
        <v>118.85339999999999</v>
      </c>
      <c r="CO39" s="3">
        <v>127.7796</v>
      </c>
      <c r="CP39" s="3">
        <v>130.48230000000001</v>
      </c>
      <c r="CQ39" s="2">
        <v>13.248799999999999</v>
      </c>
      <c r="CR39" s="2">
        <v>5.3376200000000003</v>
      </c>
      <c r="CS39" s="2">
        <v>3.155732</v>
      </c>
      <c r="CT39" s="2">
        <v>7.5103039999999996</v>
      </c>
      <c r="CU39" s="2">
        <v>115.40689999999999</v>
      </c>
      <c r="CV39" s="3">
        <v>0.1084782</v>
      </c>
      <c r="CW39" s="2">
        <v>-11.528169999999999</v>
      </c>
      <c r="CX39" s="2">
        <v>4.4900700000000002</v>
      </c>
      <c r="CY39" s="2">
        <v>6.7785279999999997</v>
      </c>
      <c r="CZ39" s="2">
        <v>26.69697</v>
      </c>
    </row>
    <row r="40" spans="1:104" ht="15" customHeight="1" x14ac:dyDescent="0.2">
      <c r="A40" s="1">
        <f t="shared" si="0"/>
        <v>34</v>
      </c>
      <c r="B40" s="1" t="s">
        <v>114</v>
      </c>
      <c r="C40" s="1" t="s">
        <v>113</v>
      </c>
      <c r="D40" s="1" t="s">
        <v>52</v>
      </c>
      <c r="E40" s="1" t="s">
        <v>4</v>
      </c>
      <c r="F40" s="1" t="s">
        <v>5</v>
      </c>
      <c r="G40" s="2">
        <v>70369.240000000005</v>
      </c>
      <c r="H40" s="2">
        <v>86.862700000000004</v>
      </c>
      <c r="I40" s="2">
        <v>61124.62</v>
      </c>
      <c r="J40" s="3">
        <v>57.01</v>
      </c>
      <c r="K40" s="3">
        <v>0</v>
      </c>
      <c r="L40" s="2">
        <v>6.8409060000000004</v>
      </c>
      <c r="M40" s="2">
        <v>7.7570079999999999</v>
      </c>
      <c r="N40" s="2">
        <v>8.4371170000000006</v>
      </c>
      <c r="O40" s="2">
        <v>9.4450109999999992</v>
      </c>
      <c r="P40" s="2">
        <v>7.307086</v>
      </c>
      <c r="Q40" s="2">
        <v>7.2073330000000002</v>
      </c>
      <c r="R40" s="2">
        <v>5.8471789999999997</v>
      </c>
      <c r="S40" s="2">
        <v>5.3007900000000001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>
        <v>0.6400943</v>
      </c>
      <c r="Y40" s="2">
        <v>0.59157409999999999</v>
      </c>
      <c r="Z40" s="2">
        <v>0.55871709999999997</v>
      </c>
      <c r="AA40" s="2">
        <v>0.5274934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 t="e">
        <v>#N/A</v>
      </c>
      <c r="AI40" s="2" t="e">
        <v>#N/A</v>
      </c>
      <c r="AJ40" s="2" t="e">
        <v>#N/A</v>
      </c>
      <c r="AK40" s="2" t="e">
        <v>#N/A</v>
      </c>
      <c r="AL40" s="3">
        <v>0.53657940000000004</v>
      </c>
      <c r="AM40" s="3">
        <v>0.46975929999999999</v>
      </c>
      <c r="AN40" s="2" t="e">
        <v>#N/A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2" t="e">
        <v>#N/A</v>
      </c>
      <c r="AV40" s="1" t="s">
        <v>6</v>
      </c>
      <c r="AW40" s="3">
        <v>1.3043480000000001</v>
      </c>
      <c r="AX40" s="3">
        <v>76</v>
      </c>
      <c r="AY40" s="2">
        <v>33.309950000000001</v>
      </c>
      <c r="AZ40" s="2">
        <v>8.2079489999999993</v>
      </c>
      <c r="BA40" s="2">
        <v>12.76876</v>
      </c>
      <c r="BB40" s="2">
        <v>33.419139999999999</v>
      </c>
      <c r="BC40" s="2">
        <v>7.0610280000000003</v>
      </c>
      <c r="BD40" s="3">
        <v>40.664999999999999</v>
      </c>
      <c r="BE40" s="2">
        <v>40.19426</v>
      </c>
      <c r="BF40" s="3">
        <v>67.02</v>
      </c>
      <c r="BG40" s="2">
        <v>-14.935840000000001</v>
      </c>
      <c r="BH40" s="2">
        <v>49.687840000000001</v>
      </c>
      <c r="BI40" s="2">
        <v>52.356740000000002</v>
      </c>
      <c r="BJ40" s="2">
        <v>49.63355</v>
      </c>
      <c r="BK40" s="2">
        <v>49.469940000000001</v>
      </c>
      <c r="BL40" s="2">
        <v>19</v>
      </c>
      <c r="BM40" s="2">
        <v>9</v>
      </c>
      <c r="BN40" s="4">
        <v>23</v>
      </c>
      <c r="BO40" s="4">
        <v>0</v>
      </c>
      <c r="BP40" s="4">
        <v>1</v>
      </c>
      <c r="BQ40" s="4">
        <v>21</v>
      </c>
      <c r="BR40" s="2">
        <v>0</v>
      </c>
      <c r="BS40" s="4">
        <v>17</v>
      </c>
      <c r="BT40" s="4">
        <v>0</v>
      </c>
      <c r="BU40" s="4">
        <v>23</v>
      </c>
      <c r="BV40" s="2">
        <v>73.913039999999995</v>
      </c>
      <c r="BW40" s="2">
        <v>11.5253</v>
      </c>
      <c r="BX40" s="2">
        <v>1234.3320000000001</v>
      </c>
      <c r="BY40" s="3">
        <v>3.1933549999999999</v>
      </c>
      <c r="BZ40" s="3">
        <v>0.25871119999999997</v>
      </c>
      <c r="CA40" s="2">
        <v>1.6758599999999999</v>
      </c>
      <c r="CB40" s="3">
        <v>0.25871119999999997</v>
      </c>
      <c r="CC40" s="3">
        <v>8.2264820000000007</v>
      </c>
      <c r="CD40" s="3">
        <v>8.3208599999999997</v>
      </c>
      <c r="CE40" s="2">
        <v>1.1472340000000001</v>
      </c>
      <c r="CF40" s="3">
        <v>16053</v>
      </c>
      <c r="CG40" s="3">
        <v>15544.07</v>
      </c>
      <c r="CH40" s="2">
        <v>-3.1703709999999998</v>
      </c>
      <c r="CI40" s="3">
        <v>75.040530000000004</v>
      </c>
      <c r="CJ40" s="2">
        <v>1.2786029999999999</v>
      </c>
      <c r="CK40" s="3">
        <v>48451.61</v>
      </c>
      <c r="CL40" s="3">
        <v>47181.54</v>
      </c>
      <c r="CM40" s="2">
        <v>-2.6213169999999999</v>
      </c>
      <c r="CN40" s="3">
        <v>55.945489999999999</v>
      </c>
      <c r="CO40" s="3">
        <v>56.777659999999997</v>
      </c>
      <c r="CP40" s="3">
        <v>56.451909999999998</v>
      </c>
      <c r="CQ40" s="2">
        <v>1.9027590000000001</v>
      </c>
      <c r="CR40" s="2">
        <v>0.40920970000000001</v>
      </c>
      <c r="CS40" s="2">
        <v>0.9886026</v>
      </c>
      <c r="CT40" s="2">
        <v>1.4874579999999999</v>
      </c>
      <c r="CU40" s="2">
        <v>186.36269999999999</v>
      </c>
      <c r="CV40" s="3">
        <v>0.2648355</v>
      </c>
      <c r="CW40" s="2">
        <v>-2.5606870000000002</v>
      </c>
      <c r="CX40" s="2">
        <v>1.023752</v>
      </c>
      <c r="CY40" s="2">
        <v>4.2312989999999999</v>
      </c>
      <c r="CZ40" s="2">
        <v>27.232320000000001</v>
      </c>
    </row>
    <row r="41" spans="1:104" ht="15" customHeight="1" x14ac:dyDescent="0.2">
      <c r="A41" s="1">
        <f t="shared" si="0"/>
        <v>35</v>
      </c>
      <c r="B41" s="1" t="s">
        <v>116</v>
      </c>
      <c r="C41" s="1" t="s">
        <v>115</v>
      </c>
      <c r="D41" s="1" t="s">
        <v>52</v>
      </c>
      <c r="E41" s="1" t="s">
        <v>109</v>
      </c>
      <c r="F41" s="1" t="s">
        <v>117</v>
      </c>
      <c r="G41" s="2">
        <v>117629.2</v>
      </c>
      <c r="H41" s="2">
        <v>87.566100000000006</v>
      </c>
      <c r="I41" s="2">
        <v>103003.3</v>
      </c>
      <c r="J41" s="3">
        <v>93.18</v>
      </c>
      <c r="K41" s="3">
        <v>0</v>
      </c>
      <c r="L41" s="2">
        <v>3.8205619999999998</v>
      </c>
      <c r="M41" s="2">
        <v>3.9238879999999998</v>
      </c>
      <c r="N41" s="2">
        <v>4.1586169999999996</v>
      </c>
      <c r="O41" s="2">
        <v>4.5101839999999997</v>
      </c>
      <c r="P41" s="2">
        <v>11.28087</v>
      </c>
      <c r="Q41" s="2">
        <v>11.36341</v>
      </c>
      <c r="R41" s="2">
        <v>10.37998</v>
      </c>
      <c r="S41" s="2">
        <v>9.3179999999999996</v>
      </c>
      <c r="T41" s="2">
        <v>8.2580139999999993</v>
      </c>
      <c r="U41" s="2">
        <v>8.6279749999999993</v>
      </c>
      <c r="V41" s="2">
        <v>7.5461640000000001</v>
      </c>
      <c r="W41" s="2">
        <v>6.4370859999999999</v>
      </c>
      <c r="X41" s="2">
        <v>1.6022700000000001</v>
      </c>
      <c r="Y41" s="2">
        <v>1.4977100000000001</v>
      </c>
      <c r="Z41" s="2">
        <v>1.4136390000000001</v>
      </c>
      <c r="AA41" s="2">
        <v>1.3232980000000001</v>
      </c>
      <c r="AB41" s="2">
        <v>10.84127</v>
      </c>
      <c r="AC41" s="2">
        <v>9.7934450000000002</v>
      </c>
      <c r="AD41" s="2">
        <v>9.1462120000000002</v>
      </c>
      <c r="AE41" s="2">
        <v>8.1847549999999991</v>
      </c>
      <c r="AF41" s="2">
        <v>7.2365620000000002</v>
      </c>
      <c r="AG41" s="2">
        <v>8.4854950000000002</v>
      </c>
      <c r="AH41" s="2">
        <v>10.12602</v>
      </c>
      <c r="AI41" s="2">
        <v>7.522564</v>
      </c>
      <c r="AJ41" s="2">
        <v>8.4550579999999993</v>
      </c>
      <c r="AK41" s="2">
        <v>9.6187349999999991</v>
      </c>
      <c r="AL41" s="3">
        <v>1.6725559999999999</v>
      </c>
      <c r="AM41" s="3">
        <v>1.5299929999999999</v>
      </c>
      <c r="AN41" s="2">
        <v>32.569560000000003</v>
      </c>
      <c r="AO41" s="2">
        <v>31.224879999999999</v>
      </c>
      <c r="AP41" s="2">
        <v>32.707940000000001</v>
      </c>
      <c r="AQ41" s="2">
        <v>34.404530000000001</v>
      </c>
      <c r="AR41" s="2">
        <v>0.55516469999999996</v>
      </c>
      <c r="AS41" s="2">
        <v>0.32803290000000002</v>
      </c>
      <c r="AT41" s="2">
        <v>-2.7165410000000001E-2</v>
      </c>
      <c r="AU41" s="2">
        <v>-0.33949089999999998</v>
      </c>
      <c r="AV41" s="1" t="s">
        <v>83</v>
      </c>
      <c r="AW41" s="3">
        <v>1.521739</v>
      </c>
      <c r="AX41" s="3">
        <v>113.66759999999999</v>
      </c>
      <c r="AY41" s="2">
        <v>21.987130000000001</v>
      </c>
      <c r="AZ41" s="2">
        <v>13.180099999999999</v>
      </c>
      <c r="BA41" s="2">
        <v>7.8</v>
      </c>
      <c r="BB41" s="2">
        <v>-6.0874819999999996</v>
      </c>
      <c r="BC41" s="2">
        <v>3.7177210000000001</v>
      </c>
      <c r="BD41" s="3">
        <v>76.45</v>
      </c>
      <c r="BE41" s="2">
        <v>21.883590000000002</v>
      </c>
      <c r="BF41" s="3">
        <v>105.18</v>
      </c>
      <c r="BG41" s="2">
        <v>-11.40901</v>
      </c>
      <c r="BH41" s="2">
        <v>42.869250000000001</v>
      </c>
      <c r="BI41" s="2">
        <v>44.85528</v>
      </c>
      <c r="BJ41" s="2">
        <v>44.700789999999998</v>
      </c>
      <c r="BK41" s="2">
        <v>42.837890000000002</v>
      </c>
      <c r="BL41" s="2">
        <v>19</v>
      </c>
      <c r="BM41" s="2">
        <v>19</v>
      </c>
      <c r="BN41" s="4">
        <v>23</v>
      </c>
      <c r="BO41" s="4">
        <v>0</v>
      </c>
      <c r="BP41" s="4">
        <v>2</v>
      </c>
      <c r="BQ41" s="4">
        <v>23</v>
      </c>
      <c r="BR41" s="2">
        <v>0</v>
      </c>
      <c r="BS41" s="4">
        <v>15</v>
      </c>
      <c r="BT41" s="4">
        <v>2</v>
      </c>
      <c r="BU41" s="4">
        <v>23</v>
      </c>
      <c r="BV41" s="2">
        <v>65.217389999999995</v>
      </c>
      <c r="BW41" s="2">
        <v>5.87521</v>
      </c>
      <c r="BX41" s="2">
        <v>1262.386</v>
      </c>
      <c r="BY41" s="3">
        <v>1.7900339999999999</v>
      </c>
      <c r="BZ41" s="3">
        <v>0.1417977</v>
      </c>
      <c r="CA41" s="2">
        <v>0.52525200000000005</v>
      </c>
      <c r="CB41" s="3">
        <v>0.1417977</v>
      </c>
      <c r="CC41" s="3">
        <v>8.1950140000000005</v>
      </c>
      <c r="CD41" s="3">
        <v>8.1959040000000005</v>
      </c>
      <c r="CE41" s="2">
        <v>1.085997E-2</v>
      </c>
      <c r="CF41" s="3">
        <v>12758.37</v>
      </c>
      <c r="CG41" s="3">
        <v>12612.46</v>
      </c>
      <c r="CH41" s="2">
        <v>-1.1436280000000001</v>
      </c>
      <c r="CI41" s="3">
        <v>108.7003</v>
      </c>
      <c r="CJ41" s="2">
        <v>4.5697210000000004</v>
      </c>
      <c r="CK41" s="3">
        <v>45579.13</v>
      </c>
      <c r="CL41" s="3">
        <v>45109.23</v>
      </c>
      <c r="CM41" s="2">
        <v>-1.03094</v>
      </c>
      <c r="CN41" s="3">
        <v>92.147660000000002</v>
      </c>
      <c r="CO41" s="3">
        <v>97.313339999999997</v>
      </c>
      <c r="CP41" s="3">
        <v>96.13</v>
      </c>
      <c r="CQ41" s="2">
        <v>1.120317</v>
      </c>
      <c r="CR41" s="2">
        <v>-4.2474509999999999</v>
      </c>
      <c r="CS41" s="2">
        <v>-3.0687570000000002</v>
      </c>
      <c r="CT41" s="2">
        <v>5.6058760000000003</v>
      </c>
      <c r="CU41" s="2">
        <v>144.7663</v>
      </c>
      <c r="CV41" s="3">
        <v>0.12307</v>
      </c>
      <c r="CW41" s="2">
        <v>7.1769759999999998</v>
      </c>
      <c r="CX41" s="2">
        <v>4.2025880000000004</v>
      </c>
      <c r="CY41" s="2">
        <v>7.683052</v>
      </c>
      <c r="CZ41" s="2">
        <v>27.36364</v>
      </c>
    </row>
    <row r="42" spans="1:104" ht="15" customHeight="1" x14ac:dyDescent="0.2">
      <c r="A42" s="1">
        <f t="shared" si="0"/>
        <v>36</v>
      </c>
      <c r="B42" s="1" t="s">
        <v>119</v>
      </c>
      <c r="C42" s="1" t="s">
        <v>118</v>
      </c>
      <c r="D42" s="1" t="s">
        <v>9</v>
      </c>
      <c r="E42" s="1" t="s">
        <v>4</v>
      </c>
      <c r="F42" s="1" t="s">
        <v>120</v>
      </c>
      <c r="G42" s="2">
        <v>30846.5</v>
      </c>
      <c r="H42" s="2">
        <v>96.701499999999996</v>
      </c>
      <c r="I42" s="2">
        <v>29829.03</v>
      </c>
      <c r="J42" s="3">
        <v>162.35</v>
      </c>
      <c r="K42" s="3">
        <v>0</v>
      </c>
      <c r="L42" s="2">
        <v>2.2174309999999999</v>
      </c>
      <c r="M42" s="2">
        <v>2.4330150000000001</v>
      </c>
      <c r="N42" s="2">
        <v>2.5808439999999999</v>
      </c>
      <c r="O42" s="2">
        <v>2.7379120000000001</v>
      </c>
      <c r="P42" s="2">
        <v>18.855979999999999</v>
      </c>
      <c r="Q42" s="2">
        <v>17.089469999999999</v>
      </c>
      <c r="R42" s="2">
        <v>16.600210000000001</v>
      </c>
      <c r="S42" s="2">
        <v>16.024560000000001</v>
      </c>
      <c r="T42" s="2">
        <v>13.38058</v>
      </c>
      <c r="U42" s="2">
        <v>11.741300000000001</v>
      </c>
      <c r="V42" s="2">
        <v>11.14995</v>
      </c>
      <c r="W42" s="2">
        <v>10.44035</v>
      </c>
      <c r="X42" s="2">
        <v>3.723624</v>
      </c>
      <c r="Y42" s="2">
        <v>3.1771039999999999</v>
      </c>
      <c r="Z42" s="2">
        <v>2.8887900000000002</v>
      </c>
      <c r="AA42" s="2">
        <v>2.622779</v>
      </c>
      <c r="AB42" s="2">
        <v>15.808059999999999</v>
      </c>
      <c r="AC42" s="2">
        <v>14.186909999999999</v>
      </c>
      <c r="AD42" s="2">
        <v>13.60173</v>
      </c>
      <c r="AE42" s="2">
        <v>13.24484</v>
      </c>
      <c r="AF42" s="2">
        <v>4.2278460000000004</v>
      </c>
      <c r="AG42" s="2">
        <v>4.3377549999999996</v>
      </c>
      <c r="AH42" s="2">
        <v>4.6049090000000001</v>
      </c>
      <c r="AI42" s="2">
        <v>4.6177840000000003</v>
      </c>
      <c r="AJ42" s="2">
        <v>4.6085960000000004</v>
      </c>
      <c r="AK42" s="2">
        <v>4.7410569999999996</v>
      </c>
      <c r="AL42" s="3">
        <v>1.8688260000000001</v>
      </c>
      <c r="AM42" s="3">
        <v>1.8042899999999999</v>
      </c>
      <c r="AN42" s="2">
        <v>58.225749999999998</v>
      </c>
      <c r="AO42" s="2">
        <v>59.889519999999997</v>
      </c>
      <c r="AP42" s="2">
        <v>59.789459999999998</v>
      </c>
      <c r="AQ42" s="2">
        <v>59.332160000000002</v>
      </c>
      <c r="AR42" s="2">
        <v>1.238518</v>
      </c>
      <c r="AS42" s="2">
        <v>0.99146659999999998</v>
      </c>
      <c r="AT42" s="2">
        <v>0.6552692</v>
      </c>
      <c r="AU42" s="2">
        <v>0.29981259999999998</v>
      </c>
      <c r="AV42" s="1" t="s">
        <v>121</v>
      </c>
      <c r="AW42" s="3">
        <v>1.575</v>
      </c>
      <c r="AX42" s="3">
        <v>195</v>
      </c>
      <c r="AY42" s="2">
        <v>20.110869999999998</v>
      </c>
      <c r="AZ42" s="2">
        <v>18.591000000000001</v>
      </c>
      <c r="BA42" s="2">
        <v>9.1801639999999995</v>
      </c>
      <c r="BB42" s="2">
        <v>-1.725179</v>
      </c>
      <c r="BC42" s="2">
        <v>0.58860780000000001</v>
      </c>
      <c r="BD42" s="3">
        <v>154.94999999999999</v>
      </c>
      <c r="BE42" s="2">
        <v>4.7757389999999997</v>
      </c>
      <c r="BF42" s="3">
        <v>186.35</v>
      </c>
      <c r="BG42" s="2">
        <v>-12.87899</v>
      </c>
      <c r="BH42" s="2">
        <v>41.893819999999998</v>
      </c>
      <c r="BI42" s="2">
        <v>42.225540000000002</v>
      </c>
      <c r="BJ42" s="2">
        <v>42.962470000000003</v>
      </c>
      <c r="BK42" s="2">
        <v>42.989339999999999</v>
      </c>
      <c r="BL42" s="2">
        <v>19</v>
      </c>
      <c r="BM42" s="2">
        <v>17</v>
      </c>
      <c r="BN42" s="4">
        <v>20</v>
      </c>
      <c r="BO42" s="4">
        <v>1</v>
      </c>
      <c r="BP42" s="4">
        <v>0</v>
      </c>
      <c r="BQ42" s="4">
        <v>19</v>
      </c>
      <c r="BR42" s="2">
        <v>5</v>
      </c>
      <c r="BS42" s="4">
        <v>10</v>
      </c>
      <c r="BT42" s="4">
        <v>1</v>
      </c>
      <c r="BU42" s="4">
        <v>20</v>
      </c>
      <c r="BV42" s="2">
        <v>50</v>
      </c>
      <c r="BW42" s="2">
        <v>5.7702600000000004</v>
      </c>
      <c r="BX42" s="2">
        <v>190</v>
      </c>
      <c r="BY42" s="3">
        <v>0.36475150000000001</v>
      </c>
      <c r="BZ42" s="3">
        <v>0.19197449999999999</v>
      </c>
      <c r="CA42" s="2">
        <v>0.53404600000000002</v>
      </c>
      <c r="CB42" s="3">
        <v>0.19197449999999999</v>
      </c>
      <c r="CC42" s="3">
        <v>9.3294250000000005</v>
      </c>
      <c r="CD42" s="3">
        <v>9.4630880000000008</v>
      </c>
      <c r="CE42" s="2">
        <v>1.4327049999999999</v>
      </c>
      <c r="CF42" s="3">
        <v>2450.944</v>
      </c>
      <c r="CG42" s="3">
        <v>2499.9279999999999</v>
      </c>
      <c r="CH42" s="2">
        <v>1.998556</v>
      </c>
      <c r="CI42" s="3">
        <v>192.7</v>
      </c>
      <c r="CJ42" s="2">
        <v>1.1935709999999999</v>
      </c>
      <c r="CK42" s="3">
        <v>4744.6440000000002</v>
      </c>
      <c r="CL42" s="3">
        <v>4802.5230000000001</v>
      </c>
      <c r="CM42" s="2">
        <v>1.2198929999999999</v>
      </c>
      <c r="CN42" s="3">
        <v>168.49029999999999</v>
      </c>
      <c r="CO42" s="3">
        <v>167.15100000000001</v>
      </c>
      <c r="CP42" s="3">
        <v>166.20959999999999</v>
      </c>
      <c r="CQ42" s="2">
        <v>-3.644282</v>
      </c>
      <c r="CR42" s="2">
        <v>-2.8722409999999998</v>
      </c>
      <c r="CS42" s="2">
        <v>-2.322149</v>
      </c>
      <c r="CT42" s="2">
        <v>-0.79486970000000001</v>
      </c>
      <c r="CU42" s="2">
        <v>64.098230000000001</v>
      </c>
      <c r="CV42" s="3">
        <v>0.20779739999999999</v>
      </c>
      <c r="CW42" s="2">
        <v>5.9863860000000004</v>
      </c>
      <c r="CX42" s="2">
        <v>1.9822390000000001</v>
      </c>
      <c r="CY42" s="2">
        <v>3.3686250000000002</v>
      </c>
      <c r="CZ42" s="2">
        <v>27.515149999999998</v>
      </c>
    </row>
    <row r="43" spans="1:104" ht="15" customHeight="1" x14ac:dyDescent="0.2">
      <c r="A43" s="1">
        <f t="shared" si="0"/>
        <v>37</v>
      </c>
      <c r="B43" s="1" t="s">
        <v>123</v>
      </c>
      <c r="C43" s="1" t="s">
        <v>122</v>
      </c>
      <c r="D43" s="1" t="s">
        <v>20</v>
      </c>
      <c r="E43" s="1" t="s">
        <v>4</v>
      </c>
      <c r="F43" s="1" t="s">
        <v>124</v>
      </c>
      <c r="G43" s="2">
        <v>138804.5</v>
      </c>
      <c r="H43" s="2">
        <v>40.147199999999998</v>
      </c>
      <c r="I43" s="2">
        <v>55726.11</v>
      </c>
      <c r="J43" s="3">
        <v>69.27</v>
      </c>
      <c r="K43" s="3">
        <v>0</v>
      </c>
      <c r="L43" s="2">
        <v>0.1845733</v>
      </c>
      <c r="M43" s="2">
        <v>0.1578079</v>
      </c>
      <c r="N43" s="2">
        <v>0.1415507</v>
      </c>
      <c r="O43" s="2">
        <v>8.9663590000000001E-2</v>
      </c>
      <c r="P43" s="2">
        <v>41.018799999999999</v>
      </c>
      <c r="Q43" s="2">
        <v>22.09845</v>
      </c>
      <c r="R43" s="2">
        <v>17.2897</v>
      </c>
      <c r="S43" s="2">
        <v>16.118500000000001</v>
      </c>
      <c r="T43" s="2" t="e">
        <v>#N/A</v>
      </c>
      <c r="U43" s="2" t="e">
        <v>#N/A</v>
      </c>
      <c r="V43" s="2">
        <v>4147.5450000000001</v>
      </c>
      <c r="W43" s="2">
        <v>676.7867</v>
      </c>
      <c r="X43" s="2">
        <v>2.3088470000000001</v>
      </c>
      <c r="Y43" s="2">
        <v>2.199195</v>
      </c>
      <c r="Z43" s="2">
        <v>1.962836</v>
      </c>
      <c r="AA43" s="2">
        <v>1.7010460000000001</v>
      </c>
      <c r="AB43" s="2" t="e">
        <v>#N/A</v>
      </c>
      <c r="AC43" s="2">
        <v>733.09230000000002</v>
      </c>
      <c r="AD43" s="2">
        <v>359.06630000000001</v>
      </c>
      <c r="AE43" s="2">
        <v>244.59610000000001</v>
      </c>
      <c r="AF43" s="2">
        <v>-0.31257600000000002</v>
      </c>
      <c r="AG43" s="2">
        <v>-0.13465869999999999</v>
      </c>
      <c r="AH43" s="2">
        <v>7.430407E-2</v>
      </c>
      <c r="AI43" s="2">
        <v>-0.31446079999999998</v>
      </c>
      <c r="AJ43" s="2">
        <v>-0.13507440000000001</v>
      </c>
      <c r="AK43" s="2">
        <v>7.4726379999999995E-2</v>
      </c>
      <c r="AL43" s="3">
        <v>0.43549650000000001</v>
      </c>
      <c r="AM43" s="3">
        <v>0.33699370000000001</v>
      </c>
      <c r="AN43" s="2">
        <v>-8.2063880000000005</v>
      </c>
      <c r="AO43" s="2">
        <v>-3.9710510000000001</v>
      </c>
      <c r="AP43" s="2">
        <v>0.53860969999999997</v>
      </c>
      <c r="AQ43" s="2">
        <v>2.8745639999999999</v>
      </c>
      <c r="AR43" s="2">
        <v>-0.67237119999999995</v>
      </c>
      <c r="AS43" s="2">
        <v>-3.9839509999999998</v>
      </c>
      <c r="AT43" s="2">
        <v>12.75958</v>
      </c>
      <c r="AU43" s="2">
        <v>3.823032</v>
      </c>
      <c r="AV43" s="1" t="s">
        <v>6</v>
      </c>
      <c r="AW43" s="3">
        <v>1.2250000000000001</v>
      </c>
      <c r="AX43" s="3">
        <v>91.240790000000004</v>
      </c>
      <c r="AY43" s="2">
        <v>31.71762</v>
      </c>
      <c r="AZ43" s="2">
        <v>9.9518039999999992</v>
      </c>
      <c r="BA43" s="2">
        <v>54</v>
      </c>
      <c r="BB43" s="2">
        <v>6.7169790000000003</v>
      </c>
      <c r="BC43" s="2">
        <v>7.4786659999999996</v>
      </c>
      <c r="BD43" s="3">
        <v>40.28</v>
      </c>
      <c r="BE43" s="2">
        <v>71.971199999999996</v>
      </c>
      <c r="BF43" s="3">
        <v>79.37</v>
      </c>
      <c r="BG43" s="2">
        <v>-12.72522</v>
      </c>
      <c r="BH43" s="2">
        <v>7.261984</v>
      </c>
      <c r="BI43" s="2">
        <v>3.4034840000000002</v>
      </c>
      <c r="BJ43" s="2">
        <v>2.370485</v>
      </c>
      <c r="BK43" s="2">
        <v>6.2692730000000001</v>
      </c>
      <c r="BL43" s="2">
        <v>18</v>
      </c>
      <c r="BM43" s="2">
        <v>16</v>
      </c>
      <c r="BN43" s="4">
        <v>20</v>
      </c>
      <c r="BO43" s="4">
        <v>1</v>
      </c>
      <c r="BP43" s="4">
        <v>0</v>
      </c>
      <c r="BQ43" s="4">
        <v>18</v>
      </c>
      <c r="BR43" s="2">
        <v>5.2631579999999998</v>
      </c>
      <c r="BS43" s="4">
        <v>16</v>
      </c>
      <c r="BT43" s="4">
        <v>0</v>
      </c>
      <c r="BU43" s="4">
        <v>20</v>
      </c>
      <c r="BV43" s="2">
        <v>80</v>
      </c>
      <c r="BW43" s="2">
        <v>12.038</v>
      </c>
      <c r="BX43" s="2">
        <v>2003.818</v>
      </c>
      <c r="BY43" s="3">
        <v>2.1562809999999999</v>
      </c>
      <c r="BZ43" s="3">
        <v>0.1076086</v>
      </c>
      <c r="CA43" s="2">
        <v>0.60109100000000004</v>
      </c>
      <c r="CB43" s="3">
        <v>0.1076086</v>
      </c>
      <c r="CC43" s="3">
        <v>3.3626390000000002</v>
      </c>
      <c r="CD43" s="3">
        <v>2.9455520000000002</v>
      </c>
      <c r="CE43" s="2">
        <v>-12.403549999999999</v>
      </c>
      <c r="CF43" s="3">
        <v>-654.06240000000003</v>
      </c>
      <c r="CG43" s="3">
        <v>-117.5081</v>
      </c>
      <c r="CH43" s="2">
        <v>-82.034109999999998</v>
      </c>
      <c r="CI43" s="3">
        <v>89.240279999999998</v>
      </c>
      <c r="CJ43" s="2">
        <v>2.2417189999999998</v>
      </c>
      <c r="CK43" s="3">
        <v>8324.8459999999995</v>
      </c>
      <c r="CL43" s="3">
        <v>5869.3580000000002</v>
      </c>
      <c r="CM43" s="2">
        <v>-29.495899999999999</v>
      </c>
      <c r="CN43" s="3">
        <v>65.213130000000007</v>
      </c>
      <c r="CO43" s="3">
        <v>66.054910000000007</v>
      </c>
      <c r="CP43" s="3">
        <v>66.351920000000007</v>
      </c>
      <c r="CQ43" s="2">
        <v>6.2209370000000002</v>
      </c>
      <c r="CR43" s="2">
        <v>4.8672909999999998</v>
      </c>
      <c r="CS43" s="2">
        <v>4.3978809999999999</v>
      </c>
      <c r="CT43" s="2">
        <v>1.2908219999999999</v>
      </c>
      <c r="CU43" s="2">
        <v>106.3652</v>
      </c>
      <c r="CV43" s="3">
        <v>7.6629559999999999E-2</v>
      </c>
      <c r="CW43" s="2" t="e">
        <v>#N/A</v>
      </c>
      <c r="CX43" s="2" t="e">
        <v>#N/A</v>
      </c>
      <c r="CY43" s="2" t="e">
        <v>#N/A</v>
      </c>
      <c r="CZ43" s="2">
        <v>27.616160000000001</v>
      </c>
    </row>
    <row r="44" spans="1:104" ht="15" customHeight="1" x14ac:dyDescent="0.2">
      <c r="A44" s="1">
        <f t="shared" si="0"/>
        <v>38</v>
      </c>
      <c r="B44" s="1" t="s">
        <v>126</v>
      </c>
      <c r="C44" s="1" t="s">
        <v>125</v>
      </c>
      <c r="D44" s="1" t="s">
        <v>52</v>
      </c>
      <c r="E44" s="1" t="s">
        <v>53</v>
      </c>
      <c r="F44" s="1" t="s">
        <v>127</v>
      </c>
      <c r="G44" s="2">
        <v>51381.98</v>
      </c>
      <c r="H44" s="2">
        <v>74.600399999999993</v>
      </c>
      <c r="I44" s="2">
        <v>38331.160000000003</v>
      </c>
      <c r="J44" s="3">
        <v>201</v>
      </c>
      <c r="K44" s="3">
        <v>0</v>
      </c>
      <c r="L44" s="2">
        <v>2.0497510000000001</v>
      </c>
      <c r="M44" s="2">
        <v>2.348258</v>
      </c>
      <c r="N44" s="2">
        <v>2.4726370000000002</v>
      </c>
      <c r="O44" s="2">
        <v>2.7338309999999999</v>
      </c>
      <c r="P44" s="2">
        <v>24.572130000000001</v>
      </c>
      <c r="Q44" s="2">
        <v>21.360150000000001</v>
      </c>
      <c r="R44" s="2">
        <v>20.221329999999998</v>
      </c>
      <c r="S44" s="2">
        <v>18.389749999999999</v>
      </c>
      <c r="T44" s="2">
        <v>16.456630000000001</v>
      </c>
      <c r="U44" s="2">
        <v>15.643980000000001</v>
      </c>
      <c r="V44" s="2">
        <v>14.786910000000001</v>
      </c>
      <c r="W44" s="2">
        <v>13.64888</v>
      </c>
      <c r="X44" s="2">
        <v>3.265638</v>
      </c>
      <c r="Y44" s="2">
        <v>3.111186</v>
      </c>
      <c r="Z44" s="2">
        <v>3.0156329999999998</v>
      </c>
      <c r="AA44" s="2">
        <v>2.8170860000000002</v>
      </c>
      <c r="AB44" s="2">
        <v>22.6662</v>
      </c>
      <c r="AC44" s="2">
        <v>20.388940000000002</v>
      </c>
      <c r="AD44" s="2">
        <v>17.167459999999998</v>
      </c>
      <c r="AE44" s="2">
        <v>16.765730000000001</v>
      </c>
      <c r="AF44" s="2">
        <v>2.7551130000000001</v>
      </c>
      <c r="AG44" s="2">
        <v>3.3942199999999998</v>
      </c>
      <c r="AH44" s="2">
        <v>3.7221030000000002</v>
      </c>
      <c r="AI44" s="2">
        <v>3.2609659999999998</v>
      </c>
      <c r="AJ44" s="2">
        <v>3.989738</v>
      </c>
      <c r="AK44" s="2">
        <v>4.347804</v>
      </c>
      <c r="AL44" s="3">
        <v>2.6070139999999999</v>
      </c>
      <c r="AM44" s="3">
        <v>2.466834</v>
      </c>
      <c r="AN44" s="2">
        <v>31.819459999999999</v>
      </c>
      <c r="AO44" s="2">
        <v>31.97053</v>
      </c>
      <c r="AP44" s="2">
        <v>32.414009999999998</v>
      </c>
      <c r="AQ44" s="2">
        <v>33.055639999999997</v>
      </c>
      <c r="AR44" s="2">
        <v>2.5365639999999998</v>
      </c>
      <c r="AS44" s="2">
        <v>2.426752</v>
      </c>
      <c r="AT44" s="2">
        <v>2.2071299999999998</v>
      </c>
      <c r="AU44" s="2">
        <v>1.964235</v>
      </c>
      <c r="AV44" s="1" t="s">
        <v>6</v>
      </c>
      <c r="AW44" s="3">
        <v>1.478261</v>
      </c>
      <c r="AX44" s="3">
        <v>230</v>
      </c>
      <c r="AY44" s="2">
        <v>14.427860000000001</v>
      </c>
      <c r="AZ44" s="2">
        <v>14.565379999999999</v>
      </c>
      <c r="BA44" s="2">
        <v>8</v>
      </c>
      <c r="BB44" s="2">
        <v>10.7133</v>
      </c>
      <c r="BC44" s="2">
        <v>9.3877550000000003</v>
      </c>
      <c r="BD44" s="3">
        <v>170.85</v>
      </c>
      <c r="BE44" s="2">
        <v>17.64705</v>
      </c>
      <c r="BF44" s="3">
        <v>218</v>
      </c>
      <c r="BG44" s="2">
        <v>-7.798165</v>
      </c>
      <c r="BH44" s="2">
        <v>50.38832</v>
      </c>
      <c r="BI44" s="2">
        <v>49.714469999999999</v>
      </c>
      <c r="BJ44" s="2">
        <v>49.770949999999999</v>
      </c>
      <c r="BK44" s="2">
        <v>49.921410000000002</v>
      </c>
      <c r="BL44" s="2">
        <v>21</v>
      </c>
      <c r="BM44" s="2">
        <v>19</v>
      </c>
      <c r="BN44" s="4">
        <v>23</v>
      </c>
      <c r="BO44" s="4">
        <v>0</v>
      </c>
      <c r="BP44" s="4">
        <v>0</v>
      </c>
      <c r="BQ44" s="4">
        <v>22</v>
      </c>
      <c r="BR44" s="2">
        <v>0</v>
      </c>
      <c r="BS44" s="4">
        <v>14</v>
      </c>
      <c r="BT44" s="4">
        <v>1</v>
      </c>
      <c r="BU44" s="4">
        <v>23</v>
      </c>
      <c r="BV44" s="2">
        <v>60.86956</v>
      </c>
      <c r="BW44" s="2">
        <v>5.14872</v>
      </c>
      <c r="BX44" s="2">
        <v>255.6317</v>
      </c>
      <c r="BY44" s="3">
        <v>0.38903480000000001</v>
      </c>
      <c r="BZ44" s="3">
        <v>0.15218570000000001</v>
      </c>
      <c r="CA44" s="2">
        <v>0.48680099999999998</v>
      </c>
      <c r="CB44" s="3">
        <v>0.15218570000000001</v>
      </c>
      <c r="CC44" s="3">
        <v>9.5344630000000006</v>
      </c>
      <c r="CD44" s="3">
        <v>9.436477</v>
      </c>
      <c r="CE44" s="2">
        <v>-1.027703</v>
      </c>
      <c r="CF44" s="3">
        <v>3515.7159999999999</v>
      </c>
      <c r="CG44" s="3">
        <v>3480.3180000000002</v>
      </c>
      <c r="CH44" s="2">
        <v>-1.006842</v>
      </c>
      <c r="CI44" s="3">
        <v>220</v>
      </c>
      <c r="CJ44" s="2">
        <v>4.5454499999999998</v>
      </c>
      <c r="CK44" s="3">
        <v>12178.96</v>
      </c>
      <c r="CL44" s="3">
        <v>12124.68</v>
      </c>
      <c r="CM44" s="2">
        <v>-0.44564599999999999</v>
      </c>
      <c r="CN44" s="3">
        <v>195.7398</v>
      </c>
      <c r="CO44" s="3">
        <v>204.5471</v>
      </c>
      <c r="CP44" s="3">
        <v>199.62309999999999</v>
      </c>
      <c r="CQ44" s="2">
        <v>2.6873230000000001</v>
      </c>
      <c r="CR44" s="2">
        <v>-1.7341139999999999</v>
      </c>
      <c r="CS44" s="2">
        <v>0.68976879999999996</v>
      </c>
      <c r="CT44" s="2">
        <v>4.4994589999999999</v>
      </c>
      <c r="CU44" s="2">
        <v>77.161119999999997</v>
      </c>
      <c r="CV44" s="3">
        <v>0.15017150000000001</v>
      </c>
      <c r="CW44" s="2" t="e">
        <v>#N/A</v>
      </c>
      <c r="CX44" s="2">
        <v>-3.4036970000000002</v>
      </c>
      <c r="CY44" s="2" t="e">
        <v>#N/A</v>
      </c>
      <c r="CZ44" s="2">
        <v>27.88889</v>
      </c>
    </row>
    <row r="45" spans="1:104" ht="15" customHeight="1" x14ac:dyDescent="0.2">
      <c r="A45" s="1">
        <f t="shared" si="0"/>
        <v>39</v>
      </c>
      <c r="B45" s="1" t="s">
        <v>129</v>
      </c>
      <c r="C45" s="1" t="s">
        <v>128</v>
      </c>
      <c r="D45" s="1" t="s">
        <v>20</v>
      </c>
      <c r="E45" s="1" t="s">
        <v>59</v>
      </c>
      <c r="F45" s="1" t="s">
        <v>60</v>
      </c>
      <c r="G45" s="2">
        <v>48153.49</v>
      </c>
      <c r="H45" s="2">
        <v>95.295599999999993</v>
      </c>
      <c r="I45" s="2">
        <v>45888.160000000003</v>
      </c>
      <c r="J45" s="3">
        <v>1552.8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>
        <v>85.459549999999993</v>
      </c>
      <c r="Q45" s="2">
        <v>71.360299999999995</v>
      </c>
      <c r="R45" s="2">
        <v>53.007689999999997</v>
      </c>
      <c r="S45" s="2">
        <v>38.922170000000001</v>
      </c>
      <c r="T45" s="2">
        <v>47.953409999999998</v>
      </c>
      <c r="U45" s="2">
        <v>55.117550000000001</v>
      </c>
      <c r="V45" s="2">
        <v>39.812010000000001</v>
      </c>
      <c r="W45" s="2">
        <v>28.026710000000001</v>
      </c>
      <c r="X45" s="2">
        <v>19.984559999999998</v>
      </c>
      <c r="Y45" s="2">
        <v>15.799759999999999</v>
      </c>
      <c r="Z45" s="2">
        <v>12.237299999999999</v>
      </c>
      <c r="AA45" s="2">
        <v>9.6319949999999999</v>
      </c>
      <c r="AB45" s="2">
        <v>23.849460000000001</v>
      </c>
      <c r="AC45" s="2">
        <v>64.811189999999996</v>
      </c>
      <c r="AD45" s="2">
        <v>48.035580000000003</v>
      </c>
      <c r="AE45" s="2">
        <v>32.204740000000001</v>
      </c>
      <c r="AF45" s="2">
        <v>1.8329139999999999</v>
      </c>
      <c r="AG45" s="2">
        <v>2.5940189999999999</v>
      </c>
      <c r="AH45" s="2">
        <v>3.7433429999999999</v>
      </c>
      <c r="AI45" s="2">
        <v>1.7267589999999999</v>
      </c>
      <c r="AJ45" s="2">
        <v>2.3996569999999999</v>
      </c>
      <c r="AK45" s="2">
        <v>3.3724780000000001</v>
      </c>
      <c r="AL45" s="3">
        <v>2.3911600000000002</v>
      </c>
      <c r="AM45" s="3">
        <v>1.77311</v>
      </c>
      <c r="AN45" s="2">
        <v>56.023069999999997</v>
      </c>
      <c r="AO45" s="2">
        <v>48.1599</v>
      </c>
      <c r="AP45" s="2">
        <v>50.860280000000003</v>
      </c>
      <c r="AQ45" s="2">
        <v>56.08361</v>
      </c>
      <c r="AR45" s="2">
        <v>-6.8392150000000003</v>
      </c>
      <c r="AS45" s="2">
        <v>-3.3884020000000001</v>
      </c>
      <c r="AT45" s="2">
        <v>-3.2246079999999999</v>
      </c>
      <c r="AU45" s="2">
        <v>-3.0820460000000001</v>
      </c>
      <c r="AV45" s="1" t="s">
        <v>83</v>
      </c>
      <c r="AW45" s="3">
        <v>1.5652170000000001</v>
      </c>
      <c r="AX45" s="3">
        <v>1800</v>
      </c>
      <c r="AY45" s="2">
        <v>15.91963</v>
      </c>
      <c r="AZ45" s="2">
        <v>22.140820000000001</v>
      </c>
      <c r="BA45" s="2">
        <v>27.5</v>
      </c>
      <c r="BB45" s="2">
        <v>8.6634039999999999</v>
      </c>
      <c r="BC45" s="2">
        <v>20.52158</v>
      </c>
      <c r="BD45" s="3">
        <v>1198</v>
      </c>
      <c r="BE45" s="2">
        <v>29.616029999999999</v>
      </c>
      <c r="BF45" s="3">
        <v>1893</v>
      </c>
      <c r="BG45" s="2">
        <v>-17.97147</v>
      </c>
      <c r="BH45" s="2">
        <v>0</v>
      </c>
      <c r="BI45" s="2">
        <v>0</v>
      </c>
      <c r="BJ45" s="2">
        <v>4.6673980000000004</v>
      </c>
      <c r="BK45" s="2">
        <v>7.2644710000000003</v>
      </c>
      <c r="BL45" s="2">
        <v>23</v>
      </c>
      <c r="BM45" s="2">
        <v>19</v>
      </c>
      <c r="BN45" s="4">
        <v>23</v>
      </c>
      <c r="BO45" s="4">
        <v>1</v>
      </c>
      <c r="BP45" s="4">
        <v>1</v>
      </c>
      <c r="BQ45" s="4">
        <v>20</v>
      </c>
      <c r="BR45" s="2">
        <v>4.5454549999999996</v>
      </c>
      <c r="BS45" s="4">
        <v>13</v>
      </c>
      <c r="BT45" s="4">
        <v>2</v>
      </c>
      <c r="BU45" s="4">
        <v>23</v>
      </c>
      <c r="BV45" s="2">
        <v>56.521740000000001</v>
      </c>
      <c r="BW45" s="2">
        <v>10.869</v>
      </c>
      <c r="BX45" s="2">
        <v>31.010750000000002</v>
      </c>
      <c r="BY45" s="3">
        <v>8.0499810000000005E-2</v>
      </c>
      <c r="BZ45" s="3">
        <v>0.25958680000000001</v>
      </c>
      <c r="CA45" s="2">
        <v>1.43041</v>
      </c>
      <c r="CB45" s="3">
        <v>0.25958680000000001</v>
      </c>
      <c r="CC45" s="3">
        <v>22.582239999999999</v>
      </c>
      <c r="CD45" s="3">
        <v>22.004010000000001</v>
      </c>
      <c r="CE45" s="2">
        <v>-2.5605440000000002</v>
      </c>
      <c r="CF45" s="3">
        <v>783.77670000000001</v>
      </c>
      <c r="CG45" s="3">
        <v>735.72140000000002</v>
      </c>
      <c r="CH45" s="2">
        <v>-6.1312559999999996</v>
      </c>
      <c r="CI45" s="3">
        <v>1673.8209999999999</v>
      </c>
      <c r="CJ45" s="2">
        <v>7.538354</v>
      </c>
      <c r="CK45" s="3">
        <v>1727.519</v>
      </c>
      <c r="CL45" s="3">
        <v>1701.895</v>
      </c>
      <c r="CM45" s="2">
        <v>-1.4832970000000001</v>
      </c>
      <c r="CN45" s="3">
        <v>1428.6320000000001</v>
      </c>
      <c r="CO45" s="3">
        <v>1518.8389999999999</v>
      </c>
      <c r="CP45" s="3">
        <v>1553.5</v>
      </c>
      <c r="CQ45" s="2">
        <v>8.6913699999999992</v>
      </c>
      <c r="CR45" s="2">
        <v>2.2359610000000001</v>
      </c>
      <c r="CS45" s="2">
        <v>-4.5067070000000001E-2</v>
      </c>
      <c r="CT45" s="2">
        <v>6.3142180000000003</v>
      </c>
      <c r="CU45" s="2">
        <v>84.608940000000004</v>
      </c>
      <c r="CV45" s="3">
        <v>0.1757068</v>
      </c>
      <c r="CW45" s="2" t="e">
        <v>#N/A</v>
      </c>
      <c r="CX45" s="2" t="e">
        <v>#N/A</v>
      </c>
      <c r="CY45" s="2" t="e">
        <v>#N/A</v>
      </c>
      <c r="CZ45" s="2">
        <v>28.040400000000002</v>
      </c>
    </row>
    <row r="46" spans="1:104" ht="15" customHeight="1" x14ac:dyDescent="0.2">
      <c r="A46" s="1">
        <f t="shared" si="0"/>
        <v>40</v>
      </c>
      <c r="B46" s="1" t="s">
        <v>131</v>
      </c>
      <c r="C46" s="1" t="s">
        <v>130</v>
      </c>
      <c r="D46" s="1" t="s">
        <v>20</v>
      </c>
      <c r="E46" s="1" t="s">
        <v>27</v>
      </c>
      <c r="F46" s="1" t="s">
        <v>132</v>
      </c>
      <c r="G46" s="2">
        <v>29655.9</v>
      </c>
      <c r="H46" s="2">
        <v>96.162499999999994</v>
      </c>
      <c r="I46" s="2">
        <v>28517.86</v>
      </c>
      <c r="J46" s="3">
        <v>30.395</v>
      </c>
      <c r="K46" s="3">
        <v>0</v>
      </c>
      <c r="L46" s="2">
        <v>3.4545149999999998</v>
      </c>
      <c r="M46" s="2">
        <v>3.5861160000000001</v>
      </c>
      <c r="N46" s="2">
        <v>3.7835169999999998</v>
      </c>
      <c r="O46" s="2">
        <v>4.1125189999999998</v>
      </c>
      <c r="P46" s="2">
        <v>11.91961</v>
      </c>
      <c r="Q46" s="2">
        <v>12.10956</v>
      </c>
      <c r="R46" s="2">
        <v>11.341419999999999</v>
      </c>
      <c r="S46" s="2">
        <v>10.44502</v>
      </c>
      <c r="T46" s="2">
        <v>5.7378270000000002</v>
      </c>
      <c r="U46" s="2">
        <v>6.2439270000000002</v>
      </c>
      <c r="V46" s="2">
        <v>6.0187119999999998</v>
      </c>
      <c r="W46" s="2">
        <v>5.778016</v>
      </c>
      <c r="X46" s="2">
        <v>1.9459029999999999</v>
      </c>
      <c r="Y46" s="2">
        <v>1.8365560000000001</v>
      </c>
      <c r="Z46" s="2">
        <v>1.7336039999999999</v>
      </c>
      <c r="AA46" s="2">
        <v>1.6190329999999999</v>
      </c>
      <c r="AB46" s="2">
        <v>6.2799589999999998</v>
      </c>
      <c r="AC46" s="2">
        <v>5.5360120000000004</v>
      </c>
      <c r="AD46" s="2">
        <v>5.2309979999999996</v>
      </c>
      <c r="AE46" s="2">
        <v>5.1041150000000002</v>
      </c>
      <c r="AF46" s="2">
        <v>6.80924</v>
      </c>
      <c r="AG46" s="2">
        <v>7.2967139999999997</v>
      </c>
      <c r="AH46" s="2">
        <v>5.8730120000000001</v>
      </c>
      <c r="AI46" s="2">
        <v>10.143129999999999</v>
      </c>
      <c r="AJ46" s="2">
        <v>10.82375</v>
      </c>
      <c r="AK46" s="2">
        <v>8.6152099999999994</v>
      </c>
      <c r="AL46" s="3" t="e">
        <v>#N/A</v>
      </c>
      <c r="AM46" s="3" t="e">
        <v>#N/A</v>
      </c>
      <c r="AN46" s="2">
        <v>8.2325490000000006</v>
      </c>
      <c r="AO46" s="2">
        <v>8.00291</v>
      </c>
      <c r="AP46" s="2">
        <v>8.1081909999999997</v>
      </c>
      <c r="AQ46" s="2">
        <v>8.1575860000000002</v>
      </c>
      <c r="AR46" s="2">
        <v>2.0132660000000002</v>
      </c>
      <c r="AS46" s="2">
        <v>2.0522800000000001</v>
      </c>
      <c r="AT46" s="2">
        <v>1.9612620000000001</v>
      </c>
      <c r="AU46" s="2">
        <v>1.839127</v>
      </c>
      <c r="AV46" s="1" t="s">
        <v>6</v>
      </c>
      <c r="AW46" s="3">
        <v>1.388889</v>
      </c>
      <c r="AX46" s="3">
        <v>33.75</v>
      </c>
      <c r="AY46" s="2">
        <v>11.037990000000001</v>
      </c>
      <c r="AZ46" s="2">
        <v>15.16616</v>
      </c>
      <c r="BA46" s="2" t="e">
        <v>#N/A</v>
      </c>
      <c r="BB46" s="2">
        <v>17.219439999999999</v>
      </c>
      <c r="BC46" s="2">
        <v>13.245150000000001</v>
      </c>
      <c r="BD46" s="3">
        <v>25.344999999999999</v>
      </c>
      <c r="BE46" s="2">
        <v>19.92503</v>
      </c>
      <c r="BF46" s="3">
        <v>32.51</v>
      </c>
      <c r="BG46" s="2">
        <v>-6.5056859999999999</v>
      </c>
      <c r="BH46" s="2">
        <v>40.672269999999997</v>
      </c>
      <c r="BI46" s="2">
        <v>43.477319999999999</v>
      </c>
      <c r="BJ46" s="2">
        <v>43.301569999999998</v>
      </c>
      <c r="BK46" s="2">
        <v>43.050379999999997</v>
      </c>
      <c r="BL46" s="2">
        <v>16</v>
      </c>
      <c r="BM46" s="2">
        <v>14</v>
      </c>
      <c r="BN46" s="4">
        <v>18</v>
      </c>
      <c r="BO46" s="4">
        <v>0</v>
      </c>
      <c r="BP46" s="4">
        <v>1</v>
      </c>
      <c r="BQ46" s="4">
        <v>17</v>
      </c>
      <c r="BR46" s="2">
        <v>0</v>
      </c>
      <c r="BS46" s="4">
        <v>12</v>
      </c>
      <c r="BT46" s="4">
        <v>0</v>
      </c>
      <c r="BU46" s="4">
        <v>18</v>
      </c>
      <c r="BV46" s="2">
        <v>66.666669999999996</v>
      </c>
      <c r="BW46" s="2">
        <v>5.17896</v>
      </c>
      <c r="BX46" s="2">
        <v>975.68349999999998</v>
      </c>
      <c r="BY46" s="3">
        <v>2.3313160000000002</v>
      </c>
      <c r="BZ46" s="3">
        <v>0.23894180000000001</v>
      </c>
      <c r="CA46" s="2">
        <v>0.429286</v>
      </c>
      <c r="CB46" s="3">
        <v>0.23894180000000001</v>
      </c>
      <c r="CC46" s="3">
        <v>2.5522429999999998</v>
      </c>
      <c r="CD46" s="3">
        <v>2.513315</v>
      </c>
      <c r="CE46" s="2">
        <v>-1.525277</v>
      </c>
      <c r="CF46" s="3">
        <v>3654.2220000000002</v>
      </c>
      <c r="CG46" s="3">
        <v>3583.3560000000002</v>
      </c>
      <c r="CH46" s="2">
        <v>-1.939303</v>
      </c>
      <c r="CI46" s="3">
        <v>32.941180000000003</v>
      </c>
      <c r="CJ46" s="2">
        <v>2.4553539999999998</v>
      </c>
      <c r="CK46" s="3">
        <v>89316.58</v>
      </c>
      <c r="CL46" s="3">
        <v>88283.87</v>
      </c>
      <c r="CM46" s="2">
        <v>-1.1562349999999999</v>
      </c>
      <c r="CN46" s="3">
        <v>29.233329999999999</v>
      </c>
      <c r="CO46" s="3">
        <v>30.472840000000001</v>
      </c>
      <c r="CP46" s="3">
        <v>30.41039</v>
      </c>
      <c r="CQ46" s="2">
        <v>3.9737939999999998</v>
      </c>
      <c r="CR46" s="2">
        <v>-0.25544169999999999</v>
      </c>
      <c r="CS46" s="2">
        <v>-5.0604339999999998E-2</v>
      </c>
      <c r="CT46" s="2">
        <v>4.2400599999999997</v>
      </c>
      <c r="CU46" s="2">
        <v>65.522800000000004</v>
      </c>
      <c r="CV46" s="3">
        <v>0.22094359999999999</v>
      </c>
      <c r="CW46" s="2">
        <v>7.2459319999999998</v>
      </c>
      <c r="CX46" s="2">
        <v>-9.9887659999999996E-3</v>
      </c>
      <c r="CY46" s="2">
        <v>2.8275730000000001</v>
      </c>
      <c r="CZ46" s="2">
        <v>28.212119999999999</v>
      </c>
    </row>
    <row r="47" spans="1:104" ht="15" customHeight="1" x14ac:dyDescent="0.2">
      <c r="A47" s="1">
        <f t="shared" si="0"/>
        <v>41</v>
      </c>
      <c r="B47" s="1" t="s">
        <v>134</v>
      </c>
      <c r="C47" s="1" t="s">
        <v>133</v>
      </c>
      <c r="D47" s="1" t="s">
        <v>52</v>
      </c>
      <c r="E47" s="1" t="s">
        <v>4</v>
      </c>
      <c r="F47" s="1" t="s">
        <v>101</v>
      </c>
      <c r="G47" s="2">
        <v>61169.68</v>
      </c>
      <c r="H47" s="2">
        <v>91.886799999999994</v>
      </c>
      <c r="I47" s="2">
        <v>56206.86</v>
      </c>
      <c r="J47" s="3">
        <v>26.664999999999999</v>
      </c>
      <c r="K47" s="3">
        <v>0</v>
      </c>
      <c r="L47" s="2">
        <v>6.3753989999999998</v>
      </c>
      <c r="M47" s="2">
        <v>6.9379340000000003</v>
      </c>
      <c r="N47" s="2">
        <v>7.5004679999999997</v>
      </c>
      <c r="O47" s="2">
        <v>7.9129940000000003</v>
      </c>
      <c r="P47" s="2">
        <v>8.6574679999999997</v>
      </c>
      <c r="Q47" s="2">
        <v>7.9597020000000001</v>
      </c>
      <c r="R47" s="2">
        <v>7.4524340000000002</v>
      </c>
      <c r="S47" s="2">
        <v>7.1192099999999998</v>
      </c>
      <c r="T47" s="2">
        <v>8.7060910000000007</v>
      </c>
      <c r="U47" s="2">
        <v>6.3561360000000002</v>
      </c>
      <c r="V47" s="2">
        <v>5.970828</v>
      </c>
      <c r="W47" s="2">
        <v>5.8089529999999998</v>
      </c>
      <c r="X47" s="2">
        <v>1.350811</v>
      </c>
      <c r="Y47" s="2">
        <v>1.277782</v>
      </c>
      <c r="Z47" s="2">
        <v>1.207759</v>
      </c>
      <c r="AA47" s="2">
        <v>1.1348100000000001</v>
      </c>
      <c r="AB47" s="2">
        <v>9.8740389999999998</v>
      </c>
      <c r="AC47" s="2">
        <v>8.7967940000000002</v>
      </c>
      <c r="AD47" s="2">
        <v>7.8291180000000002</v>
      </c>
      <c r="AE47" s="2" t="e">
        <v>#N/A</v>
      </c>
      <c r="AF47" s="2">
        <v>6.7209969999999997</v>
      </c>
      <c r="AG47" s="2">
        <v>7.1166479999999996</v>
      </c>
      <c r="AH47" s="2">
        <v>3.680488</v>
      </c>
      <c r="AI47" s="2">
        <v>6.7607549999999996</v>
      </c>
      <c r="AJ47" s="2">
        <v>7.0984369999999997</v>
      </c>
      <c r="AK47" s="2">
        <v>3.6407310000000002</v>
      </c>
      <c r="AL47" s="3">
        <v>0.34618789999999999</v>
      </c>
      <c r="AM47" s="3">
        <v>0.32310650000000002</v>
      </c>
      <c r="AN47" s="2">
        <v>8.7420010000000001</v>
      </c>
      <c r="AO47" s="2">
        <v>9.3647770000000001</v>
      </c>
      <c r="AP47" s="2">
        <v>9.5944240000000001</v>
      </c>
      <c r="AQ47" s="2">
        <v>9.5398990000000001</v>
      </c>
      <c r="AR47" s="2">
        <v>1.8589469999999999</v>
      </c>
      <c r="AS47" s="2">
        <v>3.7379309999999999E-2</v>
      </c>
      <c r="AT47" s="2">
        <v>-1.531825E-2</v>
      </c>
      <c r="AU47" s="2">
        <v>-6.3434299999999999E-2</v>
      </c>
      <c r="AV47" s="1" t="s">
        <v>6</v>
      </c>
      <c r="AW47" s="3">
        <v>1.175</v>
      </c>
      <c r="AX47" s="3">
        <v>33.5</v>
      </c>
      <c r="AY47" s="2">
        <v>25.632850000000001</v>
      </c>
      <c r="AZ47" s="2">
        <v>16.053139999999999</v>
      </c>
      <c r="BA47" s="2">
        <v>22.930820000000001</v>
      </c>
      <c r="BB47" s="2">
        <v>24.982430000000001</v>
      </c>
      <c r="BC47" s="2">
        <v>2.341199</v>
      </c>
      <c r="BD47" s="3">
        <v>20.62</v>
      </c>
      <c r="BE47" s="2">
        <v>29.316199999999998</v>
      </c>
      <c r="BF47" s="3">
        <v>30.34</v>
      </c>
      <c r="BG47" s="2">
        <v>-12.112719999999999</v>
      </c>
      <c r="BH47" s="2">
        <v>54.68535</v>
      </c>
      <c r="BI47" s="2">
        <v>54.89743</v>
      </c>
      <c r="BJ47" s="2">
        <v>54.823439999999998</v>
      </c>
      <c r="BK47" s="2">
        <v>54.906080000000003</v>
      </c>
      <c r="BL47" s="2">
        <v>19</v>
      </c>
      <c r="BM47" s="2">
        <v>7</v>
      </c>
      <c r="BN47" s="4">
        <v>20</v>
      </c>
      <c r="BO47" s="4">
        <v>0</v>
      </c>
      <c r="BP47" s="4">
        <v>0</v>
      </c>
      <c r="BQ47" s="4">
        <v>20</v>
      </c>
      <c r="BR47" s="2">
        <v>0</v>
      </c>
      <c r="BS47" s="4">
        <v>17</v>
      </c>
      <c r="BT47" s="4">
        <v>0</v>
      </c>
      <c r="BU47" s="4">
        <v>20</v>
      </c>
      <c r="BV47" s="2">
        <v>85</v>
      </c>
      <c r="BW47" s="2">
        <v>10.1547</v>
      </c>
      <c r="BX47" s="2">
        <v>2294.0070000000001</v>
      </c>
      <c r="BY47" s="3">
        <v>4.6062630000000002</v>
      </c>
      <c r="BZ47" s="3">
        <v>0.20079549999999999</v>
      </c>
      <c r="CA47" s="2">
        <v>1.49041</v>
      </c>
      <c r="CB47" s="3">
        <v>0.20079549999999999</v>
      </c>
      <c r="CC47" s="3">
        <v>3.4112279999999999</v>
      </c>
      <c r="CD47" s="3">
        <v>3.3590010000000001</v>
      </c>
      <c r="CE47" s="2">
        <v>-1.531047</v>
      </c>
      <c r="CF47" s="3">
        <v>9513.5130000000008</v>
      </c>
      <c r="CG47" s="3">
        <v>9102.1970000000001</v>
      </c>
      <c r="CH47" s="2">
        <v>-4.3234880000000002</v>
      </c>
      <c r="CI47" s="3">
        <v>33.063890000000001</v>
      </c>
      <c r="CJ47" s="2">
        <v>1.318991</v>
      </c>
      <c r="CK47" s="3">
        <v>103756.8</v>
      </c>
      <c r="CL47" s="3">
        <v>102506.1</v>
      </c>
      <c r="CM47" s="2">
        <v>-1.2054560000000001</v>
      </c>
      <c r="CN47" s="3">
        <v>27.239450000000001</v>
      </c>
      <c r="CO47" s="3">
        <v>26.891570000000002</v>
      </c>
      <c r="CP47" s="3">
        <v>26.409610000000001</v>
      </c>
      <c r="CQ47" s="2">
        <v>-2.1088960000000001</v>
      </c>
      <c r="CR47" s="2">
        <v>-0.84251759999999998</v>
      </c>
      <c r="CS47" s="2">
        <v>0.9670377</v>
      </c>
      <c r="CT47" s="2">
        <v>-1.277137</v>
      </c>
      <c r="CU47" s="2">
        <v>114.9764</v>
      </c>
      <c r="CV47" s="3">
        <v>0.18796299999999999</v>
      </c>
      <c r="CW47" s="2" t="e">
        <v>#N/A</v>
      </c>
      <c r="CX47" s="2">
        <v>-0.625</v>
      </c>
      <c r="CY47" s="2" t="e">
        <v>#N/A</v>
      </c>
      <c r="CZ47" s="2">
        <v>28.868690000000001</v>
      </c>
    </row>
    <row r="48" spans="1:104" ht="15" customHeight="1" x14ac:dyDescent="0.2">
      <c r="A48" s="1">
        <f t="shared" si="0"/>
        <v>42</v>
      </c>
      <c r="B48" s="1" t="s">
        <v>136</v>
      </c>
      <c r="C48" s="1" t="s">
        <v>135</v>
      </c>
      <c r="D48" s="1" t="s">
        <v>52</v>
      </c>
      <c r="E48" s="1" t="s">
        <v>137</v>
      </c>
      <c r="F48" s="1" t="s">
        <v>138</v>
      </c>
      <c r="G48" s="2">
        <v>131508.6</v>
      </c>
      <c r="H48" s="2">
        <v>92.463999999999999</v>
      </c>
      <c r="I48" s="2">
        <v>121598.1</v>
      </c>
      <c r="J48" s="3">
        <v>52.64</v>
      </c>
      <c r="K48" s="3">
        <v>0</v>
      </c>
      <c r="L48" s="2">
        <v>6.8543700000000003</v>
      </c>
      <c r="M48" s="2">
        <v>5.4784360000000003</v>
      </c>
      <c r="N48" s="2">
        <v>5.7867379999999997</v>
      </c>
      <c r="O48" s="2">
        <v>6.0073470000000002</v>
      </c>
      <c r="P48" s="2">
        <v>4.0497680000000003</v>
      </c>
      <c r="Q48" s="2">
        <v>5.7655459999999996</v>
      </c>
      <c r="R48" s="2">
        <v>6.2755960000000002</v>
      </c>
      <c r="S48" s="2">
        <v>6.584117</v>
      </c>
      <c r="T48" s="2">
        <v>2.887667</v>
      </c>
      <c r="U48" s="2">
        <v>3.1530629999999999</v>
      </c>
      <c r="V48" s="2">
        <v>3.2449889999999999</v>
      </c>
      <c r="W48" s="2">
        <v>3.4816560000000001</v>
      </c>
      <c r="X48" s="2">
        <v>1.278794</v>
      </c>
      <c r="Y48" s="2">
        <v>1.1707559999999999</v>
      </c>
      <c r="Z48" s="2">
        <v>1.076657</v>
      </c>
      <c r="AA48" s="2">
        <v>1.002078</v>
      </c>
      <c r="AB48" s="2">
        <v>3.1060129999999999</v>
      </c>
      <c r="AC48" s="2">
        <v>3.8514930000000001</v>
      </c>
      <c r="AD48" s="2">
        <v>3.8464649999999998</v>
      </c>
      <c r="AE48" s="2">
        <v>3.8470580000000001</v>
      </c>
      <c r="AF48" s="2">
        <v>11.276300000000001</v>
      </c>
      <c r="AG48" s="2">
        <v>10.63214</v>
      </c>
      <c r="AH48" s="2">
        <v>9.4836010000000002</v>
      </c>
      <c r="AI48" s="2">
        <v>12.48466</v>
      </c>
      <c r="AJ48" s="2">
        <v>11.43163</v>
      </c>
      <c r="AK48" s="2">
        <v>9.9483829999999998</v>
      </c>
      <c r="AL48" s="3" t="e">
        <v>#N/A</v>
      </c>
      <c r="AM48" s="3" t="e">
        <v>#N/A</v>
      </c>
      <c r="AN48" s="2">
        <v>23.864650000000001</v>
      </c>
      <c r="AO48" s="2">
        <v>21.430630000000001</v>
      </c>
      <c r="AP48" s="2">
        <v>19.975429999999999</v>
      </c>
      <c r="AQ48" s="2">
        <v>18.547280000000001</v>
      </c>
      <c r="AR48" s="2">
        <v>0.26598549999999999</v>
      </c>
      <c r="AS48" s="2">
        <v>0.30517689999999997</v>
      </c>
      <c r="AT48" s="2">
        <v>0.2269419</v>
      </c>
      <c r="AU48" s="2">
        <v>0.16266120000000001</v>
      </c>
      <c r="AV48" s="1" t="s">
        <v>24</v>
      </c>
      <c r="AW48" s="3">
        <v>1.446429</v>
      </c>
      <c r="AX48" s="3">
        <v>63.579790000000003</v>
      </c>
      <c r="AY48" s="2">
        <v>20.78228</v>
      </c>
      <c r="AZ48" s="2">
        <v>20.306080000000001</v>
      </c>
      <c r="BA48" s="2">
        <v>-8.1421340000000004</v>
      </c>
      <c r="BB48" s="2">
        <v>8.8840599999999998</v>
      </c>
      <c r="BC48" s="2">
        <v>-10.24723</v>
      </c>
      <c r="BD48" s="3">
        <v>45.81</v>
      </c>
      <c r="BE48" s="2">
        <v>14.9094</v>
      </c>
      <c r="BF48" s="3">
        <v>60.93</v>
      </c>
      <c r="BG48" s="2">
        <v>-13.605779999999999</v>
      </c>
      <c r="BH48" s="2">
        <v>25.741140000000001</v>
      </c>
      <c r="BI48" s="2">
        <v>32.186579999999999</v>
      </c>
      <c r="BJ48" s="2">
        <v>36.383949999999999</v>
      </c>
      <c r="BK48" s="2">
        <v>40.239690000000003</v>
      </c>
      <c r="BL48" s="2">
        <v>26</v>
      </c>
      <c r="BM48" s="2">
        <v>20</v>
      </c>
      <c r="BN48" s="4">
        <v>28</v>
      </c>
      <c r="BO48" s="4">
        <v>1</v>
      </c>
      <c r="BP48" s="4">
        <v>0</v>
      </c>
      <c r="BQ48" s="4">
        <v>28</v>
      </c>
      <c r="BR48" s="2">
        <v>3.4482759999999999</v>
      </c>
      <c r="BS48" s="4">
        <v>17</v>
      </c>
      <c r="BT48" s="4">
        <v>0</v>
      </c>
      <c r="BU48" s="4">
        <v>28</v>
      </c>
      <c r="BV48" s="2">
        <v>60.714289999999998</v>
      </c>
      <c r="BW48" s="2">
        <v>9.8678699999999999</v>
      </c>
      <c r="BX48" s="2">
        <v>2498.2640000000001</v>
      </c>
      <c r="BY48" s="3">
        <v>5.205864</v>
      </c>
      <c r="BZ48" s="3">
        <v>0.20837929999999999</v>
      </c>
      <c r="CA48" s="2">
        <v>1.1574800000000001</v>
      </c>
      <c r="CB48" s="3">
        <v>0.20837929999999999</v>
      </c>
      <c r="CC48" s="3">
        <v>9.5520840000000007</v>
      </c>
      <c r="CD48" s="3">
        <v>9.0842080000000003</v>
      </c>
      <c r="CE48" s="2">
        <v>-4.8981490000000001</v>
      </c>
      <c r="CF48" s="3">
        <v>35878.89</v>
      </c>
      <c r="CG48" s="3">
        <v>34374.36</v>
      </c>
      <c r="CH48" s="2">
        <v>-4.1933829999999999</v>
      </c>
      <c r="CI48" s="3">
        <v>64.851479999999995</v>
      </c>
      <c r="CJ48" s="2">
        <v>-1.9609209999999999</v>
      </c>
      <c r="CK48" s="3">
        <v>216540.5</v>
      </c>
      <c r="CL48" s="3">
        <v>220736.7</v>
      </c>
      <c r="CM48" s="2">
        <v>1.937819</v>
      </c>
      <c r="CN48" s="3">
        <v>56.244370000000004</v>
      </c>
      <c r="CO48" s="3">
        <v>54.093330000000002</v>
      </c>
      <c r="CP48" s="3">
        <v>52.920760000000001</v>
      </c>
      <c r="CQ48" s="2">
        <v>-6.4084050000000001</v>
      </c>
      <c r="CR48" s="2">
        <v>-2.686715</v>
      </c>
      <c r="CS48" s="2">
        <v>-0.53053499999999998</v>
      </c>
      <c r="CT48" s="2">
        <v>-3.8244370000000001</v>
      </c>
      <c r="CU48" s="2">
        <v>246.99600000000001</v>
      </c>
      <c r="CV48" s="3">
        <v>0.1878174</v>
      </c>
      <c r="CW48" s="2">
        <v>0.62609740000000003</v>
      </c>
      <c r="CX48" s="2">
        <v>-7.7416679999999998</v>
      </c>
      <c r="CY48" s="2">
        <v>12.929349999999999</v>
      </c>
      <c r="CZ48" s="2">
        <v>29.14141</v>
      </c>
    </row>
    <row r="49" spans="1:104" ht="15" customHeight="1" x14ac:dyDescent="0.2">
      <c r="A49" s="1">
        <f t="shared" si="0"/>
        <v>43</v>
      </c>
      <c r="B49" s="1" t="s">
        <v>140</v>
      </c>
      <c r="C49" s="1" t="s">
        <v>139</v>
      </c>
      <c r="D49" s="1" t="s">
        <v>141</v>
      </c>
      <c r="E49" s="1" t="s">
        <v>10</v>
      </c>
      <c r="F49" s="1" t="s">
        <v>142</v>
      </c>
      <c r="G49" s="2">
        <v>22013.83</v>
      </c>
      <c r="H49" s="2">
        <v>92.9024</v>
      </c>
      <c r="I49" s="2">
        <v>20451.38</v>
      </c>
      <c r="J49" s="3">
        <v>3.9085000000000001</v>
      </c>
      <c r="K49" s="3">
        <v>0</v>
      </c>
      <c r="L49" s="2">
        <v>3.0702310000000002</v>
      </c>
      <c r="M49" s="2">
        <v>3.3260839999999998</v>
      </c>
      <c r="N49" s="2">
        <v>4.093642</v>
      </c>
      <c r="O49" s="2">
        <v>4.6053480000000002</v>
      </c>
      <c r="P49" s="2">
        <v>8.8829550000000008</v>
      </c>
      <c r="Q49" s="2">
        <v>9.7712500000000002</v>
      </c>
      <c r="R49" s="2">
        <v>8.6855550000000008</v>
      </c>
      <c r="S49" s="2">
        <v>8.2184889999999999</v>
      </c>
      <c r="T49" s="2">
        <v>5.2901509999999998</v>
      </c>
      <c r="U49" s="2">
        <v>4.6570280000000004</v>
      </c>
      <c r="V49" s="2">
        <v>3.9642789999999999</v>
      </c>
      <c r="W49" s="2">
        <v>3.501633</v>
      </c>
      <c r="X49" s="2">
        <v>1.031266</v>
      </c>
      <c r="Y49" s="2">
        <v>0.97991519999999999</v>
      </c>
      <c r="Z49" s="2">
        <v>0.92290740000000004</v>
      </c>
      <c r="AA49" s="2">
        <v>0.87368120000000005</v>
      </c>
      <c r="AB49" s="2">
        <v>14.88692</v>
      </c>
      <c r="AC49" s="2">
        <v>11.218819999999999</v>
      </c>
      <c r="AD49" s="2">
        <v>7.6766030000000001</v>
      </c>
      <c r="AE49" s="2">
        <v>6.8144220000000004</v>
      </c>
      <c r="AF49" s="2">
        <v>7.6403420000000004</v>
      </c>
      <c r="AG49" s="2">
        <v>14.98724</v>
      </c>
      <c r="AH49" s="2">
        <v>19.06213</v>
      </c>
      <c r="AI49" s="2">
        <v>6.1727069999999999</v>
      </c>
      <c r="AJ49" s="2">
        <v>11.02779</v>
      </c>
      <c r="AK49" s="2">
        <v>12.692449999999999</v>
      </c>
      <c r="AL49" s="3" t="e">
        <v>#N/A</v>
      </c>
      <c r="AM49" s="3" t="e">
        <v>#N/A</v>
      </c>
      <c r="AN49" s="2">
        <v>15.40484</v>
      </c>
      <c r="AO49" s="2">
        <v>14.94073</v>
      </c>
      <c r="AP49" s="2">
        <v>15.66718</v>
      </c>
      <c r="AQ49" s="2">
        <v>15.80696</v>
      </c>
      <c r="AR49" s="2">
        <v>-1.060586</v>
      </c>
      <c r="AS49" s="2">
        <v>-1.1072649999999999</v>
      </c>
      <c r="AT49" s="2">
        <v>-1.423346</v>
      </c>
      <c r="AU49" s="2">
        <v>-1.7572859999999999</v>
      </c>
      <c r="AV49" s="1" t="s">
        <v>6</v>
      </c>
      <c r="AW49" s="3">
        <v>1.322581</v>
      </c>
      <c r="AX49" s="3">
        <v>5.4652279999999998</v>
      </c>
      <c r="AY49" s="2">
        <v>39.82929</v>
      </c>
      <c r="AZ49" s="2">
        <v>10.028549999999999</v>
      </c>
      <c r="BA49" s="2">
        <v>-4.7693009999999996</v>
      </c>
      <c r="BB49" s="2">
        <v>-14.10834</v>
      </c>
      <c r="BC49" s="2">
        <v>-9.6718309999999992</v>
      </c>
      <c r="BD49" s="3">
        <v>3.6604999999999999</v>
      </c>
      <c r="BE49" s="2">
        <v>6.7750329999999996</v>
      </c>
      <c r="BF49" s="3">
        <v>5.1980000000000004</v>
      </c>
      <c r="BG49" s="2">
        <v>-24.80762</v>
      </c>
      <c r="BH49" s="2">
        <v>25.131989999999998</v>
      </c>
      <c r="BI49" s="2">
        <v>33.648530000000001</v>
      </c>
      <c r="BJ49" s="2">
        <v>36.936230000000002</v>
      </c>
      <c r="BK49" s="2">
        <v>40.484529999999999</v>
      </c>
      <c r="BL49" s="2">
        <v>28</v>
      </c>
      <c r="BM49" s="2">
        <v>25</v>
      </c>
      <c r="BN49" s="4">
        <v>31</v>
      </c>
      <c r="BO49" s="4">
        <v>2</v>
      </c>
      <c r="BP49" s="4">
        <v>0</v>
      </c>
      <c r="BQ49" s="4">
        <v>31</v>
      </c>
      <c r="BR49" s="2">
        <v>6.0606059999999999</v>
      </c>
      <c r="BS49" s="4">
        <v>22</v>
      </c>
      <c r="BT49" s="4">
        <v>0</v>
      </c>
      <c r="BU49" s="4">
        <v>31</v>
      </c>
      <c r="BV49" s="2">
        <v>70.967740000000006</v>
      </c>
      <c r="BW49" s="2">
        <v>9.7961799999999997</v>
      </c>
      <c r="BX49" s="2">
        <v>5632.2969999999996</v>
      </c>
      <c r="BY49" s="3">
        <v>12.84559</v>
      </c>
      <c r="BZ49" s="3">
        <v>0.2280701</v>
      </c>
      <c r="CA49" s="2">
        <v>1.28749</v>
      </c>
      <c r="CB49" s="3">
        <v>0.2280701</v>
      </c>
      <c r="CC49" s="3">
        <v>0.43434210000000001</v>
      </c>
      <c r="CD49" s="3">
        <v>0.39849220000000002</v>
      </c>
      <c r="CE49" s="2">
        <v>-8.2538309999999999</v>
      </c>
      <c r="CF49" s="3">
        <v>3226.5509999999999</v>
      </c>
      <c r="CG49" s="3">
        <v>3047.6509999999998</v>
      </c>
      <c r="CH49" s="2">
        <v>-5.5446270000000002</v>
      </c>
      <c r="CI49" s="3">
        <v>5.9073950000000002</v>
      </c>
      <c r="CJ49" s="2">
        <v>-7.484979</v>
      </c>
      <c r="CK49" s="3">
        <v>25757.74</v>
      </c>
      <c r="CL49" s="3">
        <v>25577.45</v>
      </c>
      <c r="CM49" s="2">
        <v>-0.6999493</v>
      </c>
      <c r="CN49" s="3">
        <v>4.2756290000000003</v>
      </c>
      <c r="CO49" s="3">
        <v>3.8087840000000002</v>
      </c>
      <c r="CP49" s="3">
        <v>3.8402889999999998</v>
      </c>
      <c r="CQ49" s="2">
        <v>-8.5865500000000008</v>
      </c>
      <c r="CR49" s="2">
        <v>2.6180509999999999</v>
      </c>
      <c r="CS49" s="2">
        <v>1.776206</v>
      </c>
      <c r="CT49" s="2">
        <v>-10.91874</v>
      </c>
      <c r="CU49" s="2">
        <v>53.985689999999998</v>
      </c>
      <c r="CV49" s="3">
        <v>0.24523529999999999</v>
      </c>
      <c r="CW49" s="2">
        <v>-17.14263</v>
      </c>
      <c r="CX49" s="2">
        <v>2.3450289999999998</v>
      </c>
      <c r="CY49" s="2">
        <v>-13.8</v>
      </c>
      <c r="CZ49" s="2">
        <v>29.545449999999999</v>
      </c>
    </row>
    <row r="50" spans="1:104" ht="15" customHeight="1" x14ac:dyDescent="0.2">
      <c r="A50" s="1">
        <f t="shared" si="0"/>
        <v>44</v>
      </c>
      <c r="B50" s="1" t="s">
        <v>144</v>
      </c>
      <c r="C50" s="1" t="s">
        <v>143</v>
      </c>
      <c r="D50" s="1" t="s">
        <v>52</v>
      </c>
      <c r="E50" s="1" t="s">
        <v>53</v>
      </c>
      <c r="F50" s="1" t="s">
        <v>145</v>
      </c>
      <c r="G50" s="2">
        <v>37623.18</v>
      </c>
      <c r="H50" s="2">
        <v>92.489900000000006</v>
      </c>
      <c r="I50" s="2">
        <v>34797.64</v>
      </c>
      <c r="J50" s="3">
        <v>55.51</v>
      </c>
      <c r="K50" s="3">
        <v>0</v>
      </c>
      <c r="L50" s="2">
        <v>3.602954</v>
      </c>
      <c r="M50" s="2">
        <v>3.7110430000000001</v>
      </c>
      <c r="N50" s="2">
        <v>3.8551609999999998</v>
      </c>
      <c r="O50" s="2">
        <v>4.0737040000000002</v>
      </c>
      <c r="P50" s="2">
        <v>16.183669999999999</v>
      </c>
      <c r="Q50" s="2">
        <v>16.152460000000001</v>
      </c>
      <c r="R50" s="2">
        <v>15.155799999999999</v>
      </c>
      <c r="S50" s="2">
        <v>14.28426</v>
      </c>
      <c r="T50" s="2">
        <v>9.5866209999999992</v>
      </c>
      <c r="U50" s="2">
        <v>10.0501</v>
      </c>
      <c r="V50" s="2">
        <v>9.7012090000000004</v>
      </c>
      <c r="W50" s="2">
        <v>8.9139090000000003</v>
      </c>
      <c r="X50" s="2">
        <v>1.985746</v>
      </c>
      <c r="Y50" s="2">
        <v>1.9046149999999999</v>
      </c>
      <c r="Z50" s="2">
        <v>1.8295980000000001</v>
      </c>
      <c r="AA50" s="2">
        <v>1.7488969999999999</v>
      </c>
      <c r="AB50" s="2">
        <v>11.97897</v>
      </c>
      <c r="AC50" s="2">
        <v>10.32244</v>
      </c>
      <c r="AD50" s="2">
        <v>9.9576630000000002</v>
      </c>
      <c r="AE50" s="2">
        <v>9.4383269999999992</v>
      </c>
      <c r="AF50" s="2">
        <v>4.4144589999999999</v>
      </c>
      <c r="AG50" s="2">
        <v>4.9452259999999999</v>
      </c>
      <c r="AH50" s="2">
        <v>5.3891739999999997</v>
      </c>
      <c r="AI50" s="2">
        <v>5.5306519999999999</v>
      </c>
      <c r="AJ50" s="2">
        <v>6.108873</v>
      </c>
      <c r="AK50" s="2">
        <v>6.5192819999999996</v>
      </c>
      <c r="AL50" s="3">
        <v>5.4408430000000001</v>
      </c>
      <c r="AM50" s="3">
        <v>5.1497320000000002</v>
      </c>
      <c r="AN50" s="2">
        <v>16.358409999999999</v>
      </c>
      <c r="AO50" s="2">
        <v>16.574149999999999</v>
      </c>
      <c r="AP50" s="2">
        <v>16.51473</v>
      </c>
      <c r="AQ50" s="2">
        <v>17.447009999999999</v>
      </c>
      <c r="AR50" s="2">
        <v>2.233641</v>
      </c>
      <c r="AS50" s="2">
        <v>2.0283060000000002</v>
      </c>
      <c r="AT50" s="2">
        <v>1.847931</v>
      </c>
      <c r="AU50" s="2">
        <v>1.5452129999999999</v>
      </c>
      <c r="AV50" s="1" t="s">
        <v>63</v>
      </c>
      <c r="AW50" s="3">
        <v>1.818182</v>
      </c>
      <c r="AX50" s="3">
        <v>56.8</v>
      </c>
      <c r="AY50" s="2">
        <v>2.3239019999999999</v>
      </c>
      <c r="AZ50" s="2">
        <v>11.79149</v>
      </c>
      <c r="BA50" s="2">
        <v>3.25</v>
      </c>
      <c r="BB50" s="2">
        <v>3.4090880000000001</v>
      </c>
      <c r="BC50" s="2">
        <v>12.75644</v>
      </c>
      <c r="BD50" s="3">
        <v>46.75</v>
      </c>
      <c r="BE50" s="2">
        <v>18.737960000000001</v>
      </c>
      <c r="BF50" s="3">
        <v>61.88</v>
      </c>
      <c r="BG50" s="2">
        <v>-10.294119999999999</v>
      </c>
      <c r="BH50" s="2">
        <v>58.407440000000001</v>
      </c>
      <c r="BI50" s="2">
        <v>60.516309999999997</v>
      </c>
      <c r="BJ50" s="2">
        <v>59.661549999999998</v>
      </c>
      <c r="BK50" s="2">
        <v>58.167659999999998</v>
      </c>
      <c r="BL50" s="2">
        <v>20</v>
      </c>
      <c r="BM50" s="2">
        <v>20</v>
      </c>
      <c r="BN50" s="4">
        <v>22</v>
      </c>
      <c r="BO50" s="4">
        <v>0</v>
      </c>
      <c r="BP50" s="4">
        <v>0</v>
      </c>
      <c r="BQ50" s="4">
        <v>22</v>
      </c>
      <c r="BR50" s="2">
        <v>0</v>
      </c>
      <c r="BS50" s="4">
        <v>10</v>
      </c>
      <c r="BT50" s="4">
        <v>5</v>
      </c>
      <c r="BU50" s="4">
        <v>22</v>
      </c>
      <c r="BV50" s="2">
        <v>45.454549999999998</v>
      </c>
      <c r="BW50" s="2">
        <v>5.9177499999999998</v>
      </c>
      <c r="BX50" s="2">
        <v>677.7731</v>
      </c>
      <c r="BY50" s="3">
        <v>1.295747</v>
      </c>
      <c r="BZ50" s="3">
        <v>0.19117709999999999</v>
      </c>
      <c r="CA50" s="2">
        <v>0.56905399999999995</v>
      </c>
      <c r="CB50" s="3">
        <v>0.19117709999999999</v>
      </c>
      <c r="CC50" s="3">
        <v>3.4519139999999999</v>
      </c>
      <c r="CD50" s="3">
        <v>3.4408120000000002</v>
      </c>
      <c r="CE50" s="2">
        <v>-0.32159690000000002</v>
      </c>
      <c r="CF50" s="3">
        <v>3445.8580000000002</v>
      </c>
      <c r="CG50" s="3">
        <v>3479.7570000000001</v>
      </c>
      <c r="CH50" s="2">
        <v>0.9837747</v>
      </c>
      <c r="CI50" s="3">
        <v>58.825000000000003</v>
      </c>
      <c r="CJ50" s="2">
        <v>-3.4424190000000001</v>
      </c>
      <c r="CK50" s="3">
        <v>27912.66</v>
      </c>
      <c r="CL50" s="3">
        <v>28148.01</v>
      </c>
      <c r="CM50" s="2">
        <v>0.84319109999999997</v>
      </c>
      <c r="CN50" s="3">
        <v>53.328139999999998</v>
      </c>
      <c r="CO50" s="3">
        <v>56.520389999999999</v>
      </c>
      <c r="CP50" s="3">
        <v>55.244999999999997</v>
      </c>
      <c r="CQ50" s="2">
        <v>4.0913940000000002</v>
      </c>
      <c r="CR50" s="2">
        <v>-1.787663</v>
      </c>
      <c r="CS50" s="2">
        <v>0.4796743</v>
      </c>
      <c r="CT50" s="2">
        <v>5.9860709999999999</v>
      </c>
      <c r="CU50" s="2">
        <v>72.778760000000005</v>
      </c>
      <c r="CV50" s="3">
        <v>0.19344130000000001</v>
      </c>
      <c r="CW50" s="2" t="e">
        <v>#N/A</v>
      </c>
      <c r="CX50" s="2">
        <v>4.5109959999999996</v>
      </c>
      <c r="CY50" s="2" t="e">
        <v>#N/A</v>
      </c>
      <c r="CZ50" s="2">
        <v>29.909089999999999</v>
      </c>
    </row>
    <row r="51" spans="1:104" ht="15" customHeight="1" x14ac:dyDescent="0.2">
      <c r="A51" s="1">
        <f t="shared" si="0"/>
        <v>45</v>
      </c>
      <c r="B51" s="1" t="s">
        <v>147</v>
      </c>
      <c r="C51" s="1" t="s">
        <v>146</v>
      </c>
      <c r="D51" s="1" t="s">
        <v>3</v>
      </c>
      <c r="E51" s="1" t="s">
        <v>137</v>
      </c>
      <c r="F51" s="1" t="s">
        <v>148</v>
      </c>
      <c r="G51" s="2">
        <v>45980.27</v>
      </c>
      <c r="H51" s="2">
        <v>61.025399999999998</v>
      </c>
      <c r="I51" s="2">
        <v>28059.64</v>
      </c>
      <c r="J51" s="3">
        <v>13.62</v>
      </c>
      <c r="K51" s="3">
        <v>0</v>
      </c>
      <c r="L51" s="2">
        <v>6.461087</v>
      </c>
      <c r="M51" s="2">
        <v>6.9016149999999996</v>
      </c>
      <c r="N51" s="2">
        <v>7.0073420000000004</v>
      </c>
      <c r="O51" s="2">
        <v>7.15116</v>
      </c>
      <c r="P51" s="2">
        <v>3.6031749999999998</v>
      </c>
      <c r="Q51" s="2">
        <v>5.5030299999999999</v>
      </c>
      <c r="R51" s="2">
        <v>5.8559239999999999</v>
      </c>
      <c r="S51" s="2">
        <v>6.2859809999999996</v>
      </c>
      <c r="T51" s="2">
        <v>2.1533120000000001</v>
      </c>
      <c r="U51" s="2">
        <v>2.8139210000000001</v>
      </c>
      <c r="V51" s="2">
        <v>2.8914719999999998</v>
      </c>
      <c r="W51" s="2">
        <v>2.919584</v>
      </c>
      <c r="X51" s="2">
        <v>0.86862240000000002</v>
      </c>
      <c r="Y51" s="2">
        <v>0.80650040000000001</v>
      </c>
      <c r="Z51" s="2">
        <v>0.7502065</v>
      </c>
      <c r="AA51" s="2">
        <v>0.71646500000000002</v>
      </c>
      <c r="AB51" s="2">
        <v>2.6685189999999999</v>
      </c>
      <c r="AC51" s="2">
        <v>2.9016670000000002</v>
      </c>
      <c r="AD51" s="2">
        <v>2.8094440000000001</v>
      </c>
      <c r="AE51" s="2">
        <v>2.600886</v>
      </c>
      <c r="AF51" s="2">
        <v>9.7150110000000005</v>
      </c>
      <c r="AG51" s="2">
        <v>10.045529999999999</v>
      </c>
      <c r="AH51" s="2">
        <v>10.41738</v>
      </c>
      <c r="AI51" s="2">
        <v>12.430249999999999</v>
      </c>
      <c r="AJ51" s="2">
        <v>12.64603</v>
      </c>
      <c r="AK51" s="2">
        <v>12.878069999999999</v>
      </c>
      <c r="AL51" s="3" t="e">
        <v>#N/A</v>
      </c>
      <c r="AM51" s="3" t="e">
        <v>#N/A</v>
      </c>
      <c r="AN51" s="2">
        <v>20.868590000000001</v>
      </c>
      <c r="AO51" s="2">
        <v>19.377949999999998</v>
      </c>
      <c r="AP51" s="2">
        <v>19.662040000000001</v>
      </c>
      <c r="AQ51" s="2">
        <v>19.560310000000001</v>
      </c>
      <c r="AR51" s="2">
        <v>0.43383100000000002</v>
      </c>
      <c r="AS51" s="2">
        <v>0.61466799999999999</v>
      </c>
      <c r="AT51" s="2">
        <v>0.59459640000000002</v>
      </c>
      <c r="AU51" s="2">
        <v>0.55786230000000003</v>
      </c>
      <c r="AV51" s="1" t="s">
        <v>83</v>
      </c>
      <c r="AW51" s="3">
        <v>1.5</v>
      </c>
      <c r="AX51" s="3">
        <v>16</v>
      </c>
      <c r="AY51" s="2">
        <v>17.474309999999999</v>
      </c>
      <c r="AZ51" s="2">
        <v>14.655570000000001</v>
      </c>
      <c r="BA51" s="2">
        <v>-14.927339999999999</v>
      </c>
      <c r="BB51" s="2">
        <v>22.52608</v>
      </c>
      <c r="BC51" s="2">
        <v>2.5139209999999999</v>
      </c>
      <c r="BD51" s="3">
        <v>10.423999999999999</v>
      </c>
      <c r="BE51" s="2">
        <v>30.660019999999999</v>
      </c>
      <c r="BF51" s="3">
        <v>14.98</v>
      </c>
      <c r="BG51" s="2">
        <v>-9.0787709999999997</v>
      </c>
      <c r="BH51" s="2">
        <v>22.940290000000001</v>
      </c>
      <c r="BI51" s="2">
        <v>38.116030000000002</v>
      </c>
      <c r="BJ51" s="2">
        <v>42.020009999999999</v>
      </c>
      <c r="BK51" s="2">
        <v>46.657119999999999</v>
      </c>
      <c r="BL51" s="2">
        <v>24</v>
      </c>
      <c r="BM51" s="2">
        <v>23</v>
      </c>
      <c r="BN51" s="4">
        <v>28</v>
      </c>
      <c r="BO51" s="4">
        <v>0</v>
      </c>
      <c r="BP51" s="4">
        <v>0</v>
      </c>
      <c r="BQ51" s="4">
        <v>28</v>
      </c>
      <c r="BR51" s="2">
        <v>0</v>
      </c>
      <c r="BS51" s="4">
        <v>15</v>
      </c>
      <c r="BT51" s="4">
        <v>0</v>
      </c>
      <c r="BU51" s="4">
        <v>28</v>
      </c>
      <c r="BV51" s="2">
        <v>53.571429999999999</v>
      </c>
      <c r="BW51" s="2">
        <v>10.4717</v>
      </c>
      <c r="BX51" s="2">
        <v>3375.9380000000001</v>
      </c>
      <c r="BY51" s="3">
        <v>12.34742</v>
      </c>
      <c r="BZ51" s="3">
        <v>0.36574790000000001</v>
      </c>
      <c r="CA51" s="2">
        <v>1.3487100000000001</v>
      </c>
      <c r="CB51" s="3">
        <v>0.36574790000000001</v>
      </c>
      <c r="CC51" s="3">
        <v>2.5942590000000001</v>
      </c>
      <c r="CD51" s="3">
        <v>2.438869</v>
      </c>
      <c r="CE51" s="2">
        <v>-5.9897479999999996</v>
      </c>
      <c r="CF51" s="3">
        <v>14202.11</v>
      </c>
      <c r="CG51" s="3">
        <v>13707.53</v>
      </c>
      <c r="CH51" s="2">
        <v>-3.4824489999999999</v>
      </c>
      <c r="CI51" s="3">
        <v>16.44455</v>
      </c>
      <c r="CJ51" s="2">
        <v>-2.7033450000000001</v>
      </c>
      <c r="CK51" s="3">
        <v>102685</v>
      </c>
      <c r="CL51" s="3">
        <v>101678.8</v>
      </c>
      <c r="CM51" s="2">
        <v>-0.97986459999999997</v>
      </c>
      <c r="CN51" s="3">
        <v>13.40798</v>
      </c>
      <c r="CO51" s="3">
        <v>13.14204</v>
      </c>
      <c r="CP51" s="3">
        <v>13.07131</v>
      </c>
      <c r="CQ51" s="2">
        <v>1.5812870000000001</v>
      </c>
      <c r="CR51" s="2">
        <v>3.6368969999999998</v>
      </c>
      <c r="CS51" s="2">
        <v>4.1976690000000003</v>
      </c>
      <c r="CT51" s="2">
        <v>-1.983482</v>
      </c>
      <c r="CU51" s="2">
        <v>148.44540000000001</v>
      </c>
      <c r="CV51" s="3">
        <v>0.32284570000000001</v>
      </c>
      <c r="CW51" s="2">
        <v>-1.497384</v>
      </c>
      <c r="CX51" s="2">
        <v>-14.282819999999999</v>
      </c>
      <c r="CY51" s="2">
        <v>25.881499999999999</v>
      </c>
      <c r="CZ51" s="2">
        <v>30.979800000000001</v>
      </c>
    </row>
    <row r="52" spans="1:104" ht="15" customHeight="1" x14ac:dyDescent="0.2">
      <c r="A52" s="1">
        <f t="shared" si="0"/>
        <v>46</v>
      </c>
      <c r="B52" s="1" t="s">
        <v>150</v>
      </c>
      <c r="C52" s="1" t="s">
        <v>149</v>
      </c>
      <c r="D52" s="1" t="s">
        <v>9</v>
      </c>
      <c r="E52" s="1" t="s">
        <v>109</v>
      </c>
      <c r="F52" s="1" t="s">
        <v>117</v>
      </c>
      <c r="G52" s="2">
        <v>49740.13</v>
      </c>
      <c r="H52" s="2">
        <v>99.995599999999996</v>
      </c>
      <c r="I52" s="2">
        <v>49737.95</v>
      </c>
      <c r="J52" s="3">
        <v>50.63</v>
      </c>
      <c r="K52" s="3">
        <v>0</v>
      </c>
      <c r="L52" s="2">
        <v>4.7402730000000002</v>
      </c>
      <c r="M52" s="2">
        <v>4.7402730000000002</v>
      </c>
      <c r="N52" s="2">
        <v>4.9377839999999997</v>
      </c>
      <c r="O52" s="2">
        <v>5.3328069999999999</v>
      </c>
      <c r="P52" s="2">
        <v>6.3765749999999999</v>
      </c>
      <c r="Q52" s="2">
        <v>7.2338909999999998</v>
      </c>
      <c r="R52" s="2">
        <v>6.6706190000000003</v>
      </c>
      <c r="S52" s="2">
        <v>6.310295</v>
      </c>
      <c r="T52" s="2">
        <v>5.8672870000000001</v>
      </c>
      <c r="U52" s="2">
        <v>6.7525320000000004</v>
      </c>
      <c r="V52" s="2">
        <v>6.106077</v>
      </c>
      <c r="W52" s="2">
        <v>5.6397899999999996</v>
      </c>
      <c r="X52" s="2">
        <v>1.2827459999999999</v>
      </c>
      <c r="Y52" s="2">
        <v>1.2247220000000001</v>
      </c>
      <c r="Z52" s="2">
        <v>1.1559360000000001</v>
      </c>
      <c r="AA52" s="2">
        <v>1.0749</v>
      </c>
      <c r="AB52" s="2">
        <v>7.012537</v>
      </c>
      <c r="AC52" s="2">
        <v>6.9686199999999996</v>
      </c>
      <c r="AD52" s="2">
        <v>5.661276</v>
      </c>
      <c r="AE52" s="2">
        <v>5.2111510000000001</v>
      </c>
      <c r="AF52" s="2">
        <v>3.6679020000000002</v>
      </c>
      <c r="AG52" s="2">
        <v>7.4946390000000003</v>
      </c>
      <c r="AH52" s="2">
        <v>8.4219849999999994</v>
      </c>
      <c r="AI52" s="2">
        <v>6.0534629999999998</v>
      </c>
      <c r="AJ52" s="2">
        <v>12.02674</v>
      </c>
      <c r="AK52" s="2">
        <v>12.99051</v>
      </c>
      <c r="AL52" s="3">
        <v>5.3240109999999996</v>
      </c>
      <c r="AM52" s="3">
        <v>4.902342</v>
      </c>
      <c r="AN52" s="2">
        <v>26.632370000000002</v>
      </c>
      <c r="AO52" s="2">
        <v>24.484380000000002</v>
      </c>
      <c r="AP52" s="2">
        <v>25.579249999999998</v>
      </c>
      <c r="AQ52" s="2">
        <v>26.333559999999999</v>
      </c>
      <c r="AR52" s="2">
        <v>2.3539560000000002</v>
      </c>
      <c r="AS52" s="2">
        <v>2.6610520000000002</v>
      </c>
      <c r="AT52" s="2">
        <v>2.3009870000000001</v>
      </c>
      <c r="AU52" s="2">
        <v>1.9834099999999999</v>
      </c>
      <c r="AV52" s="1" t="s">
        <v>83</v>
      </c>
      <c r="AW52" s="3">
        <v>1.5238100000000001</v>
      </c>
      <c r="AX52" s="3">
        <v>68</v>
      </c>
      <c r="AY52" s="2">
        <v>34.307720000000003</v>
      </c>
      <c r="AZ52" s="2">
        <v>16.930330000000001</v>
      </c>
      <c r="BA52" s="2">
        <v>1.7</v>
      </c>
      <c r="BB52" s="2">
        <v>-9.8308090000000004</v>
      </c>
      <c r="BC52" s="2">
        <v>4.7697900000000004</v>
      </c>
      <c r="BD52" s="3">
        <v>46.7</v>
      </c>
      <c r="BE52" s="2">
        <v>8.4154129999999991</v>
      </c>
      <c r="BF52" s="3">
        <v>65.66</v>
      </c>
      <c r="BG52" s="2">
        <v>-22.890650000000001</v>
      </c>
      <c r="BH52" s="2">
        <v>30.046949999999999</v>
      </c>
      <c r="BI52" s="2">
        <v>33.721130000000002</v>
      </c>
      <c r="BJ52" s="2">
        <v>32.85857</v>
      </c>
      <c r="BK52" s="2">
        <v>32.444710000000001</v>
      </c>
      <c r="BL52" s="2">
        <v>19</v>
      </c>
      <c r="BM52" s="2">
        <v>15</v>
      </c>
      <c r="BN52" s="4">
        <v>21</v>
      </c>
      <c r="BO52" s="4">
        <v>0</v>
      </c>
      <c r="BP52" s="4">
        <v>0</v>
      </c>
      <c r="BQ52" s="4">
        <v>21</v>
      </c>
      <c r="BR52" s="2">
        <v>0</v>
      </c>
      <c r="BS52" s="4">
        <v>12</v>
      </c>
      <c r="BT52" s="4">
        <v>1</v>
      </c>
      <c r="BU52" s="4">
        <v>21</v>
      </c>
      <c r="BV52" s="2">
        <v>57.142859999999999</v>
      </c>
      <c r="BW52" s="2">
        <v>9.7892399999999995</v>
      </c>
      <c r="BX52" s="2">
        <v>982.42409999999995</v>
      </c>
      <c r="BY52" s="3">
        <v>2.405869</v>
      </c>
      <c r="BZ52" s="3">
        <v>0.2448911</v>
      </c>
      <c r="CA52" s="2">
        <v>1.2353099999999999</v>
      </c>
      <c r="CB52" s="3">
        <v>0.2448911</v>
      </c>
      <c r="CC52" s="3">
        <v>7.2205409999999999</v>
      </c>
      <c r="CD52" s="3">
        <v>6.9228430000000003</v>
      </c>
      <c r="CE52" s="2">
        <v>-4.1229189999999996</v>
      </c>
      <c r="CF52" s="3">
        <v>9338.1859999999997</v>
      </c>
      <c r="CG52" s="3">
        <v>9189.8610000000008</v>
      </c>
      <c r="CH52" s="2">
        <v>-1.5883620000000001</v>
      </c>
      <c r="CI52" s="3">
        <v>75</v>
      </c>
      <c r="CJ52" s="2">
        <v>-9.3333300000000001</v>
      </c>
      <c r="CK52" s="3">
        <v>50565.3</v>
      </c>
      <c r="CL52" s="3">
        <v>49820.27</v>
      </c>
      <c r="CM52" s="2">
        <v>-1.4733970000000001</v>
      </c>
      <c r="CN52" s="3">
        <v>54.43018</v>
      </c>
      <c r="CO52" s="3">
        <v>52.470790000000001</v>
      </c>
      <c r="CP52" s="3">
        <v>50.635010000000001</v>
      </c>
      <c r="CQ52" s="2">
        <v>-6.9817489999999998</v>
      </c>
      <c r="CR52" s="2">
        <v>-3.508216</v>
      </c>
      <c r="CS52" s="2">
        <v>-9.8824499999999992E-3</v>
      </c>
      <c r="CT52" s="2">
        <v>-3.5998230000000002</v>
      </c>
      <c r="CU52" s="2">
        <v>117.1164</v>
      </c>
      <c r="CV52" s="3">
        <v>0.23545650000000001</v>
      </c>
      <c r="CW52" s="2">
        <v>7.7530489999999999</v>
      </c>
      <c r="CX52" s="2">
        <v>-1.2459420000000001</v>
      </c>
      <c r="CY52" s="2">
        <v>-10.944660000000001</v>
      </c>
      <c r="CZ52" s="2">
        <v>32.212119999999999</v>
      </c>
    </row>
    <row r="53" spans="1:104" ht="15" customHeight="1" x14ac:dyDescent="0.2">
      <c r="A53" s="1">
        <f t="shared" si="0"/>
        <v>47</v>
      </c>
      <c r="B53" s="1" t="s">
        <v>152</v>
      </c>
      <c r="C53" s="1" t="s">
        <v>151</v>
      </c>
      <c r="D53" s="1" t="s">
        <v>9</v>
      </c>
      <c r="E53" s="1" t="s">
        <v>91</v>
      </c>
      <c r="F53" s="1" t="s">
        <v>153</v>
      </c>
      <c r="G53" s="2">
        <v>41501.68</v>
      </c>
      <c r="H53" s="2">
        <v>99.998099999999994</v>
      </c>
      <c r="I53" s="2">
        <v>41500.89</v>
      </c>
      <c r="J53" s="3">
        <v>46.43</v>
      </c>
      <c r="K53" s="3">
        <v>0</v>
      </c>
      <c r="L53" s="2">
        <v>7.3228520000000001</v>
      </c>
      <c r="M53" s="2">
        <v>7.3228520000000001</v>
      </c>
      <c r="N53" s="2">
        <v>7.3228520000000001</v>
      </c>
      <c r="O53" s="2">
        <v>7.3766959999999999</v>
      </c>
      <c r="P53" s="2">
        <v>6.6709769999999997</v>
      </c>
      <c r="Q53" s="2">
        <v>11.01281</v>
      </c>
      <c r="R53" s="2">
        <v>9.3608879999999992</v>
      </c>
      <c r="S53" s="2">
        <v>8.1130200000000006</v>
      </c>
      <c r="T53" s="2">
        <v>5.3793179999999996</v>
      </c>
      <c r="U53" s="2">
        <v>6.9661369999999998</v>
      </c>
      <c r="V53" s="2">
        <v>6.1725680000000001</v>
      </c>
      <c r="W53" s="2">
        <v>5.5897189999999997</v>
      </c>
      <c r="X53" s="2">
        <v>1.0580050000000001</v>
      </c>
      <c r="Y53" s="2">
        <v>1.053671</v>
      </c>
      <c r="Z53" s="2">
        <v>1.031892</v>
      </c>
      <c r="AA53" s="2">
        <v>0.99742220000000004</v>
      </c>
      <c r="AB53" s="2">
        <v>5.4320079999999997</v>
      </c>
      <c r="AC53" s="2">
        <v>5.4169859999999996</v>
      </c>
      <c r="AD53" s="2">
        <v>5.2744739999999997</v>
      </c>
      <c r="AE53" s="2">
        <v>4.9202310000000002</v>
      </c>
      <c r="AF53" s="2">
        <v>5.0092499999999998</v>
      </c>
      <c r="AG53" s="2">
        <v>2.8390029999999999</v>
      </c>
      <c r="AH53" s="2">
        <v>4.1148110000000004</v>
      </c>
      <c r="AI53" s="2">
        <v>7.1464829999999999</v>
      </c>
      <c r="AJ53" s="2">
        <v>4.1625069999999997</v>
      </c>
      <c r="AK53" s="2">
        <v>6.0655489999999999</v>
      </c>
      <c r="AL53" s="3" t="e">
        <v>#N/A</v>
      </c>
      <c r="AM53" s="3" t="e">
        <v>#N/A</v>
      </c>
      <c r="AN53" s="2">
        <v>12.324260000000001</v>
      </c>
      <c r="AO53" s="2">
        <v>10.881069999999999</v>
      </c>
      <c r="AP53" s="2">
        <v>12.09169</v>
      </c>
      <c r="AQ53" s="2">
        <v>13.15415</v>
      </c>
      <c r="AR53" s="2">
        <v>1.52647</v>
      </c>
      <c r="AS53" s="2">
        <v>2.0832989999999998</v>
      </c>
      <c r="AT53" s="2">
        <v>1.9626189999999999</v>
      </c>
      <c r="AU53" s="2">
        <v>1.7977069999999999</v>
      </c>
      <c r="AV53" s="1" t="s">
        <v>63</v>
      </c>
      <c r="AW53" s="3">
        <v>1.8333330000000001</v>
      </c>
      <c r="AX53" s="3">
        <v>51.5</v>
      </c>
      <c r="AY53" s="2">
        <v>10.91967</v>
      </c>
      <c r="AZ53" s="2">
        <v>9.5676850000000009</v>
      </c>
      <c r="BA53" s="2">
        <v>-3.3370700000000002</v>
      </c>
      <c r="BB53" s="2">
        <v>12.014469999999999</v>
      </c>
      <c r="BC53" s="2">
        <v>8.6224079999999995E-2</v>
      </c>
      <c r="BD53" s="3">
        <v>37.9</v>
      </c>
      <c r="BE53" s="2">
        <v>22.506599999999999</v>
      </c>
      <c r="BF53" s="3">
        <v>54.04</v>
      </c>
      <c r="BG53" s="2">
        <v>-14.08216</v>
      </c>
      <c r="BH53" s="2">
        <v>49.010219999999997</v>
      </c>
      <c r="BI53" s="2">
        <v>80.509910000000005</v>
      </c>
      <c r="BJ53" s="2">
        <v>68.130070000000003</v>
      </c>
      <c r="BK53" s="2">
        <v>60.715739999999997</v>
      </c>
      <c r="BL53" s="2">
        <v>23</v>
      </c>
      <c r="BM53" s="2">
        <v>22</v>
      </c>
      <c r="BN53" s="4">
        <v>24</v>
      </c>
      <c r="BO53" s="4">
        <v>0</v>
      </c>
      <c r="BP53" s="4">
        <v>0</v>
      </c>
      <c r="BQ53" s="4">
        <v>23</v>
      </c>
      <c r="BR53" s="2">
        <v>0</v>
      </c>
      <c r="BS53" s="4">
        <v>7</v>
      </c>
      <c r="BT53" s="4">
        <v>3</v>
      </c>
      <c r="BU53" s="4">
        <v>24</v>
      </c>
      <c r="BV53" s="2">
        <v>29.16667</v>
      </c>
      <c r="BW53" s="2">
        <v>8.8691200000000006</v>
      </c>
      <c r="BX53" s="2">
        <v>893.85490000000004</v>
      </c>
      <c r="BY53" s="3">
        <v>2.7305670000000002</v>
      </c>
      <c r="BZ53" s="3">
        <v>0.30548219999999998</v>
      </c>
      <c r="CA53" s="2">
        <v>1.3382400000000001</v>
      </c>
      <c r="CB53" s="3">
        <v>0.30548219999999998</v>
      </c>
      <c r="CC53" s="3">
        <v>4.5667439999999999</v>
      </c>
      <c r="CD53" s="3">
        <v>4.2049909999999997</v>
      </c>
      <c r="CE53" s="2">
        <v>-7.9214630000000001</v>
      </c>
      <c r="CF53" s="3">
        <v>5082.2960000000003</v>
      </c>
      <c r="CG53" s="3">
        <v>4701.8810000000003</v>
      </c>
      <c r="CH53" s="2">
        <v>-7.4850919999999999</v>
      </c>
      <c r="CI53" s="3">
        <v>53.904760000000003</v>
      </c>
      <c r="CJ53" s="2">
        <v>-4.4611330000000002</v>
      </c>
      <c r="CK53" s="3">
        <v>83304.73</v>
      </c>
      <c r="CL53" s="3">
        <v>78783.02</v>
      </c>
      <c r="CM53" s="2">
        <v>-5.4279089999999997</v>
      </c>
      <c r="CN53" s="3">
        <v>47.81908</v>
      </c>
      <c r="CO53" s="3">
        <v>45.699800000000003</v>
      </c>
      <c r="CP53" s="3">
        <v>44.723460000000003</v>
      </c>
      <c r="CQ53" s="2">
        <v>-2.9048560000000001</v>
      </c>
      <c r="CR53" s="2">
        <v>1.59781</v>
      </c>
      <c r="CS53" s="2">
        <v>3.8157459999999999</v>
      </c>
      <c r="CT53" s="2">
        <v>-4.4318619999999997</v>
      </c>
      <c r="CU53" s="2">
        <v>121.1063</v>
      </c>
      <c r="CV53" s="3">
        <v>0.29181059999999998</v>
      </c>
      <c r="CW53" s="2">
        <v>31.22203</v>
      </c>
      <c r="CX53" s="2">
        <v>-16.105550000000001</v>
      </c>
      <c r="CY53" s="2">
        <v>10.639480000000001</v>
      </c>
      <c r="CZ53" s="2">
        <v>34.22222</v>
      </c>
    </row>
    <row r="54" spans="1:104" ht="15" customHeight="1" x14ac:dyDescent="0.2">
      <c r="A54" s="1">
        <f t="shared" si="0"/>
        <v>48</v>
      </c>
      <c r="B54" s="1" t="s">
        <v>155</v>
      </c>
      <c r="C54" s="1" t="s">
        <v>154</v>
      </c>
      <c r="D54" s="1" t="s">
        <v>156</v>
      </c>
      <c r="E54" s="1" t="s">
        <v>53</v>
      </c>
      <c r="F54" s="1" t="s">
        <v>127</v>
      </c>
      <c r="G54" s="2">
        <v>89969.43</v>
      </c>
      <c r="H54" s="2">
        <v>48.317300000000003</v>
      </c>
      <c r="I54" s="2">
        <v>43470.8</v>
      </c>
      <c r="J54" s="3">
        <v>51.79</v>
      </c>
      <c r="K54" s="3">
        <v>0</v>
      </c>
      <c r="L54" s="2">
        <v>1.437624</v>
      </c>
      <c r="M54" s="2">
        <v>1.8455809999999999</v>
      </c>
      <c r="N54" s="2">
        <v>2.3457849999999998</v>
      </c>
      <c r="O54" s="2">
        <v>2.8804859999999999</v>
      </c>
      <c r="P54" s="2">
        <v>17.118929999999999</v>
      </c>
      <c r="Q54" s="2">
        <v>19.121479999999998</v>
      </c>
      <c r="R54" s="2">
        <v>16.14939</v>
      </c>
      <c r="S54" s="2">
        <v>14.461650000000001</v>
      </c>
      <c r="T54" s="2">
        <v>9.594163</v>
      </c>
      <c r="U54" s="2">
        <v>8.8227010000000003</v>
      </c>
      <c r="V54" s="2">
        <v>7.830292</v>
      </c>
      <c r="W54" s="2">
        <v>7.1512370000000001</v>
      </c>
      <c r="X54" s="2">
        <v>1.50718</v>
      </c>
      <c r="Y54" s="2">
        <v>1.501744</v>
      </c>
      <c r="Z54" s="2">
        <v>1.4114370000000001</v>
      </c>
      <c r="AA54" s="2">
        <v>1.3206450000000001</v>
      </c>
      <c r="AB54" s="2">
        <v>8.4712840000000007</v>
      </c>
      <c r="AC54" s="2">
        <v>9.5199200000000008</v>
      </c>
      <c r="AD54" s="2">
        <v>8.325666</v>
      </c>
      <c r="AE54" s="2">
        <v>7.7014709999999997</v>
      </c>
      <c r="AF54" s="2">
        <v>5.635084</v>
      </c>
      <c r="AG54" s="2">
        <v>6.218699</v>
      </c>
      <c r="AH54" s="2">
        <v>7.0653889999999997</v>
      </c>
      <c r="AI54" s="2">
        <v>9.2120280000000001</v>
      </c>
      <c r="AJ54" s="2">
        <v>9.7620299999999993</v>
      </c>
      <c r="AK54" s="2">
        <v>10.63209</v>
      </c>
      <c r="AL54" s="3">
        <v>1.555034</v>
      </c>
      <c r="AM54" s="3">
        <v>1.332365</v>
      </c>
      <c r="AN54" s="2">
        <v>34.338769999999997</v>
      </c>
      <c r="AO54" s="2">
        <v>33.21331</v>
      </c>
      <c r="AP54" s="2">
        <v>34.363709999999998</v>
      </c>
      <c r="AQ54" s="2">
        <v>34.704619999999998</v>
      </c>
      <c r="AR54" s="2">
        <v>3.5185</v>
      </c>
      <c r="AS54" s="2">
        <v>3.1162800000000002</v>
      </c>
      <c r="AT54" s="2">
        <v>2.5757659999999998</v>
      </c>
      <c r="AU54" s="2">
        <v>2.165368</v>
      </c>
      <c r="AV54" s="1" t="s">
        <v>24</v>
      </c>
      <c r="AW54" s="3">
        <v>1.55</v>
      </c>
      <c r="AX54" s="3">
        <v>62.130510000000001</v>
      </c>
      <c r="AY54" s="2">
        <v>19.966229999999999</v>
      </c>
      <c r="AZ54" s="2">
        <v>7.8537030000000003</v>
      </c>
      <c r="BA54" s="2">
        <v>11.00487</v>
      </c>
      <c r="BB54" s="2">
        <v>-5.1638900000000003</v>
      </c>
      <c r="BC54" s="2">
        <v>-7.9616129999999998</v>
      </c>
      <c r="BD54" s="3">
        <v>45.545000000000002</v>
      </c>
      <c r="BE54" s="2">
        <v>13.71171</v>
      </c>
      <c r="BF54" s="3">
        <v>62.01</v>
      </c>
      <c r="BG54" s="2">
        <v>-16.481210000000001</v>
      </c>
      <c r="BH54" s="2">
        <v>24.31513</v>
      </c>
      <c r="BI54" s="2">
        <v>34.010649999999998</v>
      </c>
      <c r="BJ54" s="2">
        <v>38.105870000000003</v>
      </c>
      <c r="BK54" s="2">
        <v>42.59064</v>
      </c>
      <c r="BL54" s="2">
        <v>28</v>
      </c>
      <c r="BM54" s="2">
        <v>23</v>
      </c>
      <c r="BN54" s="4">
        <v>30</v>
      </c>
      <c r="BO54" s="4">
        <v>0</v>
      </c>
      <c r="BP54" s="4">
        <v>1</v>
      </c>
      <c r="BQ54" s="4">
        <v>28</v>
      </c>
      <c r="BR54" s="2">
        <v>0</v>
      </c>
      <c r="BS54" s="4">
        <v>18</v>
      </c>
      <c r="BT54" s="4">
        <v>3</v>
      </c>
      <c r="BU54" s="4">
        <v>30</v>
      </c>
      <c r="BV54" s="2">
        <v>60</v>
      </c>
      <c r="BW54" s="2">
        <v>7.9281699999999997</v>
      </c>
      <c r="BX54" s="2">
        <v>1737.1969999999999</v>
      </c>
      <c r="BY54" s="3">
        <v>1.4819329999999999</v>
      </c>
      <c r="BZ54" s="3">
        <v>8.5306010000000002E-2</v>
      </c>
      <c r="CA54" s="2">
        <v>1.0407500000000001</v>
      </c>
      <c r="CB54" s="3">
        <v>8.5306010000000002E-2</v>
      </c>
      <c r="CC54" s="3">
        <v>2.9270800000000001</v>
      </c>
      <c r="CD54" s="3">
        <v>2.722934</v>
      </c>
      <c r="CE54" s="2">
        <v>-6.9743810000000002</v>
      </c>
      <c r="CF54" s="3">
        <v>14221.68</v>
      </c>
      <c r="CG54" s="3">
        <v>13658.91</v>
      </c>
      <c r="CH54" s="2">
        <v>-3.9571339999999999</v>
      </c>
      <c r="CI54" s="3">
        <v>65.325310000000002</v>
      </c>
      <c r="CJ54" s="2">
        <v>-4.8905969999999996</v>
      </c>
      <c r="CK54" s="3">
        <v>56302.48</v>
      </c>
      <c r="CL54" s="3">
        <v>55101.86</v>
      </c>
      <c r="CM54" s="2">
        <v>-2.1324399999999999</v>
      </c>
      <c r="CN54" s="3">
        <v>54.813330000000001</v>
      </c>
      <c r="CO54" s="3">
        <v>53.00667</v>
      </c>
      <c r="CP54" s="3">
        <v>51.74577</v>
      </c>
      <c r="CQ54" s="2">
        <v>-5.515676</v>
      </c>
      <c r="CR54" s="2">
        <v>-2.295309</v>
      </c>
      <c r="CS54" s="2">
        <v>8.5473060000000003E-2</v>
      </c>
      <c r="CT54" s="2">
        <v>-3.2960240000000001</v>
      </c>
      <c r="CU54" s="2">
        <v>80.125259999999997</v>
      </c>
      <c r="CV54" s="3">
        <v>8.9058319999999996E-2</v>
      </c>
      <c r="CW54" s="2">
        <v>11.16042</v>
      </c>
      <c r="CX54" s="2">
        <v>1.4772860000000001</v>
      </c>
      <c r="CY54" s="2">
        <v>5.2907120000000001</v>
      </c>
      <c r="CZ54" s="2">
        <v>35</v>
      </c>
    </row>
    <row r="55" spans="1:104" ht="15" customHeight="1" x14ac:dyDescent="0.2">
      <c r="A55" s="1">
        <f t="shared" si="0"/>
        <v>49</v>
      </c>
      <c r="B55" s="1" t="s">
        <v>158</v>
      </c>
      <c r="C55" s="1" t="s">
        <v>157</v>
      </c>
      <c r="D55" s="1" t="s">
        <v>52</v>
      </c>
      <c r="E55" s="1" t="s">
        <v>53</v>
      </c>
      <c r="F55" s="1" t="s">
        <v>159</v>
      </c>
      <c r="G55" s="2">
        <v>62233.9</v>
      </c>
      <c r="H55" s="2">
        <v>56.502099999999999</v>
      </c>
      <c r="I55" s="2">
        <v>35163.46</v>
      </c>
      <c r="J55" s="3">
        <v>501.6</v>
      </c>
      <c r="K55" s="3">
        <v>0</v>
      </c>
      <c r="L55" s="2">
        <v>2.7910689999999998</v>
      </c>
      <c r="M55" s="2">
        <v>2.9777710000000002</v>
      </c>
      <c r="N55" s="2">
        <v>3.3393139999999999</v>
      </c>
      <c r="O55" s="2">
        <v>3.5557110000000001</v>
      </c>
      <c r="P55" s="2">
        <v>16.489149999999999</v>
      </c>
      <c r="Q55" s="2">
        <v>16.17568</v>
      </c>
      <c r="R55" s="2">
        <v>14.608370000000001</v>
      </c>
      <c r="S55" s="2">
        <v>13.204330000000001</v>
      </c>
      <c r="T55" s="2">
        <v>8.4495740000000001</v>
      </c>
      <c r="U55" s="2">
        <v>8.4773639999999997</v>
      </c>
      <c r="V55" s="2">
        <v>7.5770330000000001</v>
      </c>
      <c r="W55" s="2">
        <v>6.695449</v>
      </c>
      <c r="X55" s="2">
        <v>4.4182160000000001</v>
      </c>
      <c r="Y55" s="2">
        <v>3.866743</v>
      </c>
      <c r="Z55" s="2">
        <v>3.3853930000000001</v>
      </c>
      <c r="AA55" s="2">
        <v>2.9988990000000002</v>
      </c>
      <c r="AB55" s="2">
        <v>14.44054</v>
      </c>
      <c r="AC55" s="2">
        <v>11.65239</v>
      </c>
      <c r="AD55" s="2">
        <v>10.919119999999999</v>
      </c>
      <c r="AE55" s="2">
        <v>9.8722849999999998</v>
      </c>
      <c r="AF55" s="2">
        <v>6.740183</v>
      </c>
      <c r="AG55" s="2">
        <v>7.5234690000000004</v>
      </c>
      <c r="AH55" s="2">
        <v>8.3627549999999999</v>
      </c>
      <c r="AI55" s="2">
        <v>6.8168559999999996</v>
      </c>
      <c r="AJ55" s="2">
        <v>7.3932700000000002</v>
      </c>
      <c r="AK55" s="2">
        <v>7.9312110000000002</v>
      </c>
      <c r="AL55" s="3">
        <v>2.1861549999999998</v>
      </c>
      <c r="AM55" s="3">
        <v>1.964491</v>
      </c>
      <c r="AN55" s="2">
        <v>35.649349999999998</v>
      </c>
      <c r="AO55" s="2">
        <v>35.405279999999998</v>
      </c>
      <c r="AP55" s="2">
        <v>35.456420000000001</v>
      </c>
      <c r="AQ55" s="2">
        <v>35.800939999999997</v>
      </c>
      <c r="AR55" s="2">
        <v>0.31784980000000002</v>
      </c>
      <c r="AS55" s="2">
        <v>9.534956E-2</v>
      </c>
      <c r="AT55" s="2">
        <v>-0.1334349</v>
      </c>
      <c r="AU55" s="2">
        <v>-0.36430390000000001</v>
      </c>
      <c r="AV55" s="1" t="s">
        <v>63</v>
      </c>
      <c r="AW55" s="3">
        <v>1.611111</v>
      </c>
      <c r="AX55" s="3">
        <v>600</v>
      </c>
      <c r="AY55" s="2">
        <v>19.61722</v>
      </c>
      <c r="AZ55" s="2">
        <v>23.904679999999999</v>
      </c>
      <c r="BA55" s="2">
        <v>7.3985300000000001</v>
      </c>
      <c r="BB55" s="2">
        <v>0.3200054</v>
      </c>
      <c r="BC55" s="2">
        <v>5.4889559999999999</v>
      </c>
      <c r="BD55" s="3">
        <v>427.55</v>
      </c>
      <c r="BE55" s="2">
        <v>17.31962</v>
      </c>
      <c r="BF55" s="3">
        <v>603.6</v>
      </c>
      <c r="BG55" s="2">
        <v>-16.898599999999998</v>
      </c>
      <c r="BH55" s="2">
        <v>45.610570000000003</v>
      </c>
      <c r="BI55" s="2">
        <v>47.855550000000001</v>
      </c>
      <c r="BJ55" s="2">
        <v>47.869239999999998</v>
      </c>
      <c r="BK55" s="2">
        <v>46.969720000000002</v>
      </c>
      <c r="BL55" s="2">
        <v>25</v>
      </c>
      <c r="BM55" s="2">
        <v>24</v>
      </c>
      <c r="BN55" s="4">
        <v>27</v>
      </c>
      <c r="BO55" s="4">
        <v>0</v>
      </c>
      <c r="BP55" s="4">
        <v>2</v>
      </c>
      <c r="BQ55" s="4">
        <v>26</v>
      </c>
      <c r="BR55" s="2">
        <v>0</v>
      </c>
      <c r="BS55" s="4">
        <v>12</v>
      </c>
      <c r="BT55" s="4">
        <v>1</v>
      </c>
      <c r="BU55" s="4">
        <v>27</v>
      </c>
      <c r="BV55" s="2">
        <v>44.444450000000003</v>
      </c>
      <c r="BW55" s="2">
        <v>9.8841300000000007</v>
      </c>
      <c r="BX55" s="2">
        <v>124.07080000000001</v>
      </c>
      <c r="BY55" s="3">
        <v>0.19370009999999999</v>
      </c>
      <c r="BZ55" s="3">
        <v>0.1561207</v>
      </c>
      <c r="CA55" s="2">
        <v>1.2325299999999999</v>
      </c>
      <c r="CB55" s="3">
        <v>0.1561207</v>
      </c>
      <c r="CC55" s="3">
        <v>32.189390000000003</v>
      </c>
      <c r="CD55" s="3">
        <v>31.01211</v>
      </c>
      <c r="CE55" s="2">
        <v>-3.6573709999999999</v>
      </c>
      <c r="CF55" s="3">
        <v>5900.7039999999997</v>
      </c>
      <c r="CG55" s="3">
        <v>5725.2849999999999</v>
      </c>
      <c r="CH55" s="2">
        <v>-2.9728469999999998</v>
      </c>
      <c r="CI55" s="3">
        <v>647.76919999999996</v>
      </c>
      <c r="CJ55" s="2">
        <v>-7.3744180000000004</v>
      </c>
      <c r="CK55" s="3">
        <v>21488.93</v>
      </c>
      <c r="CL55" s="3">
        <v>21065.16</v>
      </c>
      <c r="CM55" s="2">
        <v>-1.9720610000000001</v>
      </c>
      <c r="CN55" s="3">
        <v>531.97519999999997</v>
      </c>
      <c r="CO55" s="3">
        <v>516.29319999999996</v>
      </c>
      <c r="CP55" s="3">
        <v>503.78460000000001</v>
      </c>
      <c r="CQ55" s="2">
        <v>-5.7098810000000002</v>
      </c>
      <c r="CR55" s="2">
        <v>-2.8458890000000001</v>
      </c>
      <c r="CS55" s="2">
        <v>-0.43364170000000002</v>
      </c>
      <c r="CT55" s="2">
        <v>-2.9478849999999999</v>
      </c>
      <c r="CU55" s="2">
        <v>90.472589999999997</v>
      </c>
      <c r="CV55" s="3">
        <v>0.14537510000000001</v>
      </c>
      <c r="CW55" s="2" t="e">
        <v>#N/A</v>
      </c>
      <c r="CX55" s="2">
        <v>1.9191389999999999</v>
      </c>
      <c r="CY55" s="2" t="e">
        <v>#N/A</v>
      </c>
      <c r="CZ55" s="2">
        <v>35.717170000000003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2023-07-14T04:59:21Z</dcterms:created>
  <dcterms:modified xsi:type="dcterms:W3CDTF">2023-07-14T04:59:46Z</dcterms:modified>
  <cp:category/>
</cp:coreProperties>
</file>