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90629CC3-4E22-444D-9CF2-DE7A06FD7EE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</calcChain>
</file>

<file path=xl/sharedStrings.xml><?xml version="1.0" encoding="utf-8"?>
<sst xmlns="http://schemas.openxmlformats.org/spreadsheetml/2006/main" count="380" uniqueCount="312">
  <si>
    <t>FactSet Universal Screen</t>
  </si>
  <si>
    <t>SAN-ES</t>
  </si>
  <si>
    <t>Banco Santander, S.A.</t>
  </si>
  <si>
    <t>Finance</t>
  </si>
  <si>
    <t>Major Banks</t>
  </si>
  <si>
    <t>Buy (1.00)</t>
  </si>
  <si>
    <t>SAB-ES</t>
  </si>
  <si>
    <t>Banco de Sabadell SA</t>
  </si>
  <si>
    <t>IDR-ES</t>
  </si>
  <si>
    <t>Indra Sistemas, S.A. Class A</t>
  </si>
  <si>
    <t>Technology Services</t>
  </si>
  <si>
    <t>Information Technology Services</t>
  </si>
  <si>
    <t>AENA-ES</t>
  </si>
  <si>
    <t>Aena SME SA</t>
  </si>
  <si>
    <t>Transportation</t>
  </si>
  <si>
    <t>Other Transportation</t>
  </si>
  <si>
    <t>Overweight (1.25)</t>
  </si>
  <si>
    <t>BBVA-ES</t>
  </si>
  <si>
    <t>Banco Bilbao Vizcaya Argentaria, S.A.</t>
  </si>
  <si>
    <t>Overweight (1.50)</t>
  </si>
  <si>
    <t>CLNX-ES</t>
  </si>
  <si>
    <t>Cellnex Telecom S.A.</t>
  </si>
  <si>
    <t>Communications</t>
  </si>
  <si>
    <t>Specialty Telecommunications</t>
  </si>
  <si>
    <t>CABK-ES</t>
  </si>
  <si>
    <t>CaixaBank SA</t>
  </si>
  <si>
    <t>Regional Banks</t>
  </si>
  <si>
    <t>ITX-ES</t>
  </si>
  <si>
    <t>Industria de Diseno Textil, S.A.</t>
  </si>
  <si>
    <t>Consumer Non-Durables</t>
  </si>
  <si>
    <t>Apparel/Footwear</t>
  </si>
  <si>
    <t>IAG-ES</t>
  </si>
  <si>
    <t>International Consolidated Airlines Group SA</t>
  </si>
  <si>
    <t>Airlines</t>
  </si>
  <si>
    <t>MTS-ES</t>
  </si>
  <si>
    <t>ArcelorMittal SA</t>
  </si>
  <si>
    <t>Non-Energy Minerals</t>
  </si>
  <si>
    <t>Steel</t>
  </si>
  <si>
    <t>SCYR-ES</t>
  </si>
  <si>
    <t>Sacyr SA</t>
  </si>
  <si>
    <t>Industrial Services</t>
  </si>
  <si>
    <t>Engineering &amp; Construction</t>
  </si>
  <si>
    <t>LOG-ES</t>
  </si>
  <si>
    <t>Compania de Distribucion Integral Logista Holdings S.A.</t>
  </si>
  <si>
    <t>Air Freight/Couriers</t>
  </si>
  <si>
    <t>IBE-ES</t>
  </si>
  <si>
    <t>Iberdrola SA</t>
  </si>
  <si>
    <t>Utilities</t>
  </si>
  <si>
    <t>Electric Utilities</t>
  </si>
  <si>
    <t>Hold (1.75)</t>
  </si>
  <si>
    <t>ACS-ES</t>
  </si>
  <si>
    <t>ACS Actividades de Construccion y Servicios SA</t>
  </si>
  <si>
    <t>Hold (2.00)</t>
  </si>
  <si>
    <t>MEL-ES</t>
  </si>
  <si>
    <t>Melia Hotels International, S.A.</t>
  </si>
  <si>
    <t>Consumer Services</t>
  </si>
  <si>
    <t>Hotels/Resorts/Cruiselines</t>
  </si>
  <si>
    <t>BKT-ES</t>
  </si>
  <si>
    <t>Bankinter SA</t>
  </si>
  <si>
    <t>AMS-ES</t>
  </si>
  <si>
    <t>Amadeus IT Group SA Class A</t>
  </si>
  <si>
    <t>ENG-ES</t>
  </si>
  <si>
    <t>Enagas SA</t>
  </si>
  <si>
    <t>Gas Distributors</t>
  </si>
  <si>
    <t>Underweight (2.50)</t>
  </si>
  <si>
    <t>ACX-ES</t>
  </si>
  <si>
    <t>Acerinox SA</t>
  </si>
  <si>
    <t>ELE-ES</t>
  </si>
  <si>
    <t>Endesa S.A.</t>
  </si>
  <si>
    <t>TEF-ES</t>
  </si>
  <si>
    <t>Telefonica SA</t>
  </si>
  <si>
    <t>NTGY-ES</t>
  </si>
  <si>
    <t>Naturgy Energy Group, S.A.</t>
  </si>
  <si>
    <t>Sell (3.00)</t>
  </si>
  <si>
    <t>REP-ES</t>
  </si>
  <si>
    <t>Repsol SA</t>
  </si>
  <si>
    <t>Energy Minerals</t>
  </si>
  <si>
    <t>Integrated Oil</t>
  </si>
  <si>
    <t>GRF-ES</t>
  </si>
  <si>
    <t>Grifols, S.A. Class A</t>
  </si>
  <si>
    <t>Health Technology</t>
  </si>
  <si>
    <t>Pharmaceuticals: Major</t>
  </si>
  <si>
    <t>FER-ES</t>
  </si>
  <si>
    <t>Ferrovial, S.A.</t>
  </si>
  <si>
    <t>ANA-ES</t>
  </si>
  <si>
    <t>Acciona SA</t>
  </si>
  <si>
    <t>ROVI-ES</t>
  </si>
  <si>
    <t>Laboratorios Farmaceuticos Rovi, S.A.</t>
  </si>
  <si>
    <t>MAP-ES</t>
  </si>
  <si>
    <t>Mapfre SA</t>
  </si>
  <si>
    <t>Multi-Line Insurance</t>
  </si>
  <si>
    <t>SLR-ES</t>
  </si>
  <si>
    <t>Solaria Energia y Medio Ambiente, S.A.</t>
  </si>
  <si>
    <t>Alternative Power Generation</t>
  </si>
  <si>
    <t>RED-ES</t>
  </si>
  <si>
    <t>Red Electrica Corp. SA</t>
  </si>
  <si>
    <t>UNI-ES</t>
  </si>
  <si>
    <t>Unicaja Banco S.A.</t>
  </si>
  <si>
    <t>ANE-ES</t>
  </si>
  <si>
    <t>Corporacion Acciona Energias Renovables SA</t>
  </si>
  <si>
    <t>COL-ES</t>
  </si>
  <si>
    <t>Inmobiliaria Colonial SOCIMI SA</t>
  </si>
  <si>
    <t>Real Estate Investment Trusts</t>
  </si>
  <si>
    <t>FDR-ES</t>
  </si>
  <si>
    <t>Fluidra, S.A.</t>
  </si>
  <si>
    <t>Consumer Durables</t>
  </si>
  <si>
    <t>Recreational Products</t>
  </si>
  <si>
    <t>MRL-ES</t>
  </si>
  <si>
    <t>MERLIN Properties SOCIMI, S.A.</t>
  </si>
  <si>
    <t>Company Symbol</t>
  </si>
  <si>
    <t>Company Name</t>
  </si>
  <si>
    <t>FE Ticker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</si>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</sst>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68E38-6A62-41C9-91DB-D96D2C20B071}">
  <sheetPr>
    <outlinePr summaryBelow="0" summaryRight="0"/>
    <pageSetUpPr fitToPage="1"/>
  </sheetPr>
  <dimension ref="A1:CY41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2.140625" customWidth="1"/>
    <col min="2" max="2" width="36" customWidth="1"/>
    <col min="3" max="3" width="14.28515625" customWidth="1"/>
    <col min="4" max="4" width="28" customWidth="1"/>
    <col min="5" max="5" width="23" customWidth="1"/>
    <col min="6" max="7" width="10" customWidth="1"/>
    <col min="8" max="8" width="12" customWidth="1"/>
    <col min="9" max="42" width="10" customWidth="1"/>
    <col min="43" max="44" width="6" customWidth="1"/>
    <col min="45" max="51" width="10" customWidth="1"/>
    <col min="52" max="52" width="12" customWidth="1"/>
    <col min="53" max="53" width="11" customWidth="1"/>
    <col min="54" max="54" width="8" customWidth="1"/>
    <col min="55" max="68" width="10" customWidth="1"/>
    <col min="69" max="69" width="14" customWidth="1"/>
    <col min="70" max="78" width="10" customWidth="1"/>
    <col min="79" max="79" width="12" customWidth="1"/>
    <col min="80" max="98" width="10" customWidth="1"/>
    <col min="99" max="99" width="12" customWidth="1"/>
    <col min="100" max="102" width="10" customWidth="1"/>
    <col min="103" max="103" width="14.28515625" customWidth="1"/>
  </cols>
  <sheetData>
    <row r="1" spans="1:103" ht="15" customHeight="1" x14ac:dyDescent="0.2">
      <c r="A1" t="s">
        <v>0</v>
      </c>
    </row>
    <row r="4" spans="1:103" ht="43.5" customHeight="1" x14ac:dyDescent="0.2">
      <c r="A4" s="5" t="s">
        <v>109</v>
      </c>
      <c r="B4" s="5" t="s">
        <v>110</v>
      </c>
      <c r="C4" s="5" t="s">
        <v>111</v>
      </c>
      <c r="D4" s="5" t="s">
        <v>112</v>
      </c>
      <c r="E4" s="5" t="s">
        <v>113</v>
      </c>
      <c r="F4" s="6" t="s">
        <v>114</v>
      </c>
      <c r="G4" s="6" t="s">
        <v>115</v>
      </c>
      <c r="H4" s="6" t="s">
        <v>116</v>
      </c>
      <c r="I4" s="6" t="s">
        <v>117</v>
      </c>
      <c r="J4" s="6" t="s">
        <v>118</v>
      </c>
      <c r="K4" s="6" t="s">
        <v>119</v>
      </c>
      <c r="L4" s="6" t="s">
        <v>120</v>
      </c>
      <c r="M4" s="6" t="s">
        <v>121</v>
      </c>
      <c r="N4" s="6" t="s">
        <v>122</v>
      </c>
      <c r="O4" s="6" t="s">
        <v>123</v>
      </c>
      <c r="P4" s="6" t="s">
        <v>124</v>
      </c>
      <c r="Q4" s="6" t="s">
        <v>125</v>
      </c>
      <c r="R4" s="6" t="s">
        <v>126</v>
      </c>
      <c r="S4" s="6" t="s">
        <v>127</v>
      </c>
      <c r="T4" s="6" t="s">
        <v>128</v>
      </c>
      <c r="U4" s="6" t="s">
        <v>129</v>
      </c>
      <c r="V4" s="6" t="s">
        <v>130</v>
      </c>
      <c r="W4" s="6" t="s">
        <v>131</v>
      </c>
      <c r="X4" s="6" t="s">
        <v>132</v>
      </c>
      <c r="Y4" s="6" t="s">
        <v>133</v>
      </c>
      <c r="Z4" s="6" t="s">
        <v>134</v>
      </c>
      <c r="AA4" s="6" t="s">
        <v>135</v>
      </c>
      <c r="AB4" s="6" t="s">
        <v>136</v>
      </c>
      <c r="AC4" s="6" t="s">
        <v>137</v>
      </c>
      <c r="AD4" s="6" t="s">
        <v>138</v>
      </c>
      <c r="AE4" s="6" t="s">
        <v>139</v>
      </c>
      <c r="AF4" s="6" t="s">
        <v>140</v>
      </c>
      <c r="AG4" s="6" t="s">
        <v>141</v>
      </c>
      <c r="AH4" s="6" t="s">
        <v>142</v>
      </c>
      <c r="AI4" s="6" t="s">
        <v>143</v>
      </c>
      <c r="AJ4" s="6" t="s">
        <v>144</v>
      </c>
      <c r="AK4" s="6" t="s">
        <v>145</v>
      </c>
      <c r="AL4" s="6" t="s">
        <v>146</v>
      </c>
      <c r="AM4" s="6" t="s">
        <v>147</v>
      </c>
      <c r="AN4" s="6" t="s">
        <v>148</v>
      </c>
      <c r="AO4" s="6" t="s">
        <v>149</v>
      </c>
      <c r="AP4" s="6" t="s">
        <v>150</v>
      </c>
      <c r="AQ4" s="6" t="s">
        <v>151</v>
      </c>
      <c r="AR4" s="6" t="s">
        <v>152</v>
      </c>
      <c r="AS4" s="6" t="s">
        <v>153</v>
      </c>
      <c r="AT4" s="6" t="s">
        <v>154</v>
      </c>
      <c r="AU4" s="5" t="s">
        <v>155</v>
      </c>
      <c r="AV4" s="6" t="s">
        <v>156</v>
      </c>
      <c r="AW4" s="6" t="s">
        <v>157</v>
      </c>
      <c r="AX4" s="6" t="s">
        <v>158</v>
      </c>
      <c r="AY4" s="6" t="s">
        <v>159</v>
      </c>
      <c r="AZ4" s="6" t="s">
        <v>160</v>
      </c>
      <c r="BA4" s="6" t="s">
        <v>161</v>
      </c>
      <c r="BB4" s="6" t="s">
        <v>162</v>
      </c>
      <c r="BC4" s="6" t="s">
        <v>163</v>
      </c>
      <c r="BD4" s="6" t="s">
        <v>164</v>
      </c>
      <c r="BE4" s="6" t="s">
        <v>165</v>
      </c>
      <c r="BF4" s="6" t="s">
        <v>166</v>
      </c>
      <c r="BG4" s="6" t="s">
        <v>167</v>
      </c>
      <c r="BH4" s="6" t="s">
        <v>168</v>
      </c>
      <c r="BI4" s="6" t="s">
        <v>169</v>
      </c>
      <c r="BJ4" s="6" t="s">
        <v>170</v>
      </c>
      <c r="BK4" s="6" t="s">
        <v>171</v>
      </c>
      <c r="BL4" s="6" t="s">
        <v>172</v>
      </c>
      <c r="BM4" s="6" t="s">
        <v>173</v>
      </c>
      <c r="BN4" s="6" t="s">
        <v>174</v>
      </c>
      <c r="BO4" s="6" t="s">
        <v>175</v>
      </c>
      <c r="BP4" s="6" t="s">
        <v>176</v>
      </c>
      <c r="BQ4" s="6" t="s">
        <v>177</v>
      </c>
      <c r="BR4" s="6" t="s">
        <v>178</v>
      </c>
      <c r="BS4" s="6" t="s">
        <v>179</v>
      </c>
      <c r="BT4" s="6" t="s">
        <v>173</v>
      </c>
      <c r="BU4" s="6" t="s">
        <v>180</v>
      </c>
      <c r="BV4" s="6" t="s">
        <v>181</v>
      </c>
      <c r="BW4" s="6" t="s">
        <v>182</v>
      </c>
      <c r="BX4" s="6" t="s">
        <v>183</v>
      </c>
      <c r="BY4" s="6" t="s">
        <v>184</v>
      </c>
      <c r="BZ4" s="6" t="s">
        <v>185</v>
      </c>
      <c r="CA4" s="6" t="s">
        <v>186</v>
      </c>
      <c r="CB4" s="6" t="s">
        <v>187</v>
      </c>
      <c r="CC4" s="6" t="s">
        <v>188</v>
      </c>
      <c r="CD4" s="6" t="s">
        <v>189</v>
      </c>
      <c r="CE4" s="6" t="s">
        <v>190</v>
      </c>
      <c r="CF4" s="6" t="s">
        <v>191</v>
      </c>
      <c r="CG4" s="6" t="s">
        <v>192</v>
      </c>
      <c r="CH4" s="6" t="s">
        <v>193</v>
      </c>
      <c r="CI4" s="6" t="s">
        <v>194</v>
      </c>
      <c r="CJ4" s="6" t="s">
        <v>195</v>
      </c>
      <c r="CK4" s="6" t="s">
        <v>196</v>
      </c>
      <c r="CL4" s="6" t="s">
        <v>197</v>
      </c>
      <c r="CM4" s="6" t="s">
        <v>198</v>
      </c>
      <c r="CN4" s="6" t="s">
        <v>199</v>
      </c>
      <c r="CO4" s="6" t="s">
        <v>200</v>
      </c>
      <c r="CP4" s="6" t="s">
        <v>201</v>
      </c>
      <c r="CQ4" s="6" t="s">
        <v>202</v>
      </c>
      <c r="CR4" s="6" t="s">
        <v>203</v>
      </c>
      <c r="CS4" s="6" t="s">
        <v>204</v>
      </c>
      <c r="CT4" s="6" t="s">
        <v>205</v>
      </c>
      <c r="CU4" s="6" t="s">
        <v>206</v>
      </c>
      <c r="CV4" s="6" t="s">
        <v>207</v>
      </c>
      <c r="CW4" s="6" t="s">
        <v>208</v>
      </c>
      <c r="CX4" s="6" t="s">
        <v>209</v>
      </c>
      <c r="CY4" s="6" t="s">
        <v>210</v>
      </c>
    </row>
    <row r="5" spans="1:103" ht="12.75" x14ac:dyDescent="0.2">
      <c r="A5" s="5"/>
      <c r="B5" s="5"/>
      <c r="C5" s="5" t="s">
        <v>211</v>
      </c>
      <c r="D5" s="5" t="s">
        <v>212</v>
      </c>
      <c r="E5" s="5" t="s">
        <v>213</v>
      </c>
      <c r="F5" s="6" t="s">
        <v>214</v>
      </c>
      <c r="G5" s="6" t="s">
        <v>215</v>
      </c>
      <c r="H5" s="6" t="s">
        <v>216</v>
      </c>
      <c r="I5" s="6" t="s">
        <v>217</v>
      </c>
      <c r="J5" s="6" t="s">
        <v>218</v>
      </c>
      <c r="K5" s="6" t="s">
        <v>219</v>
      </c>
      <c r="L5" s="6" t="s">
        <v>220</v>
      </c>
      <c r="M5" s="6" t="s">
        <v>221</v>
      </c>
      <c r="N5" s="6" t="s">
        <v>222</v>
      </c>
      <c r="O5" s="6" t="s">
        <v>223</v>
      </c>
      <c r="P5" s="6" t="s">
        <v>224</v>
      </c>
      <c r="Q5" s="6" t="s">
        <v>225</v>
      </c>
      <c r="R5" s="6" t="s">
        <v>226</v>
      </c>
      <c r="S5" s="6" t="s">
        <v>227</v>
      </c>
      <c r="T5" s="6" t="s">
        <v>228</v>
      </c>
      <c r="U5" s="6" t="s">
        <v>229</v>
      </c>
      <c r="V5" s="6" t="s">
        <v>230</v>
      </c>
      <c r="W5" s="6" t="s">
        <v>231</v>
      </c>
      <c r="X5" s="6" t="s">
        <v>232</v>
      </c>
      <c r="Y5" s="6" t="s">
        <v>233</v>
      </c>
      <c r="Z5" s="6" t="s">
        <v>234</v>
      </c>
      <c r="AA5" s="6" t="s">
        <v>235</v>
      </c>
      <c r="AB5" s="6" t="s">
        <v>236</v>
      </c>
      <c r="AC5" s="6" t="s">
        <v>237</v>
      </c>
      <c r="AD5" s="6" t="s">
        <v>238</v>
      </c>
      <c r="AE5" s="6" t="s">
        <v>239</v>
      </c>
      <c r="AF5" s="6" t="s">
        <v>240</v>
      </c>
      <c r="AG5" s="6" t="s">
        <v>241</v>
      </c>
      <c r="AH5" s="6" t="s">
        <v>242</v>
      </c>
      <c r="AI5" s="6" t="s">
        <v>243</v>
      </c>
      <c r="AJ5" s="6" t="s">
        <v>244</v>
      </c>
      <c r="AK5" s="6" t="s">
        <v>245</v>
      </c>
      <c r="AL5" s="6" t="s">
        <v>246</v>
      </c>
      <c r="AM5" s="6" t="s">
        <v>247</v>
      </c>
      <c r="AN5" s="6" t="s">
        <v>248</v>
      </c>
      <c r="AO5" s="6" t="s">
        <v>249</v>
      </c>
      <c r="AP5" s="6" t="s">
        <v>250</v>
      </c>
      <c r="AQ5" s="6" t="s">
        <v>251</v>
      </c>
      <c r="AR5" s="6" t="s">
        <v>252</v>
      </c>
      <c r="AS5" s="6" t="s">
        <v>253</v>
      </c>
      <c r="AT5" s="6" t="s">
        <v>254</v>
      </c>
      <c r="AU5" s="5" t="s">
        <v>255</v>
      </c>
      <c r="AV5" s="6" t="s">
        <v>256</v>
      </c>
      <c r="AW5" s="6" t="s">
        <v>257</v>
      </c>
      <c r="AX5" s="6" t="s">
        <v>258</v>
      </c>
      <c r="AY5" s="6" t="s">
        <v>259</v>
      </c>
      <c r="AZ5" s="6" t="s">
        <v>260</v>
      </c>
      <c r="BA5" s="6" t="s">
        <v>261</v>
      </c>
      <c r="BB5" s="6" t="s">
        <v>262</v>
      </c>
      <c r="BC5" s="6" t="s">
        <v>263</v>
      </c>
      <c r="BD5" s="6" t="s">
        <v>264</v>
      </c>
      <c r="BE5" s="6" t="s">
        <v>265</v>
      </c>
      <c r="BF5" s="6" t="s">
        <v>266</v>
      </c>
      <c r="BG5" s="6" t="s">
        <v>267</v>
      </c>
      <c r="BH5" s="6" t="s">
        <v>268</v>
      </c>
      <c r="BI5" s="6" t="s">
        <v>269</v>
      </c>
      <c r="BJ5" s="6" t="s">
        <v>270</v>
      </c>
      <c r="BK5" s="6" t="s">
        <v>271</v>
      </c>
      <c r="BL5" s="6" t="s">
        <v>272</v>
      </c>
      <c r="BM5" s="6" t="s">
        <v>273</v>
      </c>
      <c r="BN5" s="6" t="s">
        <v>274</v>
      </c>
      <c r="BO5" s="6" t="s">
        <v>275</v>
      </c>
      <c r="BP5" s="6" t="s">
        <v>276</v>
      </c>
      <c r="BQ5" s="6" t="s">
        <v>277</v>
      </c>
      <c r="BR5" s="6" t="s">
        <v>278</v>
      </c>
      <c r="BS5" s="6" t="s">
        <v>279</v>
      </c>
      <c r="BT5" s="6" t="s">
        <v>280</v>
      </c>
      <c r="BU5" s="6" t="s">
        <v>281</v>
      </c>
      <c r="BV5" s="6" t="s">
        <v>282</v>
      </c>
      <c r="BW5" s="6" t="s">
        <v>283</v>
      </c>
      <c r="BX5" s="6" t="s">
        <v>284</v>
      </c>
      <c r="BY5" s="6" t="s">
        <v>285</v>
      </c>
      <c r="BZ5" s="6" t="s">
        <v>286</v>
      </c>
      <c r="CA5" s="6" t="s">
        <v>287</v>
      </c>
      <c r="CB5" s="6" t="s">
        <v>288</v>
      </c>
      <c r="CC5" s="6" t="s">
        <v>289</v>
      </c>
      <c r="CD5" s="6" t="s">
        <v>290</v>
      </c>
      <c r="CE5" s="6" t="s">
        <v>291</v>
      </c>
      <c r="CF5" s="6" t="s">
        <v>292</v>
      </c>
      <c r="CG5" s="6" t="s">
        <v>293</v>
      </c>
      <c r="CH5" s="6" t="s">
        <v>294</v>
      </c>
      <c r="CI5" s="6" t="s">
        <v>295</v>
      </c>
      <c r="CJ5" s="6" t="s">
        <v>296</v>
      </c>
      <c r="CK5" s="6" t="s">
        <v>297</v>
      </c>
      <c r="CL5" s="6" t="s">
        <v>298</v>
      </c>
      <c r="CM5" s="6" t="s">
        <v>299</v>
      </c>
      <c r="CN5" s="6" t="s">
        <v>300</v>
      </c>
      <c r="CO5" s="6" t="s">
        <v>301</v>
      </c>
      <c r="CP5" s="6" t="s">
        <v>302</v>
      </c>
      <c r="CQ5" s="6" t="s">
        <v>303</v>
      </c>
      <c r="CR5" s="6" t="s">
        <v>304</v>
      </c>
      <c r="CS5" s="6" t="s">
        <v>305</v>
      </c>
      <c r="CT5" s="6" t="s">
        <v>306</v>
      </c>
      <c r="CU5" s="6" t="s">
        <v>307</v>
      </c>
      <c r="CV5" s="6" t="s">
        <v>308</v>
      </c>
      <c r="CW5" s="6" t="s">
        <v>309</v>
      </c>
      <c r="CX5" s="6" t="s">
        <v>310</v>
      </c>
      <c r="CY5" s="6" t="s">
        <v>311</v>
      </c>
    </row>
    <row r="6" spans="1:103" ht="12.75" hidden="1" x14ac:dyDescent="0.2">
      <c r="A6" s="1"/>
      <c r="B6" s="1"/>
      <c r="C6" s="1"/>
      <c r="D6" s="1"/>
      <c r="E6" s="1"/>
      <c r="F6" s="2"/>
      <c r="G6" s="2"/>
      <c r="H6" s="2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  <c r="AL6" s="3"/>
      <c r="AM6" s="2"/>
      <c r="AN6" s="2"/>
      <c r="AO6" s="2"/>
      <c r="AP6" s="2"/>
      <c r="AQ6" s="2"/>
      <c r="AR6" s="2"/>
      <c r="AS6" s="2"/>
      <c r="AT6" s="2"/>
      <c r="AU6" s="1"/>
      <c r="AV6" s="3"/>
      <c r="AW6" s="3"/>
      <c r="AX6" s="2"/>
      <c r="AY6" s="2"/>
      <c r="AZ6" s="2"/>
      <c r="BA6" s="2"/>
      <c r="BB6" s="2"/>
      <c r="BC6" s="3"/>
      <c r="BD6" s="2"/>
      <c r="BE6" s="3"/>
      <c r="BF6" s="2"/>
      <c r="BG6" s="2"/>
      <c r="BH6" s="2"/>
      <c r="BI6" s="2"/>
      <c r="BJ6" s="2"/>
      <c r="BK6" s="2"/>
      <c r="BL6" s="2"/>
      <c r="BM6" s="4"/>
      <c r="BN6" s="4"/>
      <c r="BO6" s="4"/>
      <c r="BP6" s="4"/>
      <c r="BQ6" s="2"/>
      <c r="BR6" s="4"/>
      <c r="BS6" s="4"/>
      <c r="BT6" s="4"/>
      <c r="BU6" s="2"/>
      <c r="BV6" s="2"/>
      <c r="BW6" s="2"/>
      <c r="BX6" s="3"/>
      <c r="BY6" s="3"/>
      <c r="BZ6" s="2"/>
      <c r="CA6" s="3"/>
      <c r="CB6" s="3"/>
      <c r="CC6" s="3"/>
      <c r="CD6" s="2"/>
      <c r="CE6" s="3"/>
      <c r="CF6" s="3"/>
      <c r="CG6" s="2"/>
      <c r="CH6" s="3"/>
      <c r="CI6" s="2"/>
      <c r="CJ6" s="3"/>
      <c r="CK6" s="3"/>
      <c r="CL6" s="2"/>
      <c r="CM6" s="3"/>
      <c r="CN6" s="3"/>
      <c r="CO6" s="3"/>
      <c r="CP6" s="2"/>
      <c r="CQ6" s="2"/>
      <c r="CR6" s="2"/>
      <c r="CS6" s="2"/>
      <c r="CT6" s="2"/>
      <c r="CU6" s="3"/>
      <c r="CV6" s="2"/>
      <c r="CW6" s="2"/>
      <c r="CX6" s="2"/>
      <c r="CY6" s="2"/>
    </row>
    <row r="7" spans="1:103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59407.16</v>
      </c>
      <c r="G7" s="2">
        <v>98.9071</v>
      </c>
      <c r="H7" s="2">
        <v>58757.89</v>
      </c>
      <c r="I7" s="3">
        <v>3.6105</v>
      </c>
      <c r="J7" s="3">
        <v>1.192093E-5</v>
      </c>
      <c r="K7" s="2">
        <v>3.0466690000000001</v>
      </c>
      <c r="L7" s="2">
        <v>4.2930339999999996</v>
      </c>
      <c r="M7" s="2">
        <v>4.8949730000000002</v>
      </c>
      <c r="N7" s="2">
        <v>6.06149</v>
      </c>
      <c r="O7" s="2">
        <v>6.6985159999999997</v>
      </c>
      <c r="P7" s="2">
        <v>6.3342109999999998</v>
      </c>
      <c r="Q7" s="2">
        <v>5.8233870000000003</v>
      </c>
      <c r="R7" s="2">
        <v>5.3095590000000001</v>
      </c>
      <c r="S7" s="2" t="e">
        <v>#N/A</v>
      </c>
      <c r="T7" s="2" t="e">
        <v>#N/A</v>
      </c>
      <c r="U7" s="2" t="e">
        <v>#N/A</v>
      </c>
      <c r="V7" s="2" t="e">
        <v>#N/A</v>
      </c>
      <c r="W7" s="2">
        <v>0.67109669999999999</v>
      </c>
      <c r="X7" s="2">
        <v>0.62250000000000005</v>
      </c>
      <c r="Y7" s="2">
        <v>0.57680359999999997</v>
      </c>
      <c r="Z7" s="2">
        <v>0.52929470000000001</v>
      </c>
      <c r="AA7" s="2" t="e">
        <v>#N/A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3">
        <v>0.93681409999999998</v>
      </c>
      <c r="AL7" s="3">
        <v>0.84216990000000003</v>
      </c>
      <c r="AM7" s="2" t="e">
        <v>#N/A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1" t="s">
        <v>5</v>
      </c>
      <c r="AV7" s="3">
        <v>1.32</v>
      </c>
      <c r="AW7" s="3">
        <v>4.7</v>
      </c>
      <c r="AX7" s="2">
        <v>30.17587</v>
      </c>
      <c r="AY7" s="2">
        <v>9.8275849999999991</v>
      </c>
      <c r="AZ7" s="2">
        <v>6.796443</v>
      </c>
      <c r="BA7" s="2">
        <v>14.52816</v>
      </c>
      <c r="BB7" s="2">
        <v>28.831399999999999</v>
      </c>
      <c r="BC7" s="3">
        <v>2.3239999999999998</v>
      </c>
      <c r="BD7" s="2">
        <v>55.35716</v>
      </c>
      <c r="BE7" s="3">
        <v>3.8725000000000001</v>
      </c>
      <c r="BF7" s="2">
        <v>-6.7656520000000002</v>
      </c>
      <c r="BG7" s="2">
        <v>23.727969999999999</v>
      </c>
      <c r="BH7" s="2">
        <v>30.442170000000001</v>
      </c>
      <c r="BI7" s="2">
        <v>32.102440000000001</v>
      </c>
      <c r="BJ7" s="2">
        <v>35.461939999999998</v>
      </c>
      <c r="BK7" s="2">
        <v>24</v>
      </c>
      <c r="BL7" s="2">
        <v>16</v>
      </c>
      <c r="BM7" s="4">
        <v>25</v>
      </c>
      <c r="BN7" s="4">
        <v>2</v>
      </c>
      <c r="BO7" s="4">
        <v>0</v>
      </c>
      <c r="BP7" s="4">
        <v>23</v>
      </c>
      <c r="BQ7" s="2">
        <v>8</v>
      </c>
      <c r="BR7" s="4">
        <v>18</v>
      </c>
      <c r="BS7" s="4">
        <v>1</v>
      </c>
      <c r="BT7" s="4">
        <v>25</v>
      </c>
      <c r="BU7" s="2">
        <v>72</v>
      </c>
      <c r="BV7" s="2">
        <v>11.792400000000001</v>
      </c>
      <c r="BW7" s="2">
        <v>16454</v>
      </c>
      <c r="BX7" s="3">
        <v>51.102089999999997</v>
      </c>
      <c r="BY7" s="3">
        <v>0.3105755</v>
      </c>
      <c r="BZ7" s="2">
        <v>1.6822699999999999</v>
      </c>
      <c r="CA7" s="3">
        <v>0.3105755</v>
      </c>
      <c r="CB7" s="3">
        <v>0.51171169999999999</v>
      </c>
      <c r="CC7" s="3">
        <v>0.56706420000000002</v>
      </c>
      <c r="CD7" s="2">
        <v>10.817119999999999</v>
      </c>
      <c r="CE7" s="3">
        <v>30032.76</v>
      </c>
      <c r="CF7" s="3">
        <v>30665.51</v>
      </c>
      <c r="CG7" s="2">
        <v>2.1068690000000001</v>
      </c>
      <c r="CH7" s="3">
        <v>4.0430440000000001</v>
      </c>
      <c r="CI7" s="2">
        <v>16.24905</v>
      </c>
      <c r="CJ7" s="3">
        <v>55036.63</v>
      </c>
      <c r="CK7" s="3">
        <v>55795.88</v>
      </c>
      <c r="CL7" s="2">
        <v>1.3795379999999999</v>
      </c>
      <c r="CM7" s="3">
        <v>2.8808310000000001</v>
      </c>
      <c r="CN7" s="3">
        <v>3.488931</v>
      </c>
      <c r="CO7" s="3">
        <v>3.396366</v>
      </c>
      <c r="CP7" s="2">
        <v>25.328430000000001</v>
      </c>
      <c r="CQ7" s="2">
        <v>3.484416</v>
      </c>
      <c r="CR7" s="2">
        <v>6.3048120000000001</v>
      </c>
      <c r="CS7" s="2">
        <v>21.108519999999999</v>
      </c>
      <c r="CT7" s="2">
        <v>185.00980000000001</v>
      </c>
      <c r="CU7" s="3">
        <v>0.3114268</v>
      </c>
      <c r="CV7" s="2">
        <v>4.2870819999999998</v>
      </c>
      <c r="CW7" s="2">
        <v>1.058457</v>
      </c>
      <c r="CX7" s="2">
        <v>2.0212509999999999</v>
      </c>
      <c r="CY7" s="2">
        <v>11.131309999999999</v>
      </c>
    </row>
    <row r="8" spans="1:103" ht="15" customHeight="1" x14ac:dyDescent="0.2">
      <c r="A8" s="1">
        <f>1+A7</f>
        <v>2</v>
      </c>
      <c r="B8" s="1" t="s">
        <v>7</v>
      </c>
      <c r="C8" s="1" t="s">
        <v>6</v>
      </c>
      <c r="D8" s="1" t="s">
        <v>3</v>
      </c>
      <c r="E8" s="1" t="s">
        <v>4</v>
      </c>
      <c r="F8" s="2">
        <v>5776.0789999999997</v>
      </c>
      <c r="G8" s="2">
        <v>99.132800000000003</v>
      </c>
      <c r="H8" s="2">
        <v>5725.9889999999996</v>
      </c>
      <c r="I8" s="3">
        <v>1.0265</v>
      </c>
      <c r="J8" s="3">
        <v>0</v>
      </c>
      <c r="K8" s="2">
        <v>3.8967360000000002</v>
      </c>
      <c r="L8" s="2">
        <v>7.0722839999999998</v>
      </c>
      <c r="M8" s="2">
        <v>7.306381</v>
      </c>
      <c r="N8" s="2">
        <v>9.7418410000000009</v>
      </c>
      <c r="O8" s="2">
        <v>7.3321430000000003</v>
      </c>
      <c r="P8" s="2">
        <v>6.2090649999999998</v>
      </c>
      <c r="Q8" s="2">
        <v>6.4156250000000004</v>
      </c>
      <c r="R8" s="2">
        <v>5.3295880000000002</v>
      </c>
      <c r="S8" s="2" t="e">
        <v>#N/A</v>
      </c>
      <c r="T8" s="2" t="e">
        <v>#N/A</v>
      </c>
      <c r="U8" s="2" t="e">
        <v>#N/A</v>
      </c>
      <c r="V8" s="2" t="e">
        <v>#N/A</v>
      </c>
      <c r="W8" s="2">
        <v>0.43767470000000003</v>
      </c>
      <c r="X8" s="2">
        <v>0.41391129999999998</v>
      </c>
      <c r="Y8" s="2">
        <v>0.39480769999999998</v>
      </c>
      <c r="Z8" s="2">
        <v>0.38106869999999998</v>
      </c>
      <c r="AA8" s="2" t="e">
        <v>#N/A</v>
      </c>
      <c r="AB8" s="2" t="e">
        <v>#N/A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3">
        <v>0.29762539999999998</v>
      </c>
      <c r="AL8" s="3">
        <v>0.29158050000000002</v>
      </c>
      <c r="AM8" s="2" t="e">
        <v>#N/A</v>
      </c>
      <c r="AN8" s="2" t="e">
        <v>#N/A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1" t="s">
        <v>5</v>
      </c>
      <c r="AV8" s="3">
        <v>1.454545</v>
      </c>
      <c r="AW8" s="3">
        <v>1.33</v>
      </c>
      <c r="AX8" s="2">
        <v>29.566490000000002</v>
      </c>
      <c r="AY8" s="2">
        <v>6.6662420000000004</v>
      </c>
      <c r="AZ8" s="2">
        <v>21</v>
      </c>
      <c r="BA8" s="2">
        <v>40.42407</v>
      </c>
      <c r="BB8" s="2">
        <v>16.541779999999999</v>
      </c>
      <c r="BC8" s="3">
        <v>0.57499999999999996</v>
      </c>
      <c r="BD8" s="2">
        <v>78.521739999999994</v>
      </c>
      <c r="BE8" s="3">
        <v>1.3340000000000001</v>
      </c>
      <c r="BF8" s="2">
        <v>-23.050979999999999</v>
      </c>
      <c r="BG8" s="2">
        <v>28.858720000000002</v>
      </c>
      <c r="BH8" s="2">
        <v>43.443429999999999</v>
      </c>
      <c r="BI8" s="2">
        <v>45.1006</v>
      </c>
      <c r="BJ8" s="2">
        <v>48.557729999999999</v>
      </c>
      <c r="BK8" s="2">
        <v>20</v>
      </c>
      <c r="BL8" s="2">
        <v>14</v>
      </c>
      <c r="BM8" s="4">
        <v>22</v>
      </c>
      <c r="BN8" s="4">
        <v>2</v>
      </c>
      <c r="BO8" s="4">
        <v>1</v>
      </c>
      <c r="BP8" s="4">
        <v>22</v>
      </c>
      <c r="BQ8" s="2">
        <v>8</v>
      </c>
      <c r="BR8" s="4">
        <v>13</v>
      </c>
      <c r="BS8" s="4">
        <v>1</v>
      </c>
      <c r="BT8" s="4">
        <v>22</v>
      </c>
      <c r="BU8" s="2">
        <v>59.090910000000001</v>
      </c>
      <c r="BV8" s="2">
        <v>14.290100000000001</v>
      </c>
      <c r="BW8" s="2">
        <v>5626.9639999999999</v>
      </c>
      <c r="BX8" s="3">
        <v>35.023260000000001</v>
      </c>
      <c r="BY8" s="3">
        <v>0.62241840000000004</v>
      </c>
      <c r="BZ8" s="2">
        <v>1.25648</v>
      </c>
      <c r="CA8" s="3">
        <v>0.62241840000000004</v>
      </c>
      <c r="CB8" s="3">
        <v>0.13668079999999999</v>
      </c>
      <c r="CC8" s="3">
        <v>0.16423650000000001</v>
      </c>
      <c r="CD8" s="2">
        <v>20.160630000000001</v>
      </c>
      <c r="CE8" s="3">
        <v>2390.92</v>
      </c>
      <c r="CF8" s="3">
        <v>2587.7890000000002</v>
      </c>
      <c r="CG8" s="2">
        <v>8.2340479999999996</v>
      </c>
      <c r="CH8" s="3">
        <v>1.1447620000000001</v>
      </c>
      <c r="CI8" s="2">
        <v>16.181360000000002</v>
      </c>
      <c r="CJ8" s="3">
        <v>5409.3580000000002</v>
      </c>
      <c r="CK8" s="3">
        <v>5598.0619999999999</v>
      </c>
      <c r="CL8" s="2">
        <v>3.4884569999999999</v>
      </c>
      <c r="CM8" s="3">
        <v>0.87524780000000002</v>
      </c>
      <c r="CN8" s="3">
        <v>1.1123590000000001</v>
      </c>
      <c r="CO8" s="3">
        <v>1.0186850000000001</v>
      </c>
      <c r="CP8" s="2">
        <v>17.281079999999999</v>
      </c>
      <c r="CQ8" s="2">
        <v>-7.7186349999999999</v>
      </c>
      <c r="CR8" s="2">
        <v>0.76720710000000003</v>
      </c>
      <c r="CS8" s="2">
        <v>27.09074</v>
      </c>
      <c r="CT8" s="2">
        <v>48.750660000000003</v>
      </c>
      <c r="CU8" s="3">
        <v>0.84400960000000003</v>
      </c>
      <c r="CV8" s="2">
        <v>10.872960000000001</v>
      </c>
      <c r="CW8" s="2">
        <v>2.6396449999999998</v>
      </c>
      <c r="CX8" s="2">
        <v>-2.5765250000000002</v>
      </c>
      <c r="CY8" s="2">
        <v>11.73737</v>
      </c>
    </row>
    <row r="9" spans="1:103" ht="15" customHeight="1" x14ac:dyDescent="0.2">
      <c r="A9" s="1">
        <f t="shared" ref="A9:A41" si="0">1+A8</f>
        <v>3</v>
      </c>
      <c r="B9" s="1" t="s">
        <v>9</v>
      </c>
      <c r="C9" s="1" t="s">
        <v>8</v>
      </c>
      <c r="D9" s="1" t="s">
        <v>10</v>
      </c>
      <c r="E9" s="1" t="s">
        <v>11</v>
      </c>
      <c r="F9" s="2">
        <v>2208.1799999999998</v>
      </c>
      <c r="G9" s="2">
        <v>69.236099999999993</v>
      </c>
      <c r="H9" s="2">
        <v>1528.8579999999999</v>
      </c>
      <c r="I9" s="3">
        <v>12.5</v>
      </c>
      <c r="J9" s="3">
        <v>0</v>
      </c>
      <c r="K9" s="2">
        <v>2</v>
      </c>
      <c r="L9" s="2">
        <v>2.2400000000000002</v>
      </c>
      <c r="M9" s="2">
        <v>2.48</v>
      </c>
      <c r="N9" s="2">
        <v>2.68</v>
      </c>
      <c r="O9" s="2">
        <v>13.88889</v>
      </c>
      <c r="P9" s="2">
        <v>10.96491</v>
      </c>
      <c r="Q9" s="2">
        <v>9.9518769999999996</v>
      </c>
      <c r="R9" s="2">
        <v>9.0252700000000008</v>
      </c>
      <c r="S9" s="2">
        <v>4.828424</v>
      </c>
      <c r="T9" s="2">
        <v>4.9013359999999997</v>
      </c>
      <c r="U9" s="2">
        <v>4.3223159999999998</v>
      </c>
      <c r="V9" s="2">
        <v>3.8237570000000001</v>
      </c>
      <c r="W9" s="2">
        <v>2.289377</v>
      </c>
      <c r="X9" s="2">
        <v>1.968504</v>
      </c>
      <c r="Y9" s="2">
        <v>1.7705379999999999</v>
      </c>
      <c r="Z9" s="2">
        <v>1.738526</v>
      </c>
      <c r="AA9" s="2">
        <v>7.7175019999999996</v>
      </c>
      <c r="AB9" s="2">
        <v>7.2045680000000001</v>
      </c>
      <c r="AC9" s="2">
        <v>7.0571450000000002</v>
      </c>
      <c r="AD9" s="2">
        <v>6.7230379999999998</v>
      </c>
      <c r="AE9" s="2">
        <v>9.9575069999999997</v>
      </c>
      <c r="AF9" s="2">
        <v>11.91442</v>
      </c>
      <c r="AG9" s="2">
        <v>13.898809999999999</v>
      </c>
      <c r="AH9" s="2">
        <v>9.5922490000000007</v>
      </c>
      <c r="AI9" s="2">
        <v>10.72785</v>
      </c>
      <c r="AJ9" s="2">
        <v>11.720940000000001</v>
      </c>
      <c r="AK9" s="3" t="e">
        <v>#N/A</v>
      </c>
      <c r="AL9" s="3" t="e">
        <v>#N/A</v>
      </c>
      <c r="AM9" s="2">
        <v>10.38691</v>
      </c>
      <c r="AN9" s="2">
        <v>10.88008</v>
      </c>
      <c r="AO9" s="2">
        <v>11.074999999999999</v>
      </c>
      <c r="AP9" s="2">
        <v>11.2836</v>
      </c>
      <c r="AQ9" s="2">
        <v>0.125</v>
      </c>
      <c r="AR9" s="2">
        <v>-0.18663589999999999</v>
      </c>
      <c r="AS9" s="2">
        <v>-0.47807500000000003</v>
      </c>
      <c r="AT9" s="2">
        <v>-0.71049340000000005</v>
      </c>
      <c r="AU9" s="1" t="s">
        <v>5</v>
      </c>
      <c r="AV9" s="3">
        <v>1.3333330000000001</v>
      </c>
      <c r="AW9" s="3">
        <v>14.75024</v>
      </c>
      <c r="AX9" s="2">
        <v>18.001950000000001</v>
      </c>
      <c r="AY9" s="2">
        <v>17.952760000000001</v>
      </c>
      <c r="AZ9" s="2" t="e">
        <v>#N/A</v>
      </c>
      <c r="BA9" s="2">
        <v>36.017420000000001</v>
      </c>
      <c r="BB9" s="2">
        <v>17.370889999999999</v>
      </c>
      <c r="BC9" s="3">
        <v>7.5149999999999997</v>
      </c>
      <c r="BD9" s="2">
        <v>66.334000000000003</v>
      </c>
      <c r="BE9" s="3">
        <v>12.8</v>
      </c>
      <c r="BF9" s="2">
        <v>-2.34375</v>
      </c>
      <c r="BG9" s="2">
        <v>24.41648</v>
      </c>
      <c r="BH9" s="2">
        <v>27.02899</v>
      </c>
      <c r="BI9" s="2">
        <v>29.48123</v>
      </c>
      <c r="BJ9" s="2">
        <v>29.687819999999999</v>
      </c>
      <c r="BK9" s="2">
        <v>14</v>
      </c>
      <c r="BL9" s="2">
        <v>14</v>
      </c>
      <c r="BM9" s="4">
        <v>15</v>
      </c>
      <c r="BN9" s="4">
        <v>2</v>
      </c>
      <c r="BO9" s="4">
        <v>0</v>
      </c>
      <c r="BP9" s="4">
        <v>13</v>
      </c>
      <c r="BQ9" s="2">
        <v>13.33333</v>
      </c>
      <c r="BR9" s="4">
        <v>10</v>
      </c>
      <c r="BS9" s="4">
        <v>0</v>
      </c>
      <c r="BT9" s="4">
        <v>15</v>
      </c>
      <c r="BU9" s="2">
        <v>66.666669999999996</v>
      </c>
      <c r="BV9" s="2">
        <v>9.7761099999999992</v>
      </c>
      <c r="BW9" s="2">
        <v>176.65440000000001</v>
      </c>
      <c r="BX9" s="3">
        <v>0.74560700000000002</v>
      </c>
      <c r="BY9" s="3">
        <v>0.42207099999999997</v>
      </c>
      <c r="BZ9" s="2">
        <v>0.82341900000000001</v>
      </c>
      <c r="CA9" s="3">
        <v>0.42207099999999997</v>
      </c>
      <c r="CB9" s="3">
        <v>1.1016239999999999</v>
      </c>
      <c r="CC9" s="3">
        <v>1.1341540000000001</v>
      </c>
      <c r="CD9" s="2">
        <v>2.9529209999999999</v>
      </c>
      <c r="CE9" s="3">
        <v>315.57249999999999</v>
      </c>
      <c r="CF9" s="3">
        <v>325.22730000000001</v>
      </c>
      <c r="CG9" s="2">
        <v>3.0594709999999998</v>
      </c>
      <c r="CH9" s="3">
        <v>12.42079</v>
      </c>
      <c r="CI9" s="2">
        <v>18.754449999999999</v>
      </c>
      <c r="CJ9" s="3">
        <v>3906.904</v>
      </c>
      <c r="CK9" s="3">
        <v>3961.5630000000001</v>
      </c>
      <c r="CL9" s="2">
        <v>1.3990400000000001</v>
      </c>
      <c r="CM9" s="3">
        <v>9.9648230000000009</v>
      </c>
      <c r="CN9" s="3">
        <v>11.938040000000001</v>
      </c>
      <c r="CO9" s="3">
        <v>12.143459999999999</v>
      </c>
      <c r="CP9" s="2">
        <v>25.441269999999999</v>
      </c>
      <c r="CQ9" s="2">
        <v>4.7073130000000001</v>
      </c>
      <c r="CR9" s="2">
        <v>2.9360529999999998</v>
      </c>
      <c r="CS9" s="2">
        <v>19.801829999999999</v>
      </c>
      <c r="CT9" s="2">
        <v>7.2222720000000002</v>
      </c>
      <c r="CU9" s="3">
        <v>0.327069</v>
      </c>
      <c r="CV9" s="2">
        <v>3.225806</v>
      </c>
      <c r="CW9" s="2">
        <v>5.3418039999999998</v>
      </c>
      <c r="CX9" s="2">
        <v>2.893891</v>
      </c>
      <c r="CY9" s="2">
        <v>12.88889</v>
      </c>
    </row>
    <row r="10" spans="1:103" ht="15" customHeight="1" x14ac:dyDescent="0.2">
      <c r="A10" s="1">
        <f t="shared" si="0"/>
        <v>4</v>
      </c>
      <c r="B10" s="1" t="s">
        <v>13</v>
      </c>
      <c r="C10" s="1" t="s">
        <v>12</v>
      </c>
      <c r="D10" s="1" t="s">
        <v>14</v>
      </c>
      <c r="E10" s="1" t="s">
        <v>15</v>
      </c>
      <c r="F10" s="2">
        <v>22605</v>
      </c>
      <c r="G10" s="2">
        <v>48.937899999999999</v>
      </c>
      <c r="H10" s="2">
        <v>11062.41</v>
      </c>
      <c r="I10" s="3">
        <v>150.69999999999999</v>
      </c>
      <c r="J10" s="3">
        <v>0</v>
      </c>
      <c r="K10" s="2">
        <v>3.151958</v>
      </c>
      <c r="L10" s="2">
        <v>4.1340409999999999</v>
      </c>
      <c r="M10" s="2">
        <v>5.0113969999999997</v>
      </c>
      <c r="N10" s="2">
        <v>5.6403449999999999</v>
      </c>
      <c r="O10" s="2">
        <v>25.074870000000001</v>
      </c>
      <c r="P10" s="2">
        <v>18.546130000000002</v>
      </c>
      <c r="Q10" s="2">
        <v>15.829829999999999</v>
      </c>
      <c r="R10" s="2">
        <v>13.96664</v>
      </c>
      <c r="S10" s="2">
        <v>11.515940000000001</v>
      </c>
      <c r="T10" s="2">
        <v>11.71232</v>
      </c>
      <c r="U10" s="2">
        <v>10.04487</v>
      </c>
      <c r="V10" s="2">
        <v>9.3179390000000009</v>
      </c>
      <c r="W10" s="2">
        <v>3.365186</v>
      </c>
      <c r="X10" s="2">
        <v>3.1202890000000001</v>
      </c>
      <c r="Y10" s="2">
        <v>2.9059300000000001</v>
      </c>
      <c r="Z10" s="2">
        <v>2.7590629999999998</v>
      </c>
      <c r="AA10" s="2">
        <v>12.29514</v>
      </c>
      <c r="AB10" s="2">
        <v>11.20275</v>
      </c>
      <c r="AC10" s="2">
        <v>9.9735279999999999</v>
      </c>
      <c r="AD10" s="2">
        <v>9.5269919999999999</v>
      </c>
      <c r="AE10" s="2">
        <v>4.972054</v>
      </c>
      <c r="AF10" s="2">
        <v>5.4558859999999996</v>
      </c>
      <c r="AG10" s="2">
        <v>4.9377810000000002</v>
      </c>
      <c r="AH10" s="2">
        <v>6.3102520000000002</v>
      </c>
      <c r="AI10" s="2">
        <v>6.8077300000000003</v>
      </c>
      <c r="AJ10" s="2">
        <v>6.0817389999999998</v>
      </c>
      <c r="AK10" s="3">
        <v>2.7568640000000002</v>
      </c>
      <c r="AL10" s="3">
        <v>2.2394029999999998</v>
      </c>
      <c r="AM10" s="2">
        <v>49.495480000000001</v>
      </c>
      <c r="AN10" s="2">
        <v>53.106619999999999</v>
      </c>
      <c r="AO10" s="2">
        <v>55.958550000000002</v>
      </c>
      <c r="AP10" s="2">
        <v>57.26332</v>
      </c>
      <c r="AQ10" s="2">
        <v>3.0159419999999999</v>
      </c>
      <c r="AR10" s="2">
        <v>2.4838</v>
      </c>
      <c r="AS10" s="2">
        <v>1.994658</v>
      </c>
      <c r="AT10" s="2">
        <v>1.752677</v>
      </c>
      <c r="AU10" s="1" t="s">
        <v>16</v>
      </c>
      <c r="AV10" s="3">
        <v>1.519231</v>
      </c>
      <c r="AW10" s="3">
        <v>152</v>
      </c>
      <c r="AX10" s="2">
        <v>0.86264609999999997</v>
      </c>
      <c r="AY10" s="2">
        <v>16.824470000000002</v>
      </c>
      <c r="AZ10" s="2">
        <v>5.5</v>
      </c>
      <c r="BA10" s="2">
        <v>-0.62643890000000002</v>
      </c>
      <c r="BB10" s="2">
        <v>28.474</v>
      </c>
      <c r="BC10" s="3">
        <v>102.05</v>
      </c>
      <c r="BD10" s="2">
        <v>47.672699999999999</v>
      </c>
      <c r="BE10" s="3">
        <v>154.69999999999999</v>
      </c>
      <c r="BF10" s="2">
        <v>-2.5856490000000001</v>
      </c>
      <c r="BG10" s="2">
        <v>76.189130000000006</v>
      </c>
      <c r="BH10" s="2">
        <v>80.494770000000003</v>
      </c>
      <c r="BI10" s="2">
        <v>79.32929</v>
      </c>
      <c r="BJ10" s="2">
        <v>78.190070000000006</v>
      </c>
      <c r="BK10" s="2">
        <v>23</v>
      </c>
      <c r="BL10" s="2">
        <v>21</v>
      </c>
      <c r="BM10" s="4">
        <v>26</v>
      </c>
      <c r="BN10" s="4">
        <v>4</v>
      </c>
      <c r="BO10" s="4">
        <v>1</v>
      </c>
      <c r="BP10" s="4">
        <v>23</v>
      </c>
      <c r="BQ10" s="2">
        <v>14.28572</v>
      </c>
      <c r="BR10" s="4">
        <v>14</v>
      </c>
      <c r="BS10" s="4">
        <v>1</v>
      </c>
      <c r="BT10" s="4">
        <v>26</v>
      </c>
      <c r="BU10" s="2">
        <v>53.846159999999998</v>
      </c>
      <c r="BV10" s="2">
        <v>8.48508</v>
      </c>
      <c r="BW10" s="2">
        <v>150</v>
      </c>
      <c r="BX10" s="3">
        <v>0.14737349999999999</v>
      </c>
      <c r="BY10" s="3">
        <v>9.8248989999999994E-2</v>
      </c>
      <c r="BZ10" s="2">
        <v>1.0056099999999999</v>
      </c>
      <c r="CA10" s="3">
        <v>9.8248989999999994E-2</v>
      </c>
      <c r="CB10" s="3">
        <v>6.3468650000000002</v>
      </c>
      <c r="CC10" s="3">
        <v>7.7151439999999996</v>
      </c>
      <c r="CD10" s="2">
        <v>21.558340000000001</v>
      </c>
      <c r="CE10" s="3">
        <v>1332.5809999999999</v>
      </c>
      <c r="CF10" s="3">
        <v>1579.9639999999999</v>
      </c>
      <c r="CG10" s="2">
        <v>18.564240000000002</v>
      </c>
      <c r="CH10" s="3">
        <v>141.60839999999999</v>
      </c>
      <c r="CI10" s="2">
        <v>7.3382849999999999</v>
      </c>
      <c r="CJ10" s="3">
        <v>4238.0789999999997</v>
      </c>
      <c r="CK10" s="3">
        <v>4527.8869999999997</v>
      </c>
      <c r="CL10" s="2">
        <v>6.8381790000000002</v>
      </c>
      <c r="CM10" s="3">
        <v>127.67610000000001</v>
      </c>
      <c r="CN10" s="3">
        <v>145.62260000000001</v>
      </c>
      <c r="CO10" s="3">
        <v>147.79419999999999</v>
      </c>
      <c r="CP10" s="2">
        <v>18.03304</v>
      </c>
      <c r="CQ10" s="2">
        <v>3.4867050000000002</v>
      </c>
      <c r="CR10" s="2">
        <v>1.9660949999999999</v>
      </c>
      <c r="CS10" s="2">
        <v>14.056240000000001</v>
      </c>
      <c r="CT10" s="2">
        <v>20.23235</v>
      </c>
      <c r="CU10" s="3">
        <v>8.9503860000000005E-2</v>
      </c>
      <c r="CV10" s="2">
        <v>118.0467</v>
      </c>
      <c r="CW10" s="2">
        <v>8.7388670000000008</v>
      </c>
      <c r="CX10" s="2">
        <v>7.8371810000000002</v>
      </c>
      <c r="CY10" s="2">
        <v>13.131309999999999</v>
      </c>
    </row>
    <row r="11" spans="1:103" ht="15" customHeight="1" x14ac:dyDescent="0.2">
      <c r="A11" s="1">
        <f t="shared" si="0"/>
        <v>5</v>
      </c>
      <c r="B11" s="1" t="s">
        <v>18</v>
      </c>
      <c r="C11" s="1" t="s">
        <v>17</v>
      </c>
      <c r="D11" s="1" t="s">
        <v>3</v>
      </c>
      <c r="E11" s="1" t="s">
        <v>4</v>
      </c>
      <c r="F11" s="2">
        <v>41040.97</v>
      </c>
      <c r="G11" s="2">
        <v>99.659499999999994</v>
      </c>
      <c r="H11" s="2">
        <v>40901.230000000003</v>
      </c>
      <c r="I11" s="3">
        <v>6.806</v>
      </c>
      <c r="J11" s="3">
        <v>1.192093E-5</v>
      </c>
      <c r="K11" s="2">
        <v>6.3179550000000004</v>
      </c>
      <c r="L11" s="2">
        <v>7.6403169999999996</v>
      </c>
      <c r="M11" s="2">
        <v>7.6403169999999996</v>
      </c>
      <c r="N11" s="2">
        <v>8.0076409999999996</v>
      </c>
      <c r="O11" s="2">
        <v>6.4819050000000002</v>
      </c>
      <c r="P11" s="2">
        <v>6.3041390000000002</v>
      </c>
      <c r="Q11" s="2">
        <v>6.3018520000000002</v>
      </c>
      <c r="R11" s="2">
        <v>6.2155250000000004</v>
      </c>
      <c r="S11" s="2" t="e">
        <v>#N/A</v>
      </c>
      <c r="T11" s="2" t="e">
        <v>#N/A</v>
      </c>
      <c r="U11" s="2" t="e">
        <v>#N/A</v>
      </c>
      <c r="V11" s="2" t="e">
        <v>#N/A</v>
      </c>
      <c r="W11" s="2">
        <v>0.87368420000000002</v>
      </c>
      <c r="X11" s="2">
        <v>0.82496970000000003</v>
      </c>
      <c r="Y11" s="2">
        <v>0.77340909999999996</v>
      </c>
      <c r="Z11" s="2">
        <v>0.7255376</v>
      </c>
      <c r="AA11" s="2" t="e">
        <v>#N/A</v>
      </c>
      <c r="AB11" s="2" t="e">
        <v>#N/A</v>
      </c>
      <c r="AC11" s="2" t="e">
        <v>#N/A</v>
      </c>
      <c r="AD11" s="2" t="e">
        <v>#N/A</v>
      </c>
      <c r="AE11" s="2" t="e">
        <v>#N/A</v>
      </c>
      <c r="AF11" s="2" t="e">
        <v>#N/A</v>
      </c>
      <c r="AG11" s="2" t="e">
        <v>#N/A</v>
      </c>
      <c r="AH11" s="2" t="e">
        <v>#N/A</v>
      </c>
      <c r="AI11" s="2" t="e">
        <v>#N/A</v>
      </c>
      <c r="AJ11" s="2" t="e">
        <v>#N/A</v>
      </c>
      <c r="AK11" s="3">
        <v>0.83668629999999999</v>
      </c>
      <c r="AL11" s="3">
        <v>0.84536829999999996</v>
      </c>
      <c r="AM11" s="2" t="e">
        <v>#N/A</v>
      </c>
      <c r="AN11" s="2" t="e">
        <v>#N/A</v>
      </c>
      <c r="AO11" s="2" t="e">
        <v>#N/A</v>
      </c>
      <c r="AP11" s="2" t="e">
        <v>#N/A</v>
      </c>
      <c r="AQ11" s="2" t="e">
        <v>#N/A</v>
      </c>
      <c r="AR11" s="2" t="e">
        <v>#N/A</v>
      </c>
      <c r="AS11" s="2" t="e">
        <v>#N/A</v>
      </c>
      <c r="AT11" s="2" t="e">
        <v>#N/A</v>
      </c>
      <c r="AU11" s="1" t="s">
        <v>19</v>
      </c>
      <c r="AV11" s="3">
        <v>1.5</v>
      </c>
      <c r="AW11" s="3">
        <v>8.1</v>
      </c>
      <c r="AX11" s="2">
        <v>19.012640000000001</v>
      </c>
      <c r="AY11" s="2">
        <v>13.08616</v>
      </c>
      <c r="AZ11" s="2">
        <v>8</v>
      </c>
      <c r="BA11" s="2">
        <v>35.200650000000003</v>
      </c>
      <c r="BB11" s="2">
        <v>20.80228</v>
      </c>
      <c r="BC11" s="3">
        <v>3.972</v>
      </c>
      <c r="BD11" s="2">
        <v>71.349440000000001</v>
      </c>
      <c r="BE11" s="3">
        <v>7.5549999999999997</v>
      </c>
      <c r="BF11" s="2">
        <v>-9.9139579999999992</v>
      </c>
      <c r="BG11" s="2">
        <v>42.035899999999998</v>
      </c>
      <c r="BH11" s="2">
        <v>46.661090000000002</v>
      </c>
      <c r="BI11" s="2">
        <v>48.221179999999997</v>
      </c>
      <c r="BJ11" s="2">
        <v>49.748170000000002</v>
      </c>
      <c r="BK11" s="2">
        <v>24</v>
      </c>
      <c r="BL11" s="2">
        <v>17</v>
      </c>
      <c r="BM11" s="4">
        <v>27</v>
      </c>
      <c r="BN11" s="4">
        <v>0</v>
      </c>
      <c r="BO11" s="4">
        <v>1</v>
      </c>
      <c r="BP11" s="4">
        <v>24</v>
      </c>
      <c r="BQ11" s="2">
        <v>0</v>
      </c>
      <c r="BR11" s="4">
        <v>14</v>
      </c>
      <c r="BS11" s="4">
        <v>0</v>
      </c>
      <c r="BT11" s="4">
        <v>27</v>
      </c>
      <c r="BU11" s="2">
        <v>51.851849999999999</v>
      </c>
      <c r="BV11" s="2">
        <v>13.221500000000001</v>
      </c>
      <c r="BW11" s="2">
        <v>6030.116</v>
      </c>
      <c r="BX11" s="3">
        <v>20.81963</v>
      </c>
      <c r="BY11" s="3">
        <v>0.34526079999999998</v>
      </c>
      <c r="BZ11" s="2">
        <v>1.90405</v>
      </c>
      <c r="CA11" s="3">
        <v>0.34526079999999998</v>
      </c>
      <c r="CB11" s="3">
        <v>0.96037039999999996</v>
      </c>
      <c r="CC11" s="3">
        <v>1.084571</v>
      </c>
      <c r="CD11" s="2">
        <v>12.93262</v>
      </c>
      <c r="CE11" s="3">
        <v>14580.41</v>
      </c>
      <c r="CF11" s="3">
        <v>15150.7</v>
      </c>
      <c r="CG11" s="2">
        <v>3.9113280000000001</v>
      </c>
      <c r="CH11" s="3">
        <v>7.0763999999999996</v>
      </c>
      <c r="CI11" s="2">
        <v>14.46499</v>
      </c>
      <c r="CJ11" s="3">
        <v>26323.54</v>
      </c>
      <c r="CK11" s="3">
        <v>27036.43</v>
      </c>
      <c r="CL11" s="2">
        <v>2.7081970000000002</v>
      </c>
      <c r="CM11" s="3">
        <v>5.563733</v>
      </c>
      <c r="CN11" s="3">
        <v>6.7487240000000002</v>
      </c>
      <c r="CO11" s="3">
        <v>6.4661160000000004</v>
      </c>
      <c r="CP11" s="2">
        <v>22.327950000000001</v>
      </c>
      <c r="CQ11" s="2">
        <v>0.84871050000000003</v>
      </c>
      <c r="CR11" s="2">
        <v>5.2563909999999998</v>
      </c>
      <c r="CS11" s="2">
        <v>21.298490000000001</v>
      </c>
      <c r="CT11" s="2">
        <v>171.815</v>
      </c>
      <c r="CU11" s="3">
        <v>0.41864269999999998</v>
      </c>
      <c r="CV11" s="2">
        <v>4.8323299999999998</v>
      </c>
      <c r="CW11" s="2">
        <v>-0.28612910000000003</v>
      </c>
      <c r="CX11" s="2">
        <v>-1.0890390000000001</v>
      </c>
      <c r="CY11" s="2">
        <v>13.272729999999999</v>
      </c>
    </row>
    <row r="12" spans="1:103" ht="15" customHeight="1" x14ac:dyDescent="0.2">
      <c r="A12" s="1">
        <f t="shared" si="0"/>
        <v>6</v>
      </c>
      <c r="B12" s="1" t="s">
        <v>21</v>
      </c>
      <c r="C12" s="1" t="s">
        <v>20</v>
      </c>
      <c r="D12" s="1" t="s">
        <v>22</v>
      </c>
      <c r="E12" s="1" t="s">
        <v>23</v>
      </c>
      <c r="F12" s="2">
        <v>27213.43</v>
      </c>
      <c r="G12" s="2">
        <v>79.194000000000003</v>
      </c>
      <c r="H12" s="2">
        <v>21551.4</v>
      </c>
      <c r="I12" s="3">
        <v>38.520000000000003</v>
      </c>
      <c r="J12" s="3">
        <v>0</v>
      </c>
      <c r="K12" s="2">
        <v>0.12980269999999999</v>
      </c>
      <c r="L12" s="2">
        <v>0.15576319999999999</v>
      </c>
      <c r="M12" s="2">
        <v>0.15576319999999999</v>
      </c>
      <c r="N12" s="2">
        <v>0.18172379999999999</v>
      </c>
      <c r="O12" s="2" t="e">
        <v>#N/A</v>
      </c>
      <c r="P12" s="2" t="e">
        <v>#N/A</v>
      </c>
      <c r="Q12" s="2" t="e">
        <v>#N/A</v>
      </c>
      <c r="R12" s="2">
        <v>242.62729999999999</v>
      </c>
      <c r="S12" s="2">
        <v>15.745710000000001</v>
      </c>
      <c r="T12" s="2">
        <v>15.36965</v>
      </c>
      <c r="U12" s="2">
        <v>14.43976</v>
      </c>
      <c r="V12" s="2">
        <v>13.4453</v>
      </c>
      <c r="W12" s="2">
        <v>1.910714</v>
      </c>
      <c r="X12" s="2">
        <v>1.934706</v>
      </c>
      <c r="Y12" s="2">
        <v>1.956323</v>
      </c>
      <c r="Z12" s="2">
        <v>1.9989619999999999</v>
      </c>
      <c r="AA12" s="2">
        <v>16.758939999999999</v>
      </c>
      <c r="AB12" s="2">
        <v>15.79218</v>
      </c>
      <c r="AC12" s="2">
        <v>14.26384</v>
      </c>
      <c r="AD12" s="2">
        <v>12.87181</v>
      </c>
      <c r="AE12" s="2">
        <v>1.6618440000000001</v>
      </c>
      <c r="AF12" s="2">
        <v>1.7747440000000001</v>
      </c>
      <c r="AG12" s="2">
        <v>2.7212179999999999</v>
      </c>
      <c r="AH12" s="2">
        <v>2.828878</v>
      </c>
      <c r="AI12" s="2">
        <v>3.04182</v>
      </c>
      <c r="AJ12" s="2">
        <v>4.6201309999999998</v>
      </c>
      <c r="AK12" s="3" t="e">
        <v>#N/A</v>
      </c>
      <c r="AL12" s="3" t="e">
        <v>#N/A</v>
      </c>
      <c r="AM12" s="2">
        <v>75.164330000000007</v>
      </c>
      <c r="AN12" s="2">
        <v>74.912189999999995</v>
      </c>
      <c r="AO12" s="2">
        <v>75.994339999999994</v>
      </c>
      <c r="AP12" s="2">
        <v>78.117739999999998</v>
      </c>
      <c r="AQ12" s="2">
        <v>7.4399240000000004</v>
      </c>
      <c r="AR12" s="2">
        <v>6.340643</v>
      </c>
      <c r="AS12" s="2">
        <v>6.0149109999999997</v>
      </c>
      <c r="AT12" s="2">
        <v>5.5261329999999997</v>
      </c>
      <c r="AU12" s="1" t="s">
        <v>5</v>
      </c>
      <c r="AV12" s="3">
        <v>1.2833330000000001</v>
      </c>
      <c r="AW12" s="3">
        <v>48.5</v>
      </c>
      <c r="AX12" s="2">
        <v>25.908609999999999</v>
      </c>
      <c r="AY12" s="2">
        <v>-1.124714</v>
      </c>
      <c r="AZ12" s="2" t="e">
        <v>#N/A</v>
      </c>
      <c r="BA12" s="2">
        <v>-14.304779999999999</v>
      </c>
      <c r="BB12" s="2">
        <v>24.579560000000001</v>
      </c>
      <c r="BC12" s="3">
        <v>28.02</v>
      </c>
      <c r="BD12" s="2">
        <v>37.473239999999997</v>
      </c>
      <c r="BE12" s="3">
        <v>46.12</v>
      </c>
      <c r="BF12" s="2">
        <v>-16.478750000000002</v>
      </c>
      <c r="BG12" s="2" t="e">
        <v>#N/A</v>
      </c>
      <c r="BH12" s="2" t="e">
        <v>#N/A</v>
      </c>
      <c r="BI12" s="2" t="e">
        <v>#N/A</v>
      </c>
      <c r="BJ12" s="2">
        <v>259.04140000000001</v>
      </c>
      <c r="BK12" s="2">
        <v>24</v>
      </c>
      <c r="BL12" s="2">
        <v>20</v>
      </c>
      <c r="BM12" s="4">
        <v>30</v>
      </c>
      <c r="BN12" s="4">
        <v>0</v>
      </c>
      <c r="BO12" s="4">
        <v>1</v>
      </c>
      <c r="BP12" s="4">
        <v>29</v>
      </c>
      <c r="BQ12" s="2">
        <v>0</v>
      </c>
      <c r="BR12" s="4">
        <v>23</v>
      </c>
      <c r="BS12" s="4">
        <v>0</v>
      </c>
      <c r="BT12" s="4">
        <v>30</v>
      </c>
      <c r="BU12" s="2">
        <v>76.666659999999993</v>
      </c>
      <c r="BV12" s="2">
        <v>8.5428200000000007</v>
      </c>
      <c r="BW12" s="2">
        <v>706.47540000000004</v>
      </c>
      <c r="BX12" s="3">
        <v>1.488774</v>
      </c>
      <c r="BY12" s="3">
        <v>0.21073249999999999</v>
      </c>
      <c r="BZ12" s="2">
        <v>0.31865399999999999</v>
      </c>
      <c r="CA12" s="3">
        <v>0.21073249999999999</v>
      </c>
      <c r="CB12" s="3">
        <v>-0.20538980000000001</v>
      </c>
      <c r="CC12" s="3">
        <v>-0.23272119999999999</v>
      </c>
      <c r="CD12" s="2">
        <v>13.30711</v>
      </c>
      <c r="CE12" s="3">
        <v>465.64389999999997</v>
      </c>
      <c r="CF12" s="3">
        <v>462.11790000000002</v>
      </c>
      <c r="CG12" s="2">
        <v>-0.75722339999999999</v>
      </c>
      <c r="CH12" s="3">
        <v>48.663200000000003</v>
      </c>
      <c r="CI12" s="2">
        <v>-0.33536549999999998</v>
      </c>
      <c r="CJ12" s="3">
        <v>3918.84</v>
      </c>
      <c r="CK12" s="3">
        <v>4031.2919999999999</v>
      </c>
      <c r="CL12" s="2">
        <v>2.869523</v>
      </c>
      <c r="CM12" s="3">
        <v>35.612690000000001</v>
      </c>
      <c r="CN12" s="3">
        <v>36.1496</v>
      </c>
      <c r="CO12" s="3">
        <v>35.825380000000003</v>
      </c>
      <c r="CP12" s="2">
        <v>8.1637020000000007</v>
      </c>
      <c r="CQ12" s="2">
        <v>6.5571780000000004</v>
      </c>
      <c r="CR12" s="2">
        <v>7.5215339999999999</v>
      </c>
      <c r="CS12" s="2">
        <v>1.5076639999999999</v>
      </c>
      <c r="CT12" s="2">
        <v>54.62518</v>
      </c>
      <c r="CU12" s="3">
        <v>0.20072870000000001</v>
      </c>
      <c r="CV12" s="2">
        <v>42.5396</v>
      </c>
      <c r="CW12" s="2">
        <v>1.6666449999999999</v>
      </c>
      <c r="CX12" s="2">
        <v>76.421350000000004</v>
      </c>
      <c r="CY12" s="2">
        <v>13.48485</v>
      </c>
    </row>
    <row r="13" spans="1:103" ht="15" customHeight="1" x14ac:dyDescent="0.2">
      <c r="A13" s="1">
        <f t="shared" si="0"/>
        <v>7</v>
      </c>
      <c r="B13" s="1" t="s">
        <v>25</v>
      </c>
      <c r="C13" s="1" t="s">
        <v>24</v>
      </c>
      <c r="D13" s="1" t="s">
        <v>3</v>
      </c>
      <c r="E13" s="1" t="s">
        <v>26</v>
      </c>
      <c r="F13" s="2">
        <v>26572.55</v>
      </c>
      <c r="G13" s="2">
        <v>50.287199999999999</v>
      </c>
      <c r="H13" s="2">
        <v>13362.59</v>
      </c>
      <c r="I13" s="3">
        <v>3.5419999999999998</v>
      </c>
      <c r="J13" s="3">
        <v>0</v>
      </c>
      <c r="K13" s="2">
        <v>6.493506</v>
      </c>
      <c r="L13" s="2">
        <v>7.7429560000000004</v>
      </c>
      <c r="M13" s="2">
        <v>8.1845850000000002</v>
      </c>
      <c r="N13" s="2">
        <v>9.0631280000000007</v>
      </c>
      <c r="O13" s="2">
        <v>9.5729729999999993</v>
      </c>
      <c r="P13" s="2">
        <v>7.5361700000000003</v>
      </c>
      <c r="Q13" s="2">
        <v>7.3438549999999996</v>
      </c>
      <c r="R13" s="2">
        <v>6.6830189999999998</v>
      </c>
      <c r="S13" s="2" t="e">
        <v>#N/A</v>
      </c>
      <c r="T13" s="2" t="e">
        <v>#N/A</v>
      </c>
      <c r="U13" s="2" t="e">
        <v>#N/A</v>
      </c>
      <c r="V13" s="2" t="e">
        <v>#N/A</v>
      </c>
      <c r="W13" s="2">
        <v>0.77505469999999999</v>
      </c>
      <c r="X13" s="2">
        <v>0.74883719999999998</v>
      </c>
      <c r="Y13" s="2">
        <v>0.716279</v>
      </c>
      <c r="Z13" s="2">
        <v>0.68246629999999997</v>
      </c>
      <c r="AA13" s="2" t="e">
        <v>#N/A</v>
      </c>
      <c r="AB13" s="2" t="e">
        <v>#N/A</v>
      </c>
      <c r="AC13" s="2" t="e">
        <v>#N/A</v>
      </c>
      <c r="AD13" s="2" t="e">
        <v>#N/A</v>
      </c>
      <c r="AE13" s="2" t="e">
        <v>#N/A</v>
      </c>
      <c r="AF13" s="2" t="e">
        <v>#N/A</v>
      </c>
      <c r="AG13" s="2" t="e">
        <v>#N/A</v>
      </c>
      <c r="AH13" s="2" t="e">
        <v>#N/A</v>
      </c>
      <c r="AI13" s="2" t="e">
        <v>#N/A</v>
      </c>
      <c r="AJ13" s="2" t="e">
        <v>#N/A</v>
      </c>
      <c r="AK13" s="3">
        <v>0.65981109999999998</v>
      </c>
      <c r="AL13" s="3">
        <v>0.62479229999999997</v>
      </c>
      <c r="AM13" s="2" t="e">
        <v>#N/A</v>
      </c>
      <c r="AN13" s="2" t="e">
        <v>#N/A</v>
      </c>
      <c r="AO13" s="2" t="e">
        <v>#N/A</v>
      </c>
      <c r="AP13" s="2" t="e">
        <v>#N/A</v>
      </c>
      <c r="AQ13" s="2" t="e">
        <v>#N/A</v>
      </c>
      <c r="AR13" s="2" t="e">
        <v>#N/A</v>
      </c>
      <c r="AS13" s="2" t="e">
        <v>#N/A</v>
      </c>
      <c r="AT13" s="2" t="e">
        <v>#N/A</v>
      </c>
      <c r="AU13" s="1" t="s">
        <v>5</v>
      </c>
      <c r="AV13" s="3">
        <v>1.4375</v>
      </c>
      <c r="AW13" s="3">
        <v>4.6500000000000004</v>
      </c>
      <c r="AX13" s="2">
        <v>31.281759999999998</v>
      </c>
      <c r="AY13" s="2">
        <v>9.9365749999999995</v>
      </c>
      <c r="AZ13" s="2">
        <v>13.20623</v>
      </c>
      <c r="BA13" s="2">
        <v>16.513159999999999</v>
      </c>
      <c r="BB13" s="2">
        <v>-3.5403009999999999</v>
      </c>
      <c r="BC13" s="3">
        <v>2.6360000000000001</v>
      </c>
      <c r="BD13" s="2">
        <v>34.370269999999998</v>
      </c>
      <c r="BE13" s="3">
        <v>4.1970000000000001</v>
      </c>
      <c r="BF13" s="2">
        <v>-15.606389999999999</v>
      </c>
      <c r="BG13" s="2">
        <v>62.026249999999997</v>
      </c>
      <c r="BH13" s="2">
        <v>58.101059999999997</v>
      </c>
      <c r="BI13" s="2">
        <v>59.460259999999998</v>
      </c>
      <c r="BJ13" s="2">
        <v>59.391660000000002</v>
      </c>
      <c r="BK13" s="2">
        <v>21</v>
      </c>
      <c r="BL13" s="2">
        <v>15</v>
      </c>
      <c r="BM13" s="4">
        <v>24</v>
      </c>
      <c r="BN13" s="4">
        <v>2</v>
      </c>
      <c r="BO13" s="4">
        <v>1</v>
      </c>
      <c r="BP13" s="4">
        <v>20</v>
      </c>
      <c r="BQ13" s="2">
        <v>8.6956520000000008</v>
      </c>
      <c r="BR13" s="4">
        <v>15</v>
      </c>
      <c r="BS13" s="4">
        <v>1</v>
      </c>
      <c r="BT13" s="4">
        <v>24</v>
      </c>
      <c r="BU13" s="2">
        <v>62.5</v>
      </c>
      <c r="BV13" s="2">
        <v>9.59755</v>
      </c>
      <c r="BW13" s="2">
        <v>7502.1319999999996</v>
      </c>
      <c r="BX13" s="3">
        <v>16.032779999999999</v>
      </c>
      <c r="BY13" s="3">
        <v>0.2137096</v>
      </c>
      <c r="BZ13" s="2">
        <v>1.08524</v>
      </c>
      <c r="CA13" s="3">
        <v>0.2137096</v>
      </c>
      <c r="CB13" s="3">
        <v>0.41802319999999998</v>
      </c>
      <c r="CC13" s="3">
        <v>0.46973670000000001</v>
      </c>
      <c r="CD13" s="2">
        <v>12.370939999999999</v>
      </c>
      <c r="CE13" s="3">
        <v>6140.7740000000003</v>
      </c>
      <c r="CF13" s="3">
        <v>6713.05</v>
      </c>
      <c r="CG13" s="2">
        <v>9.3192819999999994</v>
      </c>
      <c r="CH13" s="3">
        <v>4.1990910000000001</v>
      </c>
      <c r="CI13" s="2">
        <v>10.738250000000001</v>
      </c>
      <c r="CJ13" s="3">
        <v>12576.05</v>
      </c>
      <c r="CK13" s="3">
        <v>13176.69</v>
      </c>
      <c r="CL13" s="2">
        <v>4.7761199999999997</v>
      </c>
      <c r="CM13" s="3">
        <v>3.4755630000000002</v>
      </c>
      <c r="CN13" s="3">
        <v>3.8072149999999998</v>
      </c>
      <c r="CO13" s="3">
        <v>3.605308</v>
      </c>
      <c r="CP13" s="2">
        <v>1.911545</v>
      </c>
      <c r="CQ13" s="2">
        <v>-6.9661140000000001</v>
      </c>
      <c r="CR13" s="2">
        <v>-1.7559530000000001</v>
      </c>
      <c r="CS13" s="2">
        <v>9.5423939999999998</v>
      </c>
      <c r="CT13" s="2">
        <v>60.63494</v>
      </c>
      <c r="CU13" s="3">
        <v>0.22818640000000001</v>
      </c>
      <c r="CV13" s="2">
        <v>13.85737</v>
      </c>
      <c r="CW13" s="2">
        <v>6.2593009999999998</v>
      </c>
      <c r="CX13" s="2">
        <v>13.679180000000001</v>
      </c>
      <c r="CY13" s="2">
        <v>13.73737</v>
      </c>
    </row>
    <row r="14" spans="1:103" ht="15" customHeight="1" x14ac:dyDescent="0.2">
      <c r="A14" s="1">
        <f t="shared" si="0"/>
        <v>8</v>
      </c>
      <c r="B14" s="1" t="s">
        <v>28</v>
      </c>
      <c r="C14" s="1" t="s">
        <v>27</v>
      </c>
      <c r="D14" s="1" t="s">
        <v>29</v>
      </c>
      <c r="E14" s="1" t="s">
        <v>30</v>
      </c>
      <c r="F14" s="2">
        <v>96896.71</v>
      </c>
      <c r="G14" s="2">
        <v>35.4375</v>
      </c>
      <c r="H14" s="2">
        <v>34337.769999999997</v>
      </c>
      <c r="I14" s="3">
        <v>31.09</v>
      </c>
      <c r="J14" s="3">
        <v>0</v>
      </c>
      <c r="K14" s="2">
        <v>3.8597619999999999</v>
      </c>
      <c r="L14" s="2">
        <v>4.3035449999999997</v>
      </c>
      <c r="M14" s="2">
        <v>4.6638789999999997</v>
      </c>
      <c r="N14" s="2">
        <v>4.7603730000000004</v>
      </c>
      <c r="O14" s="2">
        <v>23.428789999999999</v>
      </c>
      <c r="P14" s="2">
        <v>21.56099</v>
      </c>
      <c r="Q14" s="2">
        <v>20.058070000000001</v>
      </c>
      <c r="R14" s="2">
        <v>18.842420000000001</v>
      </c>
      <c r="S14" s="2">
        <v>7.7903580000000003</v>
      </c>
      <c r="T14" s="2">
        <v>9.6508000000000003</v>
      </c>
      <c r="U14" s="2">
        <v>9.0953959999999991</v>
      </c>
      <c r="V14" s="2">
        <v>8.5159590000000005</v>
      </c>
      <c r="W14" s="2">
        <v>5.6904500000000002</v>
      </c>
      <c r="X14" s="2">
        <v>5.4496060000000002</v>
      </c>
      <c r="Y14" s="2">
        <v>5.1989970000000003</v>
      </c>
      <c r="Z14" s="2">
        <v>4.9903690000000003</v>
      </c>
      <c r="AA14" s="2">
        <v>17.272220000000001</v>
      </c>
      <c r="AB14" s="2">
        <v>14.40108</v>
      </c>
      <c r="AC14" s="2">
        <v>14.11185</v>
      </c>
      <c r="AD14" s="2">
        <v>13.91051</v>
      </c>
      <c r="AE14" s="2">
        <v>5.8847149999999999</v>
      </c>
      <c r="AF14" s="2">
        <v>6.3297990000000004</v>
      </c>
      <c r="AG14" s="2">
        <v>6.5636419999999998</v>
      </c>
      <c r="AH14" s="2">
        <v>5.2037880000000003</v>
      </c>
      <c r="AI14" s="2">
        <v>5.5700669999999999</v>
      </c>
      <c r="AJ14" s="2">
        <v>5.6915760000000004</v>
      </c>
      <c r="AK14" s="3">
        <v>2.4120219999999999</v>
      </c>
      <c r="AL14" s="3">
        <v>2.2425790000000001</v>
      </c>
      <c r="AM14" s="2">
        <v>26.55593</v>
      </c>
      <c r="AN14" s="2">
        <v>25.870149999999999</v>
      </c>
      <c r="AO14" s="2">
        <v>26.164899999999999</v>
      </c>
      <c r="AP14" s="2">
        <v>26.12114</v>
      </c>
      <c r="AQ14" s="2">
        <v>-1.1642969999999999</v>
      </c>
      <c r="AR14" s="2">
        <v>-1.2628269999999999</v>
      </c>
      <c r="AS14" s="2">
        <v>-1.240572</v>
      </c>
      <c r="AT14" s="2">
        <v>-1.304819</v>
      </c>
      <c r="AU14" s="1" t="s">
        <v>5</v>
      </c>
      <c r="AV14" s="3">
        <v>1.4166669999999999</v>
      </c>
      <c r="AW14" s="3">
        <v>32.5</v>
      </c>
      <c r="AX14" s="2">
        <v>4.5352220000000001</v>
      </c>
      <c r="AY14" s="2">
        <v>25.275310000000001</v>
      </c>
      <c r="AZ14" s="2">
        <v>8.9944950000000006</v>
      </c>
      <c r="BA14" s="2">
        <v>51.36318</v>
      </c>
      <c r="BB14" s="2">
        <v>25.110659999999999</v>
      </c>
      <c r="BC14" s="3">
        <v>19</v>
      </c>
      <c r="BD14" s="2">
        <v>63.63158</v>
      </c>
      <c r="BE14" s="3">
        <v>31.16</v>
      </c>
      <c r="BF14" s="2">
        <v>-0.22464390000000001</v>
      </c>
      <c r="BG14" s="2">
        <v>90.385210000000001</v>
      </c>
      <c r="BH14" s="2">
        <v>93.17953</v>
      </c>
      <c r="BI14" s="2">
        <v>93.382729999999995</v>
      </c>
      <c r="BJ14" s="2">
        <v>87.85454</v>
      </c>
      <c r="BK14" s="2">
        <v>28</v>
      </c>
      <c r="BL14" s="2">
        <v>26</v>
      </c>
      <c r="BM14" s="4">
        <v>30</v>
      </c>
      <c r="BN14" s="4">
        <v>1</v>
      </c>
      <c r="BO14" s="4">
        <v>0</v>
      </c>
      <c r="BP14" s="4">
        <v>29</v>
      </c>
      <c r="BQ14" s="2">
        <v>3.3333330000000001</v>
      </c>
      <c r="BR14" s="4">
        <v>19</v>
      </c>
      <c r="BS14" s="4">
        <v>1</v>
      </c>
      <c r="BT14" s="4">
        <v>30</v>
      </c>
      <c r="BU14" s="2">
        <v>63.333329999999997</v>
      </c>
      <c r="BV14" s="2">
        <v>9.2040100000000002</v>
      </c>
      <c r="BW14" s="2">
        <v>3116.652</v>
      </c>
      <c r="BX14" s="3">
        <v>3.6090589999999998</v>
      </c>
      <c r="BY14" s="3">
        <v>0.1157992</v>
      </c>
      <c r="BZ14" s="2">
        <v>1.20831</v>
      </c>
      <c r="CA14" s="3">
        <v>0.1157992</v>
      </c>
      <c r="CB14" s="3">
        <v>1.3531470000000001</v>
      </c>
      <c r="CC14" s="3">
        <v>1.4330540000000001</v>
      </c>
      <c r="CD14" s="2">
        <v>5.9052939999999996</v>
      </c>
      <c r="CE14" s="3">
        <v>5548.4350000000004</v>
      </c>
      <c r="CF14" s="3">
        <v>5872.13</v>
      </c>
      <c r="CG14" s="2">
        <v>5.8339949999999998</v>
      </c>
      <c r="CH14" s="3">
        <v>28.45833</v>
      </c>
      <c r="CI14" s="2">
        <v>14.20205</v>
      </c>
      <c r="CJ14" s="3">
        <v>33223.79</v>
      </c>
      <c r="CK14" s="3">
        <v>34318.1</v>
      </c>
      <c r="CL14" s="2">
        <v>3.293777</v>
      </c>
      <c r="CM14" s="3">
        <v>25.459309999999999</v>
      </c>
      <c r="CN14" s="3">
        <v>29.28078</v>
      </c>
      <c r="CO14" s="3">
        <v>29.76923</v>
      </c>
      <c r="CP14" s="2">
        <v>22.116420000000002</v>
      </c>
      <c r="CQ14" s="2">
        <v>6.1788679999999996</v>
      </c>
      <c r="CR14" s="2">
        <v>4.4366960000000004</v>
      </c>
      <c r="CS14" s="2">
        <v>15.01009</v>
      </c>
      <c r="CT14" s="2">
        <v>77.517430000000004</v>
      </c>
      <c r="CU14" s="3">
        <v>8.0000070000000006E-2</v>
      </c>
      <c r="CV14" s="2">
        <v>-5.6325279999999998</v>
      </c>
      <c r="CW14" s="2">
        <v>0.20200309999999999</v>
      </c>
      <c r="CX14" s="2">
        <v>-2.6297280000000001</v>
      </c>
      <c r="CY14" s="2">
        <v>13.84848</v>
      </c>
    </row>
    <row r="15" spans="1:103" ht="15" customHeight="1" x14ac:dyDescent="0.2">
      <c r="A15" s="1">
        <f t="shared" si="0"/>
        <v>9</v>
      </c>
      <c r="B15" s="1" t="s">
        <v>32</v>
      </c>
      <c r="C15" s="1" t="s">
        <v>31</v>
      </c>
      <c r="D15" s="1" t="s">
        <v>14</v>
      </c>
      <c r="E15" s="1" t="s">
        <v>33</v>
      </c>
      <c r="F15" s="2">
        <v>8198.5740000000005</v>
      </c>
      <c r="G15" s="2" t="e">
        <v>#N/A</v>
      </c>
      <c r="H15" s="2" t="e">
        <v>#N/A</v>
      </c>
      <c r="I15" s="3">
        <v>1.6539999999999999</v>
      </c>
      <c r="J15" s="3">
        <v>0</v>
      </c>
      <c r="K15" s="2">
        <v>0</v>
      </c>
      <c r="L15" s="2">
        <v>0</v>
      </c>
      <c r="M15" s="2">
        <v>0</v>
      </c>
      <c r="N15" s="2">
        <v>3.4230849999999999</v>
      </c>
      <c r="O15" s="2">
        <v>29.535720000000001</v>
      </c>
      <c r="P15" s="2">
        <v>9.1888889999999996</v>
      </c>
      <c r="Q15" s="2">
        <v>5.703449</v>
      </c>
      <c r="R15" s="2">
        <v>4.6591550000000002</v>
      </c>
      <c r="S15" s="2">
        <v>5.2377390000000004</v>
      </c>
      <c r="T15" s="2">
        <v>4.3658580000000002</v>
      </c>
      <c r="U15" s="2">
        <v>3.754426</v>
      </c>
      <c r="V15" s="2">
        <v>3.2604839999999999</v>
      </c>
      <c r="W15" s="2">
        <v>4.073385</v>
      </c>
      <c r="X15" s="2">
        <v>2.8517239999999999</v>
      </c>
      <c r="Y15" s="2">
        <v>1.9927710000000001</v>
      </c>
      <c r="Z15" s="2">
        <v>1.4154139999999999</v>
      </c>
      <c r="AA15" s="2">
        <v>2.9707170000000001</v>
      </c>
      <c r="AB15" s="2">
        <v>2.6061709999999998</v>
      </c>
      <c r="AC15" s="2">
        <v>2.2798020000000001</v>
      </c>
      <c r="AD15" s="2">
        <v>2.1728619999999998</v>
      </c>
      <c r="AE15" s="2">
        <v>-0.793207</v>
      </c>
      <c r="AF15" s="2">
        <v>1.6622250000000001</v>
      </c>
      <c r="AG15" s="2">
        <v>5.902164</v>
      </c>
      <c r="AH15" s="2">
        <v>-1.8245640000000001</v>
      </c>
      <c r="AI15" s="2">
        <v>3.8024089999999999</v>
      </c>
      <c r="AJ15" s="2">
        <v>12.8725</v>
      </c>
      <c r="AK15" s="3">
        <v>0.15142810000000001</v>
      </c>
      <c r="AL15" s="3">
        <v>9.9277470000000007E-2</v>
      </c>
      <c r="AM15" s="2">
        <v>14.31978</v>
      </c>
      <c r="AN15" s="2">
        <v>15.47457</v>
      </c>
      <c r="AO15" s="2">
        <v>17.208929999999999</v>
      </c>
      <c r="AP15" s="2">
        <v>18.35914</v>
      </c>
      <c r="AQ15" s="2">
        <v>3.1441110000000001</v>
      </c>
      <c r="AR15" s="2">
        <v>2.470472</v>
      </c>
      <c r="AS15" s="2">
        <v>2.1154310000000001</v>
      </c>
      <c r="AT15" s="2">
        <v>1.767496</v>
      </c>
      <c r="AU15" s="1" t="s">
        <v>19</v>
      </c>
      <c r="AV15" s="3">
        <v>1.518519</v>
      </c>
      <c r="AW15" s="3">
        <v>2.1648239999999999</v>
      </c>
      <c r="AX15" s="2">
        <v>30.884180000000001</v>
      </c>
      <c r="AY15" s="2">
        <v>31.034479999999999</v>
      </c>
      <c r="AZ15" s="2">
        <v>57.622280000000003</v>
      </c>
      <c r="BA15" s="2">
        <v>-5.8890399999999996</v>
      </c>
      <c r="BB15" s="2">
        <v>18.950009999999999</v>
      </c>
      <c r="BC15" s="3">
        <v>1.0369999999999999</v>
      </c>
      <c r="BD15" s="2">
        <v>59.498570000000001</v>
      </c>
      <c r="BE15" s="3">
        <v>1.9535</v>
      </c>
      <c r="BF15" s="2">
        <v>-15.33145</v>
      </c>
      <c r="BG15" s="2">
        <v>0</v>
      </c>
      <c r="BH15" s="2">
        <v>3.2750010000000001</v>
      </c>
      <c r="BI15" s="2">
        <v>3.7768470000000001</v>
      </c>
      <c r="BJ15" s="2">
        <v>13.77886</v>
      </c>
      <c r="BK15" s="2">
        <v>25</v>
      </c>
      <c r="BL15" s="2">
        <v>23</v>
      </c>
      <c r="BM15" s="4">
        <v>27</v>
      </c>
      <c r="BN15" s="4">
        <v>0</v>
      </c>
      <c r="BO15" s="4">
        <v>2</v>
      </c>
      <c r="BP15" s="4">
        <v>24</v>
      </c>
      <c r="BQ15" s="2">
        <v>0</v>
      </c>
      <c r="BR15" s="4">
        <v>16</v>
      </c>
      <c r="BS15" s="4">
        <v>2</v>
      </c>
      <c r="BT15" s="4">
        <v>27</v>
      </c>
      <c r="BU15" s="2">
        <v>59.259259999999998</v>
      </c>
      <c r="BV15" s="2">
        <v>18.640899999999998</v>
      </c>
      <c r="BW15" s="2">
        <v>4956.8159999999998</v>
      </c>
      <c r="BX15" s="3">
        <v>14.718970000000001</v>
      </c>
      <c r="BY15" s="3">
        <v>0.29694399999999999</v>
      </c>
      <c r="BZ15" s="2">
        <v>2.5951300000000002</v>
      </c>
      <c r="CA15" s="3">
        <v>0.29694399999999999</v>
      </c>
      <c r="CB15" s="3">
        <v>0.1591622</v>
      </c>
      <c r="CC15" s="3">
        <v>0.18955649999999999</v>
      </c>
      <c r="CD15" s="2">
        <v>19.09639</v>
      </c>
      <c r="CE15" s="3">
        <v>1836.0340000000001</v>
      </c>
      <c r="CF15" s="3">
        <v>2142.2370000000001</v>
      </c>
      <c r="CG15" s="2">
        <v>16.677389999999999</v>
      </c>
      <c r="CH15" s="3">
        <v>1.8513489999999999</v>
      </c>
      <c r="CI15" s="2">
        <v>16.93225</v>
      </c>
      <c r="CJ15" s="3">
        <v>26574.07</v>
      </c>
      <c r="CK15" s="3">
        <v>27770.87</v>
      </c>
      <c r="CL15" s="2">
        <v>4.5036079999999998</v>
      </c>
      <c r="CM15" s="3">
        <v>1.50248</v>
      </c>
      <c r="CN15" s="3">
        <v>1.7226079999999999</v>
      </c>
      <c r="CO15" s="3">
        <v>1.630654</v>
      </c>
      <c r="CP15" s="2">
        <v>10.084680000000001</v>
      </c>
      <c r="CQ15" s="2">
        <v>-3.9828000000000001</v>
      </c>
      <c r="CR15" s="2">
        <v>1.4317040000000001</v>
      </c>
      <c r="CS15" s="2">
        <v>14.651</v>
      </c>
      <c r="CT15" s="2">
        <v>26.186859999999999</v>
      </c>
      <c r="CU15" s="3">
        <v>0.31940740000000001</v>
      </c>
      <c r="CV15" s="2">
        <v>15.96871</v>
      </c>
      <c r="CW15" s="2">
        <v>2.14845</v>
      </c>
      <c r="CX15" s="2">
        <v>2.7256300000000002</v>
      </c>
      <c r="CY15" s="2">
        <v>13.85263</v>
      </c>
    </row>
    <row r="16" spans="1:103" ht="15" customHeight="1" x14ac:dyDescent="0.2">
      <c r="A16" s="1">
        <f t="shared" si="0"/>
        <v>10</v>
      </c>
      <c r="B16" s="1" t="s">
        <v>35</v>
      </c>
      <c r="C16" s="1" t="s">
        <v>34</v>
      </c>
      <c r="D16" s="1" t="s">
        <v>36</v>
      </c>
      <c r="E16" s="1" t="s">
        <v>37</v>
      </c>
      <c r="F16" s="2">
        <v>23648.2</v>
      </c>
      <c r="G16" s="2" t="e">
        <v>#N/A</v>
      </c>
      <c r="H16" s="2" t="e">
        <v>#N/A</v>
      </c>
      <c r="I16" s="3">
        <v>26.94</v>
      </c>
      <c r="J16" s="3">
        <v>0</v>
      </c>
      <c r="K16" s="2">
        <v>1.517617</v>
      </c>
      <c r="L16" s="2">
        <v>1.5821769999999999</v>
      </c>
      <c r="M16" s="2">
        <v>1.7414940000000001</v>
      </c>
      <c r="N16" s="2">
        <v>1.8407720000000001</v>
      </c>
      <c r="O16" s="2">
        <v>2.8480180000000002</v>
      </c>
      <c r="P16" s="2">
        <v>6.9336289999999998</v>
      </c>
      <c r="Q16" s="2">
        <v>5.9910610000000002</v>
      </c>
      <c r="R16" s="2">
        <v>4.9071040000000004</v>
      </c>
      <c r="S16" s="2">
        <v>1.801614</v>
      </c>
      <c r="T16" s="2">
        <v>3.8136100000000002</v>
      </c>
      <c r="U16" s="2">
        <v>3.5393530000000002</v>
      </c>
      <c r="V16" s="2">
        <v>2.854298</v>
      </c>
      <c r="W16" s="2">
        <v>0.4810874</v>
      </c>
      <c r="X16" s="2">
        <v>0.42748530000000001</v>
      </c>
      <c r="Y16" s="2">
        <v>0.4045607</v>
      </c>
      <c r="Z16" s="2">
        <v>0.35609819999999998</v>
      </c>
      <c r="AA16" s="2">
        <v>2.405357</v>
      </c>
      <c r="AB16" s="2">
        <v>3.7571850000000002</v>
      </c>
      <c r="AC16" s="2">
        <v>3.4116219999999999</v>
      </c>
      <c r="AD16" s="2">
        <v>2.9966629999999999</v>
      </c>
      <c r="AE16" s="2">
        <v>8.0210860000000004</v>
      </c>
      <c r="AF16" s="2">
        <v>8.2754799999999999</v>
      </c>
      <c r="AG16" s="2">
        <v>11.755839999999999</v>
      </c>
      <c r="AH16" s="2">
        <v>9.2457010000000004</v>
      </c>
      <c r="AI16" s="2">
        <v>9.3320709999999991</v>
      </c>
      <c r="AJ16" s="2">
        <v>12.290380000000001</v>
      </c>
      <c r="AK16" s="3" t="e">
        <v>#N/A</v>
      </c>
      <c r="AL16" s="3" t="e">
        <v>#N/A</v>
      </c>
      <c r="AM16" s="2">
        <v>17.76464</v>
      </c>
      <c r="AN16" s="2">
        <v>10.96128</v>
      </c>
      <c r="AO16" s="2">
        <v>11.885249999999999</v>
      </c>
      <c r="AP16" s="2">
        <v>12.828860000000001</v>
      </c>
      <c r="AQ16" s="2">
        <v>0.16484190000000001</v>
      </c>
      <c r="AR16" s="2">
        <v>0.50471540000000004</v>
      </c>
      <c r="AS16" s="2">
        <v>0.40040140000000002</v>
      </c>
      <c r="AT16" s="2">
        <v>0.1240296</v>
      </c>
      <c r="AU16" s="1" t="s">
        <v>5</v>
      </c>
      <c r="AV16" s="3">
        <v>1.3125</v>
      </c>
      <c r="AW16" s="3">
        <v>34.616259999999997</v>
      </c>
      <c r="AX16" s="2">
        <v>28.493919999999999</v>
      </c>
      <c r="AY16" s="2">
        <v>6.1653909999999996</v>
      </c>
      <c r="AZ16" s="2">
        <v>-11.139889999999999</v>
      </c>
      <c r="BA16" s="2">
        <v>-11.701079999999999</v>
      </c>
      <c r="BB16" s="2">
        <v>9.5567340000000005</v>
      </c>
      <c r="BC16" s="3">
        <v>19.420000000000002</v>
      </c>
      <c r="BD16" s="2">
        <v>38.722969999999997</v>
      </c>
      <c r="BE16" s="3">
        <v>31.2</v>
      </c>
      <c r="BF16" s="2">
        <v>-13.653840000000001</v>
      </c>
      <c r="BG16" s="2">
        <v>4.3336629999999996</v>
      </c>
      <c r="BH16" s="2">
        <v>12.59943</v>
      </c>
      <c r="BI16" s="2">
        <v>11.432840000000001</v>
      </c>
      <c r="BJ16" s="2">
        <v>9.5877610000000004</v>
      </c>
      <c r="BK16" s="2">
        <v>12</v>
      </c>
      <c r="BL16" s="2">
        <v>11</v>
      </c>
      <c r="BM16" s="4">
        <v>16</v>
      </c>
      <c r="BN16" s="4">
        <v>1</v>
      </c>
      <c r="BO16" s="4">
        <v>1</v>
      </c>
      <c r="BP16" s="4">
        <v>12</v>
      </c>
      <c r="BQ16" s="2">
        <v>7.1428580000000004</v>
      </c>
      <c r="BR16" s="4">
        <v>11</v>
      </c>
      <c r="BS16" s="4">
        <v>0</v>
      </c>
      <c r="BT16" s="4">
        <v>16</v>
      </c>
      <c r="BU16" s="2">
        <v>68.75</v>
      </c>
      <c r="BV16" s="2">
        <v>12.6043</v>
      </c>
      <c r="BW16" s="2">
        <v>877.8098</v>
      </c>
      <c r="BX16" s="3">
        <v>0.41908450000000003</v>
      </c>
      <c r="BY16" s="3">
        <v>4.7742060000000003E-2</v>
      </c>
      <c r="BZ16" s="2">
        <v>1.4381999999999999</v>
      </c>
      <c r="CA16" s="3">
        <v>4.7742060000000003E-2</v>
      </c>
      <c r="CB16" s="3">
        <v>2.9853200000000002</v>
      </c>
      <c r="CC16" s="3">
        <v>3.7435450000000001</v>
      </c>
      <c r="CD16" s="2">
        <v>25.39845</v>
      </c>
      <c r="CE16" s="3">
        <v>3697.2840000000001</v>
      </c>
      <c r="CF16" s="3">
        <v>4436.0540000000001</v>
      </c>
      <c r="CG16" s="2">
        <v>19.98142</v>
      </c>
      <c r="CH16" s="3">
        <v>32.462699999999998</v>
      </c>
      <c r="CI16" s="2">
        <v>6.6339610000000002</v>
      </c>
      <c r="CJ16" s="3">
        <v>57671.62</v>
      </c>
      <c r="CK16" s="3">
        <v>65494.73</v>
      </c>
      <c r="CL16" s="2">
        <v>13.564920000000001</v>
      </c>
      <c r="CM16" s="3">
        <v>24.9998</v>
      </c>
      <c r="CN16" s="3">
        <v>27.422840000000001</v>
      </c>
      <c r="CO16" s="3">
        <v>26.438079999999999</v>
      </c>
      <c r="CP16" s="2">
        <v>7.7608470000000001</v>
      </c>
      <c r="CQ16" s="2">
        <v>-1.760721</v>
      </c>
      <c r="CR16" s="2">
        <v>1.8984909999999999</v>
      </c>
      <c r="CS16" s="2">
        <v>9.6922280000000001</v>
      </c>
      <c r="CT16" s="2">
        <v>9.6669590000000003</v>
      </c>
      <c r="CU16" s="3">
        <v>4.0878209999999998E-2</v>
      </c>
      <c r="CV16" s="2">
        <v>-9.688815</v>
      </c>
      <c r="CW16" s="2">
        <v>9.3846450000000008</v>
      </c>
      <c r="CX16" s="2">
        <v>21.54468</v>
      </c>
      <c r="CY16" s="2">
        <v>14</v>
      </c>
    </row>
    <row r="17" spans="1:103" ht="15" customHeight="1" x14ac:dyDescent="0.2">
      <c r="A17" s="1">
        <f t="shared" si="0"/>
        <v>11</v>
      </c>
      <c r="B17" s="1" t="s">
        <v>39</v>
      </c>
      <c r="C17" s="1" t="s">
        <v>38</v>
      </c>
      <c r="D17" s="1" t="s">
        <v>40</v>
      </c>
      <c r="E17" s="1" t="s">
        <v>41</v>
      </c>
      <c r="F17" s="2">
        <v>1997.4359999999999</v>
      </c>
      <c r="G17" s="2">
        <v>71.966700000000003</v>
      </c>
      <c r="H17" s="2">
        <v>1437.4880000000001</v>
      </c>
      <c r="I17" s="3">
        <v>2.996</v>
      </c>
      <c r="J17" s="3">
        <v>0</v>
      </c>
      <c r="K17" s="2">
        <v>3.3377840000000001</v>
      </c>
      <c r="L17" s="2">
        <v>3.8384510000000001</v>
      </c>
      <c r="M17" s="2">
        <v>3.9323760000000001</v>
      </c>
      <c r="N17" s="2">
        <v>4.7424239999999998</v>
      </c>
      <c r="O17" s="2">
        <v>16.194600000000001</v>
      </c>
      <c r="P17" s="2">
        <v>12.48333</v>
      </c>
      <c r="Q17" s="2">
        <v>10.09145</v>
      </c>
      <c r="R17" s="2">
        <v>9.6548610000000004</v>
      </c>
      <c r="S17" s="2">
        <v>7.3047329999999997</v>
      </c>
      <c r="T17" s="2">
        <v>7.8558950000000003</v>
      </c>
      <c r="U17" s="2">
        <v>7.6976170000000002</v>
      </c>
      <c r="V17" s="2">
        <v>6.9437449999999998</v>
      </c>
      <c r="W17" s="2">
        <v>3.609639</v>
      </c>
      <c r="X17" s="2">
        <v>2.7236359999999999</v>
      </c>
      <c r="Y17" s="2">
        <v>2.1553960000000001</v>
      </c>
      <c r="Z17" s="2">
        <v>1.7940119999999999</v>
      </c>
      <c r="AA17" s="2">
        <v>14.98</v>
      </c>
      <c r="AB17" s="2">
        <v>13.02609</v>
      </c>
      <c r="AC17" s="2">
        <v>10.294650000000001</v>
      </c>
      <c r="AD17" s="2">
        <v>4.4058820000000001</v>
      </c>
      <c r="AE17" s="2">
        <v>1.1703140000000001</v>
      </c>
      <c r="AF17" s="2">
        <v>1.2153940000000001</v>
      </c>
      <c r="AG17" s="2">
        <v>2.0893619999999999</v>
      </c>
      <c r="AH17" s="2">
        <v>5.8916250000000003</v>
      </c>
      <c r="AI17" s="2">
        <v>6.2201190000000004</v>
      </c>
      <c r="AJ17" s="2">
        <v>11.047499999999999</v>
      </c>
      <c r="AK17" s="3" t="e">
        <v>#N/A</v>
      </c>
      <c r="AL17" s="3" t="e">
        <v>#N/A</v>
      </c>
      <c r="AM17" s="2">
        <v>22.849250000000001</v>
      </c>
      <c r="AN17" s="2">
        <v>22.467960000000001</v>
      </c>
      <c r="AO17" s="2">
        <v>23.087620000000001</v>
      </c>
      <c r="AP17" s="2">
        <v>25.81466</v>
      </c>
      <c r="AQ17" s="2">
        <v>5.9789310000000002</v>
      </c>
      <c r="AR17" s="2">
        <v>6.2953979999999996</v>
      </c>
      <c r="AS17" s="2">
        <v>6.193524</v>
      </c>
      <c r="AT17" s="2">
        <v>5.6305059999999996</v>
      </c>
      <c r="AU17" s="1" t="s">
        <v>5</v>
      </c>
      <c r="AV17" s="3">
        <v>1.111111</v>
      </c>
      <c r="AW17" s="3">
        <v>3.57</v>
      </c>
      <c r="AX17" s="2">
        <v>19.15888</v>
      </c>
      <c r="AY17" s="2">
        <v>21.818180000000002</v>
      </c>
      <c r="AZ17" s="2" t="e">
        <v>#N/A</v>
      </c>
      <c r="BA17" s="2">
        <v>16.304349999999999</v>
      </c>
      <c r="BB17" s="2">
        <v>15.23077</v>
      </c>
      <c r="BC17" s="3">
        <v>2.0499999999999998</v>
      </c>
      <c r="BD17" s="2">
        <v>46.146349999999998</v>
      </c>
      <c r="BE17" s="3">
        <v>3.1619999999999999</v>
      </c>
      <c r="BF17" s="2">
        <v>-5.2498399999999998</v>
      </c>
      <c r="BG17" s="2">
        <v>44.683149999999998</v>
      </c>
      <c r="BH17" s="2">
        <v>47.73939</v>
      </c>
      <c r="BI17" s="2">
        <v>44.596769999999999</v>
      </c>
      <c r="BJ17" s="2">
        <v>44.986849999999997</v>
      </c>
      <c r="BK17" s="2">
        <v>9</v>
      </c>
      <c r="BL17" s="2">
        <v>9</v>
      </c>
      <c r="BM17" s="4">
        <v>9</v>
      </c>
      <c r="BN17" s="4">
        <v>0</v>
      </c>
      <c r="BO17" s="4">
        <v>0</v>
      </c>
      <c r="BP17" s="4">
        <v>8</v>
      </c>
      <c r="BQ17" s="2">
        <v>0</v>
      </c>
      <c r="BR17" s="4">
        <v>8</v>
      </c>
      <c r="BS17" s="4">
        <v>0</v>
      </c>
      <c r="BT17" s="4">
        <v>9</v>
      </c>
      <c r="BU17" s="2">
        <v>88.888890000000004</v>
      </c>
      <c r="BV17" s="2">
        <v>10.475199999999999</v>
      </c>
      <c r="BW17" s="2">
        <v>666.70079999999996</v>
      </c>
      <c r="BX17" s="3">
        <v>2.335607</v>
      </c>
      <c r="BY17" s="3">
        <v>0.3503231</v>
      </c>
      <c r="BZ17" s="2">
        <v>1.3654299999999999</v>
      </c>
      <c r="CA17" s="3">
        <v>0.3503231</v>
      </c>
      <c r="CB17" s="3">
        <v>0.21244759999999999</v>
      </c>
      <c r="CC17" s="3">
        <v>0.24509839999999999</v>
      </c>
      <c r="CD17" s="2">
        <v>15.36891</v>
      </c>
      <c r="CE17" s="3">
        <v>1018.809</v>
      </c>
      <c r="CF17" s="3">
        <v>1093.076</v>
      </c>
      <c r="CG17" s="2">
        <v>7.2896239999999999</v>
      </c>
      <c r="CH17" s="3">
        <v>3.4387500000000002</v>
      </c>
      <c r="CI17" s="2">
        <v>3.8167949999999999</v>
      </c>
      <c r="CJ17" s="3">
        <v>5438.36</v>
      </c>
      <c r="CK17" s="3">
        <v>5618.9859999999999</v>
      </c>
      <c r="CL17" s="2">
        <v>3.3213379999999999</v>
      </c>
      <c r="CM17" s="3">
        <v>2.5620799999999999</v>
      </c>
      <c r="CN17" s="3">
        <v>2.9380000000000002</v>
      </c>
      <c r="CO17" s="3">
        <v>2.905923</v>
      </c>
      <c r="CP17" s="2">
        <v>16.936250000000001</v>
      </c>
      <c r="CQ17" s="2">
        <v>1.9741420000000001</v>
      </c>
      <c r="CR17" s="2">
        <v>3.0997750000000002</v>
      </c>
      <c r="CS17" s="2">
        <v>14.672459999999999</v>
      </c>
      <c r="CT17" s="2">
        <v>7.5273079999999997</v>
      </c>
      <c r="CU17" s="3">
        <v>0.37684849999999998</v>
      </c>
      <c r="CV17" s="2" t="e">
        <v>#N/A</v>
      </c>
      <c r="CW17" s="2" t="e">
        <v>#N/A</v>
      </c>
      <c r="CX17" s="2" t="e">
        <v>#N/A</v>
      </c>
      <c r="CY17" s="2">
        <v>14.494949999999999</v>
      </c>
    </row>
    <row r="18" spans="1:103" ht="15" customHeight="1" x14ac:dyDescent="0.2">
      <c r="A18" s="1">
        <f t="shared" si="0"/>
        <v>12</v>
      </c>
      <c r="B18" s="1" t="s">
        <v>43</v>
      </c>
      <c r="C18" s="1" t="s">
        <v>42</v>
      </c>
      <c r="D18" s="1" t="s">
        <v>14</v>
      </c>
      <c r="E18" s="1" t="s">
        <v>44</v>
      </c>
      <c r="F18" s="2">
        <v>3066.5250000000001</v>
      </c>
      <c r="G18" s="2">
        <v>43.956699999999998</v>
      </c>
      <c r="H18" s="2">
        <v>1347.943</v>
      </c>
      <c r="I18" s="3">
        <v>23.1</v>
      </c>
      <c r="J18" s="3">
        <v>0</v>
      </c>
      <c r="K18" s="2">
        <v>5.9740260000000003</v>
      </c>
      <c r="L18" s="2">
        <v>7.662337</v>
      </c>
      <c r="M18" s="2">
        <v>7.7056269999999998</v>
      </c>
      <c r="N18" s="2">
        <v>8.030303</v>
      </c>
      <c r="O18" s="2">
        <v>12.90503</v>
      </c>
      <c r="P18" s="2">
        <v>10.81461</v>
      </c>
      <c r="Q18" s="2">
        <v>10.438319999999999</v>
      </c>
      <c r="R18" s="2">
        <v>10.05222</v>
      </c>
      <c r="S18" s="2">
        <v>1.993212</v>
      </c>
      <c r="T18" s="2">
        <v>4.3632419999999996</v>
      </c>
      <c r="U18" s="2">
        <v>4.018465</v>
      </c>
      <c r="V18" s="2">
        <v>3.7952349999999999</v>
      </c>
      <c r="W18" s="2">
        <v>5.4609930000000002</v>
      </c>
      <c r="X18" s="2">
        <v>4.9358979999999999</v>
      </c>
      <c r="Y18" s="2">
        <v>4.7727269999999997</v>
      </c>
      <c r="Z18" s="2">
        <v>4.62</v>
      </c>
      <c r="AA18" s="2">
        <v>8.9708740000000002</v>
      </c>
      <c r="AB18" s="2">
        <v>8.1958780000000004</v>
      </c>
      <c r="AC18" s="2">
        <v>8.0985879999999995</v>
      </c>
      <c r="AD18" s="2">
        <v>7.7724520000000004</v>
      </c>
      <c r="AE18" s="2">
        <v>5.5417509999999996</v>
      </c>
      <c r="AF18" s="2">
        <v>18.601310000000002</v>
      </c>
      <c r="AG18" s="2">
        <v>17.745940000000001</v>
      </c>
      <c r="AH18" s="2">
        <v>3.3511869999999999</v>
      </c>
      <c r="AI18" s="2">
        <v>10.718730000000001</v>
      </c>
      <c r="AJ18" s="2">
        <v>10.20839</v>
      </c>
      <c r="AK18" s="3">
        <v>1.4786630000000001</v>
      </c>
      <c r="AL18" s="3">
        <v>1.4283699999999999</v>
      </c>
      <c r="AM18" s="2">
        <v>31.012139999999999</v>
      </c>
      <c r="AN18" s="2">
        <v>27.508089999999999</v>
      </c>
      <c r="AO18" s="2">
        <v>27.725729999999999</v>
      </c>
      <c r="AP18" s="2">
        <v>28.70908</v>
      </c>
      <c r="AQ18" s="2">
        <v>-6.1866839999999996</v>
      </c>
      <c r="AR18" s="2">
        <v>-2.8521109999999998</v>
      </c>
      <c r="AS18" s="2">
        <v>-2.9551889999999998</v>
      </c>
      <c r="AT18" s="2">
        <v>-2.8022809999999998</v>
      </c>
      <c r="AU18" s="1" t="s">
        <v>5</v>
      </c>
      <c r="AV18" s="3">
        <v>1.125</v>
      </c>
      <c r="AW18" s="3">
        <v>28.39</v>
      </c>
      <c r="AX18" s="2">
        <v>22.90043</v>
      </c>
      <c r="AY18" s="2">
        <v>45.641030000000001</v>
      </c>
      <c r="AZ18" s="2">
        <v>7.5</v>
      </c>
      <c r="BA18" s="2">
        <v>36.686399999999999</v>
      </c>
      <c r="BB18" s="2">
        <v>-2.1186410000000002</v>
      </c>
      <c r="BC18" s="3">
        <v>16.71</v>
      </c>
      <c r="BD18" s="2">
        <v>38.240589999999997</v>
      </c>
      <c r="BE18" s="3">
        <v>25.54</v>
      </c>
      <c r="BF18" s="2">
        <v>-9.5536410000000007</v>
      </c>
      <c r="BG18" s="2">
        <v>77.257040000000003</v>
      </c>
      <c r="BH18" s="2">
        <v>80.663219999999995</v>
      </c>
      <c r="BI18" s="2">
        <v>83.601070000000007</v>
      </c>
      <c r="BJ18" s="2">
        <v>81.520939999999996</v>
      </c>
      <c r="BK18" s="2">
        <v>11</v>
      </c>
      <c r="BL18" s="2">
        <v>10</v>
      </c>
      <c r="BM18" s="4">
        <v>12</v>
      </c>
      <c r="BN18" s="4">
        <v>1</v>
      </c>
      <c r="BO18" s="4">
        <v>1</v>
      </c>
      <c r="BP18" s="4">
        <v>11</v>
      </c>
      <c r="BQ18" s="2">
        <v>7.6923079999999997</v>
      </c>
      <c r="BR18" s="4">
        <v>11</v>
      </c>
      <c r="BS18" s="4">
        <v>0</v>
      </c>
      <c r="BT18" s="4">
        <v>12</v>
      </c>
      <c r="BU18" s="2">
        <v>91.666669999999996</v>
      </c>
      <c r="BV18" s="2">
        <v>5.42042</v>
      </c>
      <c r="BW18" s="2">
        <v>132.75</v>
      </c>
      <c r="BX18" s="3">
        <v>0.22985069999999999</v>
      </c>
      <c r="BY18" s="3">
        <v>0.17314550000000001</v>
      </c>
      <c r="BZ18" s="2">
        <v>0.45578800000000003</v>
      </c>
      <c r="CA18" s="3">
        <v>0.17314550000000001</v>
      </c>
      <c r="CB18" s="3">
        <v>2.017611</v>
      </c>
      <c r="CC18" s="3">
        <v>2.0829629999999999</v>
      </c>
      <c r="CD18" s="2">
        <v>3.2390829999999999</v>
      </c>
      <c r="CE18" s="3">
        <v>311.41669999999999</v>
      </c>
      <c r="CF18" s="3">
        <v>322.40230000000003</v>
      </c>
      <c r="CG18" s="2">
        <v>3.5276169999999998</v>
      </c>
      <c r="CH18" s="3">
        <v>25.94</v>
      </c>
      <c r="CI18" s="2">
        <v>9.4448679999999996</v>
      </c>
      <c r="CJ18" s="3">
        <v>1526.491</v>
      </c>
      <c r="CK18" s="3">
        <v>1556.5889999999999</v>
      </c>
      <c r="CL18" s="2">
        <v>1.971757</v>
      </c>
      <c r="CM18" s="3">
        <v>21.77169</v>
      </c>
      <c r="CN18" s="3">
        <v>23.37764</v>
      </c>
      <c r="CO18" s="3">
        <v>22.746919999999999</v>
      </c>
      <c r="CP18" s="2">
        <v>6.1010960000000001</v>
      </c>
      <c r="CQ18" s="2">
        <v>-1.187629</v>
      </c>
      <c r="CR18" s="2">
        <v>1.5522</v>
      </c>
      <c r="CS18" s="2">
        <v>7.3763249999999996</v>
      </c>
      <c r="CT18" s="2">
        <v>5.9909119999999998</v>
      </c>
      <c r="CU18" s="3">
        <v>0.19536490000000001</v>
      </c>
      <c r="CV18" s="2" t="e">
        <v>#N/A</v>
      </c>
      <c r="CW18" s="2">
        <v>4.9103779999999997</v>
      </c>
      <c r="CX18" s="2">
        <v>0.70217499999999999</v>
      </c>
      <c r="CY18" s="2">
        <v>15.63636</v>
      </c>
    </row>
    <row r="19" spans="1:103" ht="15" customHeight="1" x14ac:dyDescent="0.2">
      <c r="A19" s="1">
        <f t="shared" si="0"/>
        <v>13</v>
      </c>
      <c r="B19" s="1" t="s">
        <v>46</v>
      </c>
      <c r="C19" s="1" t="s">
        <v>45</v>
      </c>
      <c r="D19" s="1" t="s">
        <v>47</v>
      </c>
      <c r="E19" s="1" t="s">
        <v>48</v>
      </c>
      <c r="F19" s="2">
        <v>73907.570000000007</v>
      </c>
      <c r="G19" s="2">
        <v>97.539699999999996</v>
      </c>
      <c r="H19" s="2">
        <v>72089.23</v>
      </c>
      <c r="I19" s="3">
        <v>11.465</v>
      </c>
      <c r="J19" s="3">
        <v>0</v>
      </c>
      <c r="K19" s="2">
        <v>4.2738769999999997</v>
      </c>
      <c r="L19" s="2">
        <v>4.448321</v>
      </c>
      <c r="M19" s="2">
        <v>4.7099869999999999</v>
      </c>
      <c r="N19" s="2">
        <v>5.0588749999999996</v>
      </c>
      <c r="O19" s="2">
        <v>16.810849999999999</v>
      </c>
      <c r="P19" s="2">
        <v>16.34355</v>
      </c>
      <c r="Q19" s="2">
        <v>15.36896</v>
      </c>
      <c r="R19" s="2">
        <v>13.98171</v>
      </c>
      <c r="S19" s="2">
        <v>8.619021</v>
      </c>
      <c r="T19" s="2">
        <v>8.9618599999999997</v>
      </c>
      <c r="U19" s="2">
        <v>8.6781269999999999</v>
      </c>
      <c r="V19" s="2">
        <v>8.0721159999999994</v>
      </c>
      <c r="W19" s="2">
        <v>1.7371209999999999</v>
      </c>
      <c r="X19" s="2">
        <v>1.6325609999999999</v>
      </c>
      <c r="Y19" s="2">
        <v>1.5705480000000001</v>
      </c>
      <c r="Z19" s="2">
        <v>1.5503720000000001</v>
      </c>
      <c r="AA19" s="2">
        <v>7.951333</v>
      </c>
      <c r="AB19" s="2">
        <v>7.0700690000000002</v>
      </c>
      <c r="AC19" s="2">
        <v>6.6565690000000002</v>
      </c>
      <c r="AD19" s="2">
        <v>6.3093329999999996</v>
      </c>
      <c r="AE19" s="2">
        <v>-3.5650439999999999</v>
      </c>
      <c r="AF19" s="2">
        <v>-0.5134649</v>
      </c>
      <c r="AG19" s="2">
        <v>-0.37656430000000002</v>
      </c>
      <c r="AH19" s="2">
        <v>-6.2176119999999999</v>
      </c>
      <c r="AI19" s="2">
        <v>-0.91285640000000001</v>
      </c>
      <c r="AJ19" s="2">
        <v>-0.66914359999999995</v>
      </c>
      <c r="AK19" s="3">
        <v>2.1330779999999998</v>
      </c>
      <c r="AL19" s="3">
        <v>1.983846</v>
      </c>
      <c r="AM19" s="2">
        <v>24.519449999999999</v>
      </c>
      <c r="AN19" s="2">
        <v>27.014890000000001</v>
      </c>
      <c r="AO19" s="2">
        <v>28.3994</v>
      </c>
      <c r="AP19" s="2">
        <v>30.461480000000002</v>
      </c>
      <c r="AQ19" s="2">
        <v>3.3621650000000001</v>
      </c>
      <c r="AR19" s="2">
        <v>3.8233229999999998</v>
      </c>
      <c r="AS19" s="2">
        <v>3.7968410000000001</v>
      </c>
      <c r="AT19" s="2">
        <v>3.5294880000000002</v>
      </c>
      <c r="AU19" s="1" t="s">
        <v>49</v>
      </c>
      <c r="AV19" s="3">
        <v>1.5416669999999999</v>
      </c>
      <c r="AW19" s="3">
        <v>12.225</v>
      </c>
      <c r="AX19" s="2">
        <v>6.6288710000000002</v>
      </c>
      <c r="AY19" s="2">
        <v>9.9890209999999993</v>
      </c>
      <c r="AZ19" s="2">
        <v>7.5</v>
      </c>
      <c r="BA19" s="2">
        <v>9.1385000000000005</v>
      </c>
      <c r="BB19" s="2">
        <v>4.894781</v>
      </c>
      <c r="BC19" s="3">
        <v>9.09</v>
      </c>
      <c r="BD19" s="2">
        <v>26.127610000000001</v>
      </c>
      <c r="BE19" s="3">
        <v>11.845000000000001</v>
      </c>
      <c r="BF19" s="2">
        <v>-3.208107</v>
      </c>
      <c r="BG19" s="2">
        <v>72.048230000000004</v>
      </c>
      <c r="BH19" s="2">
        <v>71.956980000000001</v>
      </c>
      <c r="BI19" s="2">
        <v>70.138720000000006</v>
      </c>
      <c r="BJ19" s="2">
        <v>70.426249999999996</v>
      </c>
      <c r="BK19" s="2">
        <v>22</v>
      </c>
      <c r="BL19" s="2">
        <v>20</v>
      </c>
      <c r="BM19" s="4">
        <v>24</v>
      </c>
      <c r="BN19" s="4">
        <v>0</v>
      </c>
      <c r="BO19" s="4">
        <v>1</v>
      </c>
      <c r="BP19" s="4">
        <v>24</v>
      </c>
      <c r="BQ19" s="2">
        <v>0</v>
      </c>
      <c r="BR19" s="4">
        <v>12</v>
      </c>
      <c r="BS19" s="4">
        <v>0</v>
      </c>
      <c r="BT19" s="4">
        <v>24</v>
      </c>
      <c r="BU19" s="2">
        <v>50</v>
      </c>
      <c r="BV19" s="2">
        <v>6.6935099999999998</v>
      </c>
      <c r="BW19" s="2">
        <v>6446.3639999999996</v>
      </c>
      <c r="BX19" s="3">
        <v>12.564019999999999</v>
      </c>
      <c r="BY19" s="3">
        <v>0.19490089999999999</v>
      </c>
      <c r="BZ19" s="2">
        <v>0.56558600000000003</v>
      </c>
      <c r="CA19" s="3">
        <v>0.19490089999999999</v>
      </c>
      <c r="CB19" s="3">
        <v>0.70853489999999997</v>
      </c>
      <c r="CC19" s="3">
        <v>0.70430579999999998</v>
      </c>
      <c r="CD19" s="2">
        <v>-0.59687500000000004</v>
      </c>
      <c r="CE19" s="3">
        <v>8663.7019999999993</v>
      </c>
      <c r="CF19" s="3">
        <v>8843.857</v>
      </c>
      <c r="CG19" s="2">
        <v>2.0794269999999999</v>
      </c>
      <c r="CH19" s="3">
        <v>11.94618</v>
      </c>
      <c r="CI19" s="2">
        <v>2.3339989999999999</v>
      </c>
      <c r="CJ19" s="3">
        <v>49553.81</v>
      </c>
      <c r="CK19" s="3">
        <v>52345.61</v>
      </c>
      <c r="CL19" s="2">
        <v>5.6338790000000003</v>
      </c>
      <c r="CM19" s="3">
        <v>10.609819999999999</v>
      </c>
      <c r="CN19" s="3">
        <v>11.03284</v>
      </c>
      <c r="CO19" s="3">
        <v>11.28769</v>
      </c>
      <c r="CP19" s="2">
        <v>8.0602649999999993</v>
      </c>
      <c r="CQ19" s="2">
        <v>3.9170150000000001</v>
      </c>
      <c r="CR19" s="2">
        <v>1.570797</v>
      </c>
      <c r="CS19" s="2">
        <v>3.9870739999999998</v>
      </c>
      <c r="CT19" s="2">
        <v>128.029</v>
      </c>
      <c r="CU19" s="3">
        <v>0.17322850000000001</v>
      </c>
      <c r="CV19" s="2">
        <v>21.191759999999999</v>
      </c>
      <c r="CW19" s="2" t="e">
        <v>#N/A</v>
      </c>
      <c r="CX19" s="2">
        <v>-5.3940219999999997</v>
      </c>
      <c r="CY19" s="2">
        <v>16.828279999999999</v>
      </c>
    </row>
    <row r="20" spans="1:103" ht="15" customHeight="1" x14ac:dyDescent="0.2">
      <c r="A20" s="1">
        <f t="shared" si="0"/>
        <v>14</v>
      </c>
      <c r="B20" s="1" t="s">
        <v>51</v>
      </c>
      <c r="C20" s="1" t="s">
        <v>50</v>
      </c>
      <c r="D20" s="1" t="s">
        <v>40</v>
      </c>
      <c r="E20" s="1" t="s">
        <v>41</v>
      </c>
      <c r="F20" s="2">
        <v>8539.6540000000005</v>
      </c>
      <c r="G20" s="2">
        <v>73.113900000000001</v>
      </c>
      <c r="H20" s="2">
        <v>6243.674</v>
      </c>
      <c r="I20" s="3">
        <v>30.7</v>
      </c>
      <c r="J20" s="3">
        <v>0</v>
      </c>
      <c r="K20" s="2">
        <v>6.5146579999999998</v>
      </c>
      <c r="L20" s="2">
        <v>6.5146579999999998</v>
      </c>
      <c r="M20" s="2">
        <v>6.5146579999999998</v>
      </c>
      <c r="N20" s="2">
        <v>6.5146579999999998</v>
      </c>
      <c r="O20" s="2">
        <v>12.28</v>
      </c>
      <c r="P20" s="2">
        <v>15.35</v>
      </c>
      <c r="Q20" s="2">
        <v>13.766819999999999</v>
      </c>
      <c r="R20" s="2">
        <v>11.762449999999999</v>
      </c>
      <c r="S20" s="2">
        <v>4.226159</v>
      </c>
      <c r="T20" s="2">
        <v>4.6859400000000004</v>
      </c>
      <c r="U20" s="2">
        <v>4.2983060000000002</v>
      </c>
      <c r="V20" s="2">
        <v>4.1508260000000003</v>
      </c>
      <c r="W20" s="2" t="e">
        <v>#N/A</v>
      </c>
      <c r="X20" s="2">
        <v>1.5526279999999999</v>
      </c>
      <c r="Y20" s="2">
        <v>1.5707340000000001</v>
      </c>
      <c r="Z20" s="2">
        <v>1.4780930000000001</v>
      </c>
      <c r="AA20" s="2">
        <v>7.3876999999999997</v>
      </c>
      <c r="AB20" s="2">
        <v>8.1216939999999997</v>
      </c>
      <c r="AC20" s="2">
        <v>7.3007949999999999</v>
      </c>
      <c r="AD20" s="2">
        <v>6.463158</v>
      </c>
      <c r="AE20" s="2">
        <v>8.1583600000000001</v>
      </c>
      <c r="AF20" s="2">
        <v>11.37344</v>
      </c>
      <c r="AG20" s="2">
        <v>13.1244</v>
      </c>
      <c r="AH20" s="2">
        <v>8.2505849999999992</v>
      </c>
      <c r="AI20" s="2">
        <v>11.14415</v>
      </c>
      <c r="AJ20" s="2">
        <v>13.358269999999999</v>
      </c>
      <c r="AK20" s="3">
        <v>0.63169450000000005</v>
      </c>
      <c r="AL20" s="3">
        <v>0.59402259999999996</v>
      </c>
      <c r="AM20" s="2">
        <v>5.1970850000000004</v>
      </c>
      <c r="AN20" s="2">
        <v>5.50061</v>
      </c>
      <c r="AO20" s="2">
        <v>5.7133219999999998</v>
      </c>
      <c r="AP20" s="2">
        <v>5.7089860000000003</v>
      </c>
      <c r="AQ20" s="2">
        <v>-0.1282124</v>
      </c>
      <c r="AR20" s="2">
        <v>5.2378800000000003E-2</v>
      </c>
      <c r="AS20" s="2">
        <v>-8.8441069999999997E-2</v>
      </c>
      <c r="AT20" s="2">
        <v>7.2671920000000001E-2</v>
      </c>
      <c r="AU20" s="1" t="s">
        <v>52</v>
      </c>
      <c r="AV20" s="3">
        <v>1.6470590000000001</v>
      </c>
      <c r="AW20" s="3">
        <v>29.5</v>
      </c>
      <c r="AX20" s="2">
        <v>-3.908795</v>
      </c>
      <c r="AY20" s="2">
        <v>10.114839999999999</v>
      </c>
      <c r="AZ20" s="2">
        <v>23</v>
      </c>
      <c r="BA20" s="2">
        <v>23.243680000000001</v>
      </c>
      <c r="BB20" s="2">
        <v>14.68061</v>
      </c>
      <c r="BC20" s="3">
        <v>20.69</v>
      </c>
      <c r="BD20" s="2">
        <v>48.380859999999998</v>
      </c>
      <c r="BE20" s="3">
        <v>30.72</v>
      </c>
      <c r="BF20" s="2">
        <v>-6.5100190000000002E-2</v>
      </c>
      <c r="BG20" s="2">
        <v>81.2</v>
      </c>
      <c r="BH20" s="2">
        <v>94.08717</v>
      </c>
      <c r="BI20" s="2">
        <v>89.284419999999997</v>
      </c>
      <c r="BJ20" s="2">
        <v>73.121409999999997</v>
      </c>
      <c r="BK20" s="2">
        <v>11</v>
      </c>
      <c r="BL20" s="2">
        <v>13</v>
      </c>
      <c r="BM20" s="4">
        <v>17</v>
      </c>
      <c r="BN20" s="4">
        <v>0</v>
      </c>
      <c r="BO20" s="4">
        <v>3</v>
      </c>
      <c r="BP20" s="4">
        <v>14</v>
      </c>
      <c r="BQ20" s="2">
        <v>0</v>
      </c>
      <c r="BR20" s="4">
        <v>8</v>
      </c>
      <c r="BS20" s="4">
        <v>3</v>
      </c>
      <c r="BT20" s="4">
        <v>17</v>
      </c>
      <c r="BU20" s="2">
        <v>47.058819999999997</v>
      </c>
      <c r="BV20" s="2">
        <v>9.2461800000000007</v>
      </c>
      <c r="BW20" s="2">
        <v>278.16460000000001</v>
      </c>
      <c r="BX20" s="3">
        <v>0.69883890000000004</v>
      </c>
      <c r="BY20" s="3">
        <v>0.25123210000000001</v>
      </c>
      <c r="BZ20" s="2">
        <v>1.01054</v>
      </c>
      <c r="CA20" s="3">
        <v>0.25123210000000001</v>
      </c>
      <c r="CB20" s="3">
        <v>1.9899290000000001</v>
      </c>
      <c r="CC20" s="3">
        <v>2.113019</v>
      </c>
      <c r="CD20" s="2">
        <v>6.1856629999999999</v>
      </c>
      <c r="CE20" s="3">
        <v>1261.742</v>
      </c>
      <c r="CF20" s="3">
        <v>1262.6189999999999</v>
      </c>
      <c r="CG20" s="2">
        <v>6.9510939999999993E-2</v>
      </c>
      <c r="CH20" s="3">
        <v>29.780380000000001</v>
      </c>
      <c r="CI20" s="2">
        <v>-0.94147919999999996</v>
      </c>
      <c r="CJ20" s="3">
        <v>31836.6</v>
      </c>
      <c r="CK20" s="3">
        <v>33550.53</v>
      </c>
      <c r="CL20" s="2">
        <v>5.383527</v>
      </c>
      <c r="CM20" s="3">
        <v>25.714040000000001</v>
      </c>
      <c r="CN20" s="3">
        <v>28.409610000000001</v>
      </c>
      <c r="CO20" s="3">
        <v>28.986149999999999</v>
      </c>
      <c r="CP20" s="2">
        <v>19.390059999999998</v>
      </c>
      <c r="CQ20" s="2">
        <v>8.0620290000000008</v>
      </c>
      <c r="CR20" s="2">
        <v>5.9126620000000001</v>
      </c>
      <c r="CS20" s="2">
        <v>10.482889999999999</v>
      </c>
      <c r="CT20" s="2">
        <v>18.039380000000001</v>
      </c>
      <c r="CU20" s="3">
        <v>0.2112425</v>
      </c>
      <c r="CV20" s="2">
        <v>-15.41564</v>
      </c>
      <c r="CW20" s="2">
        <v>7.3998359999999996</v>
      </c>
      <c r="CX20" s="2">
        <v>-13.08553</v>
      </c>
      <c r="CY20" s="2">
        <v>17.323229999999999</v>
      </c>
    </row>
    <row r="21" spans="1:103" ht="15" customHeight="1" x14ac:dyDescent="0.2">
      <c r="A21" s="1">
        <f t="shared" si="0"/>
        <v>15</v>
      </c>
      <c r="B21" s="1" t="s">
        <v>54</v>
      </c>
      <c r="C21" s="1" t="s">
        <v>53</v>
      </c>
      <c r="D21" s="1" t="s">
        <v>55</v>
      </c>
      <c r="E21" s="1" t="s">
        <v>56</v>
      </c>
      <c r="F21" s="2">
        <v>1303.6659999999999</v>
      </c>
      <c r="G21" s="2">
        <v>44.969700000000003</v>
      </c>
      <c r="H21" s="2">
        <v>586.25469999999996</v>
      </c>
      <c r="I21" s="3">
        <v>5.915</v>
      </c>
      <c r="J21" s="3">
        <v>0</v>
      </c>
      <c r="K21" s="2">
        <v>0</v>
      </c>
      <c r="L21" s="2">
        <v>0</v>
      </c>
      <c r="M21" s="2">
        <v>0</v>
      </c>
      <c r="N21" s="2">
        <v>0</v>
      </c>
      <c r="O21" s="2">
        <v>28.853660000000001</v>
      </c>
      <c r="P21" s="2">
        <v>18.975539999999999</v>
      </c>
      <c r="Q21" s="2">
        <v>13.342420000000001</v>
      </c>
      <c r="R21" s="2">
        <v>11.949490000000001</v>
      </c>
      <c r="S21" s="2">
        <v>8.5476069999999993</v>
      </c>
      <c r="T21" s="2">
        <v>8.8799679999999999</v>
      </c>
      <c r="U21" s="2">
        <v>7.9290120000000002</v>
      </c>
      <c r="V21" s="2">
        <v>7.5919059999999998</v>
      </c>
      <c r="W21" s="2">
        <v>3.3512749999999998</v>
      </c>
      <c r="X21" s="2">
        <v>3.0599240000000001</v>
      </c>
      <c r="Y21" s="2">
        <v>2.4645830000000002</v>
      </c>
      <c r="Z21" s="2">
        <v>2.0915900000000001</v>
      </c>
      <c r="AA21" s="2">
        <v>5.7885660000000003</v>
      </c>
      <c r="AB21" s="2">
        <v>6.4383470000000003</v>
      </c>
      <c r="AC21" s="2">
        <v>5.3803789999999996</v>
      </c>
      <c r="AD21" s="2">
        <v>5.0117690000000001</v>
      </c>
      <c r="AE21" s="2">
        <v>4.145429</v>
      </c>
      <c r="AF21" s="2">
        <v>4.5204269999999998</v>
      </c>
      <c r="AG21" s="2">
        <v>4.3432570000000004</v>
      </c>
      <c r="AH21" s="2">
        <v>12.31122</v>
      </c>
      <c r="AI21" s="2">
        <v>13.009029999999999</v>
      </c>
      <c r="AJ21" s="2">
        <v>12.292389999999999</v>
      </c>
      <c r="AK21" s="3">
        <v>2.1247470000000002</v>
      </c>
      <c r="AL21" s="3">
        <v>1.5647960000000001</v>
      </c>
      <c r="AM21" s="2">
        <v>25.437349999999999</v>
      </c>
      <c r="AN21" s="2">
        <v>24.912859999999998</v>
      </c>
      <c r="AO21" s="2">
        <v>25.948219999999999</v>
      </c>
      <c r="AP21" s="2">
        <v>25.97541</v>
      </c>
      <c r="AQ21" s="2">
        <v>6.2032980000000002</v>
      </c>
      <c r="AR21" s="2">
        <v>5.8899080000000001</v>
      </c>
      <c r="AS21" s="2">
        <v>5.1738090000000003</v>
      </c>
      <c r="AT21" s="2">
        <v>4.909465</v>
      </c>
      <c r="AU21" s="1" t="s">
        <v>52</v>
      </c>
      <c r="AV21" s="3">
        <v>1.821429</v>
      </c>
      <c r="AW21" s="3">
        <v>6.4980690000000001</v>
      </c>
      <c r="AX21" s="2">
        <v>9.8574640000000002</v>
      </c>
      <c r="AY21" s="2">
        <v>16.125620000000001</v>
      </c>
      <c r="AZ21" s="2">
        <v>8.6036029999999997</v>
      </c>
      <c r="BA21" s="2">
        <v>-13.96364</v>
      </c>
      <c r="BB21" s="2">
        <v>29.204889999999999</v>
      </c>
      <c r="BC21" s="3">
        <v>4.0620000000000003</v>
      </c>
      <c r="BD21" s="2">
        <v>45.617930000000001</v>
      </c>
      <c r="BE21" s="3">
        <v>8.24</v>
      </c>
      <c r="BF21" s="2">
        <v>-28.21602</v>
      </c>
      <c r="BG21" s="2">
        <v>3.1974130000000001</v>
      </c>
      <c r="BH21" s="2">
        <v>7.8617790000000003</v>
      </c>
      <c r="BI21" s="2">
        <v>11.15832</v>
      </c>
      <c r="BJ21" s="2">
        <v>12.931559999999999</v>
      </c>
      <c r="BK21" s="2">
        <v>13</v>
      </c>
      <c r="BL21" s="2">
        <v>12</v>
      </c>
      <c r="BM21" s="4">
        <v>14</v>
      </c>
      <c r="BN21" s="4">
        <v>1</v>
      </c>
      <c r="BO21" s="4">
        <v>1</v>
      </c>
      <c r="BP21" s="4">
        <v>13</v>
      </c>
      <c r="BQ21" s="2">
        <v>6.6666670000000003</v>
      </c>
      <c r="BR21" s="4">
        <v>5</v>
      </c>
      <c r="BS21" s="4">
        <v>3</v>
      </c>
      <c r="BT21" s="4">
        <v>14</v>
      </c>
      <c r="BU21" s="2">
        <v>35.714289999999998</v>
      </c>
      <c r="BV21" s="2">
        <v>16.7165</v>
      </c>
      <c r="BW21" s="2">
        <v>220.4</v>
      </c>
      <c r="BX21" s="3">
        <v>1.028206</v>
      </c>
      <c r="BY21" s="3">
        <v>0.46651809999999999</v>
      </c>
      <c r="BZ21" s="2">
        <v>2.3302700000000001</v>
      </c>
      <c r="CA21" s="3">
        <v>0.46651809999999999</v>
      </c>
      <c r="CB21" s="3">
        <v>0.26709050000000001</v>
      </c>
      <c r="CC21" s="3">
        <v>0.3194726</v>
      </c>
      <c r="CD21" s="2">
        <v>19.612130000000001</v>
      </c>
      <c r="CE21" s="3">
        <v>152.21270000000001</v>
      </c>
      <c r="CF21" s="3">
        <v>171.4967</v>
      </c>
      <c r="CG21" s="2">
        <v>12.66915</v>
      </c>
      <c r="CH21" s="3">
        <v>6.1373329999999999</v>
      </c>
      <c r="CI21" s="2">
        <v>5.8777330000000001</v>
      </c>
      <c r="CJ21" s="3">
        <v>1673.4079999999999</v>
      </c>
      <c r="CK21" s="3">
        <v>1745.9749999999999</v>
      </c>
      <c r="CL21" s="2">
        <v>4.3365239999999998</v>
      </c>
      <c r="CM21" s="3">
        <v>5.5010789999999998</v>
      </c>
      <c r="CN21" s="3">
        <v>5.9832359999999998</v>
      </c>
      <c r="CO21" s="3">
        <v>5.787115</v>
      </c>
      <c r="CP21" s="2">
        <v>7.5243589999999996</v>
      </c>
      <c r="CQ21" s="2">
        <v>-1.1404570000000001</v>
      </c>
      <c r="CR21" s="2">
        <v>2.2098179999999998</v>
      </c>
      <c r="CS21" s="2">
        <v>8.76478</v>
      </c>
      <c r="CT21" s="2">
        <v>6.5558709999999998</v>
      </c>
      <c r="CU21" s="3">
        <v>0.50287970000000004</v>
      </c>
      <c r="CV21" s="2">
        <v>762.87810000000002</v>
      </c>
      <c r="CW21" s="2">
        <v>9.3173010000000005</v>
      </c>
      <c r="CX21" s="2">
        <v>171.23929999999999</v>
      </c>
      <c r="CY21" s="2">
        <v>17.93939</v>
      </c>
    </row>
    <row r="22" spans="1:103" ht="15" customHeight="1" x14ac:dyDescent="0.2">
      <c r="A22" s="1">
        <f t="shared" si="0"/>
        <v>16</v>
      </c>
      <c r="B22" s="1" t="s">
        <v>58</v>
      </c>
      <c r="C22" s="1" t="s">
        <v>57</v>
      </c>
      <c r="D22" s="1" t="s">
        <v>3</v>
      </c>
      <c r="E22" s="1" t="s">
        <v>4</v>
      </c>
      <c r="F22" s="2">
        <v>5073.201</v>
      </c>
      <c r="G22" s="2">
        <v>70.956199999999995</v>
      </c>
      <c r="H22" s="2">
        <v>3599.75</v>
      </c>
      <c r="I22" s="3">
        <v>5.6440000000000001</v>
      </c>
      <c r="J22" s="3">
        <v>0</v>
      </c>
      <c r="K22" s="2">
        <v>5.4925579999999998</v>
      </c>
      <c r="L22" s="2">
        <v>6.3784559999999999</v>
      </c>
      <c r="M22" s="2">
        <v>6.3784559999999999</v>
      </c>
      <c r="N22" s="2">
        <v>7.2643509999999996</v>
      </c>
      <c r="O22" s="2">
        <v>9.252459</v>
      </c>
      <c r="P22" s="2">
        <v>7.7620769999999997</v>
      </c>
      <c r="Q22" s="2">
        <v>7.7613880000000002</v>
      </c>
      <c r="R22" s="2">
        <v>6.9701469999999999</v>
      </c>
      <c r="S22" s="2" t="e">
        <v>#N/A</v>
      </c>
      <c r="T22" s="2" t="e">
        <v>#N/A</v>
      </c>
      <c r="U22" s="2" t="e">
        <v>#N/A</v>
      </c>
      <c r="V22" s="2" t="e">
        <v>#N/A</v>
      </c>
      <c r="W22" s="2">
        <v>1.0337000000000001</v>
      </c>
      <c r="X22" s="2">
        <v>0.97310339999999995</v>
      </c>
      <c r="Y22" s="2">
        <v>0.91745290000000002</v>
      </c>
      <c r="Z22" s="2">
        <v>0.86299689999999996</v>
      </c>
      <c r="AA22" s="2" t="e">
        <v>#N/A</v>
      </c>
      <c r="AB22" s="2" t="e">
        <v>#N/A</v>
      </c>
      <c r="AC22" s="2" t="e">
        <v>#N/A</v>
      </c>
      <c r="AD22" s="2" t="e">
        <v>#N/A</v>
      </c>
      <c r="AE22" s="2" t="e">
        <v>#N/A</v>
      </c>
      <c r="AF22" s="2" t="e">
        <v>#N/A</v>
      </c>
      <c r="AG22" s="2" t="e">
        <v>#N/A</v>
      </c>
      <c r="AH22" s="2" t="e">
        <v>#N/A</v>
      </c>
      <c r="AI22" s="2" t="e">
        <v>#N/A</v>
      </c>
      <c r="AJ22" s="2" t="e">
        <v>#N/A</v>
      </c>
      <c r="AK22" s="3">
        <v>0.72025689999999998</v>
      </c>
      <c r="AL22" s="3">
        <v>0.70637399999999995</v>
      </c>
      <c r="AM22" s="2" t="e">
        <v>#N/A</v>
      </c>
      <c r="AN22" s="2" t="e">
        <v>#N/A</v>
      </c>
      <c r="AO22" s="2" t="e">
        <v>#N/A</v>
      </c>
      <c r="AP22" s="2" t="e">
        <v>#N/A</v>
      </c>
      <c r="AQ22" s="2" t="e">
        <v>#N/A</v>
      </c>
      <c r="AR22" s="2" t="e">
        <v>#N/A</v>
      </c>
      <c r="AS22" s="2" t="e">
        <v>#N/A</v>
      </c>
      <c r="AT22" s="2" t="e">
        <v>#N/A</v>
      </c>
      <c r="AU22" s="1" t="s">
        <v>52</v>
      </c>
      <c r="AV22" s="3">
        <v>1.6666669999999999</v>
      </c>
      <c r="AW22" s="3">
        <v>7.2249999999999996</v>
      </c>
      <c r="AX22" s="2">
        <v>28.012049999999999</v>
      </c>
      <c r="AY22" s="2">
        <v>12.53664</v>
      </c>
      <c r="AZ22" s="2">
        <v>10.57098</v>
      </c>
      <c r="BA22" s="2">
        <v>6.9344520000000003</v>
      </c>
      <c r="BB22" s="2">
        <v>-9.9553290000000008</v>
      </c>
      <c r="BC22" s="3">
        <v>4.5309999999999997</v>
      </c>
      <c r="BD22" s="2">
        <v>24.564109999999999</v>
      </c>
      <c r="BE22" s="3">
        <v>6.9340000000000002</v>
      </c>
      <c r="BF22" s="2">
        <v>-18.60398</v>
      </c>
      <c r="BG22" s="2">
        <v>49.819800000000001</v>
      </c>
      <c r="BH22" s="2">
        <v>49.132779999999997</v>
      </c>
      <c r="BI22" s="2">
        <v>49.088200000000001</v>
      </c>
      <c r="BJ22" s="2">
        <v>51.978729999999999</v>
      </c>
      <c r="BK22" s="2">
        <v>20</v>
      </c>
      <c r="BL22" s="2">
        <v>13</v>
      </c>
      <c r="BM22" s="4">
        <v>21</v>
      </c>
      <c r="BN22" s="4">
        <v>1</v>
      </c>
      <c r="BO22" s="4">
        <v>2</v>
      </c>
      <c r="BP22" s="4">
        <v>17</v>
      </c>
      <c r="BQ22" s="2">
        <v>5</v>
      </c>
      <c r="BR22" s="4">
        <v>9</v>
      </c>
      <c r="BS22" s="4">
        <v>2</v>
      </c>
      <c r="BT22" s="4">
        <v>21</v>
      </c>
      <c r="BU22" s="2">
        <v>42.857140000000001</v>
      </c>
      <c r="BV22" s="2">
        <v>10.2499</v>
      </c>
      <c r="BW22" s="2">
        <v>898.86609999999996</v>
      </c>
      <c r="BX22" s="3">
        <v>3.3606829999999999</v>
      </c>
      <c r="BY22" s="3">
        <v>0.3738803</v>
      </c>
      <c r="BZ22" s="2">
        <v>0.88100699999999998</v>
      </c>
      <c r="CA22" s="3">
        <v>0.3738803</v>
      </c>
      <c r="CB22" s="3">
        <v>0.69318999999999997</v>
      </c>
      <c r="CC22" s="3">
        <v>0.74128340000000004</v>
      </c>
      <c r="CD22" s="2">
        <v>6.9379809999999997</v>
      </c>
      <c r="CE22" s="3">
        <v>1333.5050000000001</v>
      </c>
      <c r="CF22" s="3">
        <v>1408.328</v>
      </c>
      <c r="CG22" s="2">
        <v>5.6109910000000003</v>
      </c>
      <c r="CH22" s="3">
        <v>7.3840000000000003</v>
      </c>
      <c r="CI22" s="2">
        <v>-2.1533009999999999</v>
      </c>
      <c r="CJ22" s="3">
        <v>2292.9940000000001</v>
      </c>
      <c r="CK22" s="3">
        <v>2412.5360000000001</v>
      </c>
      <c r="CL22" s="2">
        <v>5.2133799999999999</v>
      </c>
      <c r="CM22" s="3">
        <v>5.8435920000000001</v>
      </c>
      <c r="CN22" s="3">
        <v>6.0390199999999998</v>
      </c>
      <c r="CO22" s="3">
        <v>5.4618460000000004</v>
      </c>
      <c r="CP22" s="2">
        <v>-3.4155730000000002</v>
      </c>
      <c r="CQ22" s="2">
        <v>-6.5411270000000004</v>
      </c>
      <c r="CR22" s="2">
        <v>3.3350230000000001</v>
      </c>
      <c r="CS22" s="2">
        <v>3.344309</v>
      </c>
      <c r="CT22" s="2">
        <v>25.577380000000002</v>
      </c>
      <c r="CU22" s="3">
        <v>0.50416649999999996</v>
      </c>
      <c r="CV22" s="2">
        <v>-10.909129999999999</v>
      </c>
      <c r="CW22" s="2">
        <v>4.4405299999999999</v>
      </c>
      <c r="CX22" s="2">
        <v>1.3333330000000001</v>
      </c>
      <c r="CY22" s="2">
        <v>18.040400000000002</v>
      </c>
    </row>
    <row r="23" spans="1:103" ht="15" customHeight="1" x14ac:dyDescent="0.2">
      <c r="A23" s="1">
        <f t="shared" si="0"/>
        <v>17</v>
      </c>
      <c r="B23" s="1" t="s">
        <v>60</v>
      </c>
      <c r="C23" s="1" t="s">
        <v>59</v>
      </c>
      <c r="D23" s="1" t="s">
        <v>10</v>
      </c>
      <c r="E23" s="1" t="s">
        <v>11</v>
      </c>
      <c r="F23" s="2">
        <v>27552.53</v>
      </c>
      <c r="G23" s="2">
        <v>99.756100000000004</v>
      </c>
      <c r="H23" s="2">
        <v>27485.33</v>
      </c>
      <c r="I23" s="3">
        <v>61.16</v>
      </c>
      <c r="J23" s="3">
        <v>0</v>
      </c>
      <c r="K23" s="2">
        <v>1.2099409999999999</v>
      </c>
      <c r="L23" s="2">
        <v>1.7985610000000001</v>
      </c>
      <c r="M23" s="2">
        <v>2.1746240000000001</v>
      </c>
      <c r="N23" s="2">
        <v>2.567037</v>
      </c>
      <c r="O23" s="2">
        <v>37.066670000000002</v>
      </c>
      <c r="P23" s="2">
        <v>25.81981</v>
      </c>
      <c r="Q23" s="2">
        <v>21.16263</v>
      </c>
      <c r="R23" s="2">
        <v>18.674810000000001</v>
      </c>
      <c r="S23" s="2">
        <v>14.80411</v>
      </c>
      <c r="T23" s="2">
        <v>13.90033</v>
      </c>
      <c r="U23" s="2">
        <v>11.53281</v>
      </c>
      <c r="V23" s="2">
        <v>10.32832</v>
      </c>
      <c r="W23" s="2">
        <v>6.0123030000000002</v>
      </c>
      <c r="X23" s="2">
        <v>5.3182609999999997</v>
      </c>
      <c r="Y23" s="2">
        <v>4.6438879999999996</v>
      </c>
      <c r="Z23" s="2">
        <v>4.0449729999999997</v>
      </c>
      <c r="AA23" s="2">
        <v>19.54984</v>
      </c>
      <c r="AB23" s="2">
        <v>16.662510000000001</v>
      </c>
      <c r="AC23" s="2">
        <v>14.27121</v>
      </c>
      <c r="AD23" s="2">
        <v>13.124459999999999</v>
      </c>
      <c r="AE23" s="2">
        <v>3.7291720000000002</v>
      </c>
      <c r="AF23" s="2">
        <v>4.5951969999999998</v>
      </c>
      <c r="AG23" s="2">
        <v>5.2107849999999996</v>
      </c>
      <c r="AH23" s="2">
        <v>3.9662039999999998</v>
      </c>
      <c r="AI23" s="2">
        <v>4.7578069999999997</v>
      </c>
      <c r="AJ23" s="2">
        <v>5.2368269999999999</v>
      </c>
      <c r="AK23" s="3">
        <v>1.1115790000000001</v>
      </c>
      <c r="AL23" s="3">
        <v>0.89825370000000004</v>
      </c>
      <c r="AM23" s="2">
        <v>36.558999999999997</v>
      </c>
      <c r="AN23" s="2">
        <v>38.688510000000001</v>
      </c>
      <c r="AO23" s="2">
        <v>40.269410000000001</v>
      </c>
      <c r="AP23" s="2">
        <v>40.825339999999997</v>
      </c>
      <c r="AQ23" s="2">
        <v>1.4676830000000001</v>
      </c>
      <c r="AR23" s="2">
        <v>0.83072500000000005</v>
      </c>
      <c r="AS23" s="2">
        <v>0.39416279999999998</v>
      </c>
      <c r="AT23" s="2">
        <v>5.1362150000000002E-2</v>
      </c>
      <c r="AU23" s="1" t="s">
        <v>19</v>
      </c>
      <c r="AV23" s="3">
        <v>1.5576920000000001</v>
      </c>
      <c r="AW23" s="3">
        <v>66.3</v>
      </c>
      <c r="AX23" s="2">
        <v>8.4041960000000007</v>
      </c>
      <c r="AY23" s="2">
        <v>20.5976</v>
      </c>
      <c r="AZ23" s="2">
        <v>24.692920000000001</v>
      </c>
      <c r="BA23" s="2">
        <v>7.52461</v>
      </c>
      <c r="BB23" s="2">
        <v>25.973220000000001</v>
      </c>
      <c r="BC23" s="3">
        <v>44.85</v>
      </c>
      <c r="BD23" s="2">
        <v>36.365670000000001</v>
      </c>
      <c r="BE23" s="3">
        <v>62.42</v>
      </c>
      <c r="BF23" s="2">
        <v>-2.018583</v>
      </c>
      <c r="BG23" s="2">
        <v>31.935040000000001</v>
      </c>
      <c r="BH23" s="2">
        <v>42.324629999999999</v>
      </c>
      <c r="BI23" s="2">
        <v>43.427129999999998</v>
      </c>
      <c r="BJ23" s="2">
        <v>43.699219999999997</v>
      </c>
      <c r="BK23" s="2">
        <v>23</v>
      </c>
      <c r="BL23" s="2">
        <v>22</v>
      </c>
      <c r="BM23" s="4">
        <v>26</v>
      </c>
      <c r="BN23" s="4">
        <v>2</v>
      </c>
      <c r="BO23" s="4">
        <v>3</v>
      </c>
      <c r="BP23" s="4">
        <v>22</v>
      </c>
      <c r="BQ23" s="2">
        <v>7.4074070000000001</v>
      </c>
      <c r="BR23" s="4">
        <v>14</v>
      </c>
      <c r="BS23" s="4">
        <v>1</v>
      </c>
      <c r="BT23" s="4">
        <v>26</v>
      </c>
      <c r="BU23" s="2">
        <v>53.846159999999998</v>
      </c>
      <c r="BV23" s="2">
        <v>9.8541100000000004</v>
      </c>
      <c r="BW23" s="2">
        <v>450.49919999999997</v>
      </c>
      <c r="BX23" s="3">
        <v>0.69397209999999998</v>
      </c>
      <c r="BY23" s="3">
        <v>0.15404509999999999</v>
      </c>
      <c r="BZ23" s="2">
        <v>1.3757299999999999</v>
      </c>
      <c r="CA23" s="3">
        <v>0.15404509999999999</v>
      </c>
      <c r="CB23" s="3">
        <v>2.3647040000000001</v>
      </c>
      <c r="CC23" s="3">
        <v>2.3607849999999999</v>
      </c>
      <c r="CD23" s="2">
        <v>-0.16572480000000001</v>
      </c>
      <c r="CE23" s="3">
        <v>1469.567</v>
      </c>
      <c r="CF23" s="3">
        <v>1461.3710000000001</v>
      </c>
      <c r="CG23" s="2">
        <v>-0.55773260000000002</v>
      </c>
      <c r="CH23" s="3">
        <v>61.613999999999997</v>
      </c>
      <c r="CI23" s="2">
        <v>7.60541</v>
      </c>
      <c r="CJ23" s="3">
        <v>5471.9960000000001</v>
      </c>
      <c r="CK23" s="3">
        <v>5457.9340000000002</v>
      </c>
      <c r="CL23" s="2">
        <v>-0.25697350000000002</v>
      </c>
      <c r="CM23" s="3">
        <v>54.381340000000002</v>
      </c>
      <c r="CN23" s="3">
        <v>59.504710000000003</v>
      </c>
      <c r="CO23" s="3">
        <v>59.923839999999998</v>
      </c>
      <c r="CP23" s="2">
        <v>12.46505</v>
      </c>
      <c r="CQ23" s="2">
        <v>2.7817850000000002</v>
      </c>
      <c r="CR23" s="2">
        <v>2.062881</v>
      </c>
      <c r="CS23" s="2">
        <v>9.4211819999999999</v>
      </c>
      <c r="CT23" s="2">
        <v>45.659849999999999</v>
      </c>
      <c r="CU23" s="3">
        <v>0.16571930000000001</v>
      </c>
      <c r="CV23" s="2">
        <v>1.0043310000000001</v>
      </c>
      <c r="CW23" s="2">
        <v>-0.65366729999999995</v>
      </c>
      <c r="CX23" s="2">
        <v>-14.573040000000001</v>
      </c>
      <c r="CY23" s="2">
        <v>18.171720000000001</v>
      </c>
    </row>
    <row r="24" spans="1:103" ht="15" customHeight="1" x14ac:dyDescent="0.2">
      <c r="A24" s="1">
        <f t="shared" si="0"/>
        <v>18</v>
      </c>
      <c r="B24" s="1" t="s">
        <v>62</v>
      </c>
      <c r="C24" s="1" t="s">
        <v>61</v>
      </c>
      <c r="D24" s="1" t="s">
        <v>47</v>
      </c>
      <c r="E24" s="1" t="s">
        <v>63</v>
      </c>
      <c r="F24" s="2">
        <v>4706.652</v>
      </c>
      <c r="G24" s="2">
        <v>86.540899999999993</v>
      </c>
      <c r="H24" s="2">
        <v>4073.1790000000001</v>
      </c>
      <c r="I24" s="3">
        <v>17.965</v>
      </c>
      <c r="J24" s="3">
        <v>0</v>
      </c>
      <c r="K24" s="2">
        <v>9.5741720000000008</v>
      </c>
      <c r="L24" s="2">
        <v>9.6854990000000001</v>
      </c>
      <c r="M24" s="2">
        <v>9.6854990000000001</v>
      </c>
      <c r="N24" s="2">
        <v>9.6854990000000001</v>
      </c>
      <c r="O24" s="2">
        <v>12.500349999999999</v>
      </c>
      <c r="P24" s="2">
        <v>15.520149999999999</v>
      </c>
      <c r="Q24" s="2">
        <v>19.633880000000001</v>
      </c>
      <c r="R24" s="2">
        <v>21.644580000000001</v>
      </c>
      <c r="S24" s="2">
        <v>9.5339170000000006</v>
      </c>
      <c r="T24" s="2">
        <v>10.99483</v>
      </c>
      <c r="U24" s="2">
        <v>11.68413</v>
      </c>
      <c r="V24" s="2">
        <v>12.52008</v>
      </c>
      <c r="W24" s="2">
        <v>1.4713350000000001</v>
      </c>
      <c r="X24" s="2">
        <v>1.5447120000000001</v>
      </c>
      <c r="Y24" s="2">
        <v>1.6481650000000001</v>
      </c>
      <c r="Z24" s="2">
        <v>1.8094840000000001</v>
      </c>
      <c r="AA24" s="2">
        <v>6.2814690000000004</v>
      </c>
      <c r="AB24" s="2">
        <v>8.0200890000000005</v>
      </c>
      <c r="AC24" s="2">
        <v>8.6370190000000004</v>
      </c>
      <c r="AD24" s="2">
        <v>9.5544720000000005</v>
      </c>
      <c r="AE24" s="2">
        <v>3.3408530000000001</v>
      </c>
      <c r="AF24" s="2">
        <v>4.9028879999999999</v>
      </c>
      <c r="AG24" s="2">
        <v>3.1236410000000001</v>
      </c>
      <c r="AH24" s="2">
        <v>6.000934</v>
      </c>
      <c r="AI24" s="2">
        <v>8.8123369999999994</v>
      </c>
      <c r="AJ24" s="2">
        <v>5.7540779999999998</v>
      </c>
      <c r="AK24" s="3" t="e">
        <v>#N/A</v>
      </c>
      <c r="AL24" s="3" t="e">
        <v>#N/A</v>
      </c>
      <c r="AM24" s="2">
        <v>82.180769999999995</v>
      </c>
      <c r="AN24" s="2">
        <v>81.715519999999998</v>
      </c>
      <c r="AO24" s="2">
        <v>81.126140000000007</v>
      </c>
      <c r="AP24" s="2">
        <v>83.133250000000004</v>
      </c>
      <c r="AQ24" s="2">
        <v>4.4330949999999998</v>
      </c>
      <c r="AR24" s="2">
        <v>4.8737659999999998</v>
      </c>
      <c r="AS24" s="2">
        <v>5.1834749999999996</v>
      </c>
      <c r="AT24" s="2">
        <v>5.7234660000000002</v>
      </c>
      <c r="AU24" s="1" t="s">
        <v>64</v>
      </c>
      <c r="AV24" s="3">
        <v>2.3333330000000001</v>
      </c>
      <c r="AW24" s="3">
        <v>17</v>
      </c>
      <c r="AX24" s="2">
        <v>-5.3715590000000004</v>
      </c>
      <c r="AY24" s="2">
        <v>9.9529429999999994</v>
      </c>
      <c r="AZ24" s="2">
        <v>-11.69843</v>
      </c>
      <c r="BA24" s="2">
        <v>-15.09925</v>
      </c>
      <c r="BB24" s="2">
        <v>15.71659</v>
      </c>
      <c r="BC24" s="3">
        <v>14.25</v>
      </c>
      <c r="BD24" s="2">
        <v>26.070180000000001</v>
      </c>
      <c r="BE24" s="3">
        <v>22.3</v>
      </c>
      <c r="BF24" s="2">
        <v>-19.43946</v>
      </c>
      <c r="BG24" s="2">
        <v>115.3009</v>
      </c>
      <c r="BH24" s="2">
        <v>150.9716</v>
      </c>
      <c r="BI24" s="2">
        <v>177.52709999999999</v>
      </c>
      <c r="BJ24" s="2">
        <v>193.9538</v>
      </c>
      <c r="BK24" s="2">
        <v>18</v>
      </c>
      <c r="BL24" s="2">
        <v>16</v>
      </c>
      <c r="BM24" s="4">
        <v>21</v>
      </c>
      <c r="BN24" s="4">
        <v>2</v>
      </c>
      <c r="BO24" s="4">
        <v>2</v>
      </c>
      <c r="BP24" s="4">
        <v>19</v>
      </c>
      <c r="BQ24" s="2">
        <v>8.6956520000000008</v>
      </c>
      <c r="BR24" s="4">
        <v>3</v>
      </c>
      <c r="BS24" s="4">
        <v>11</v>
      </c>
      <c r="BT24" s="4">
        <v>21</v>
      </c>
      <c r="BU24" s="2">
        <v>14.28572</v>
      </c>
      <c r="BV24" s="2">
        <v>6.3478700000000003</v>
      </c>
      <c r="BW24" s="2">
        <v>261.99009999999998</v>
      </c>
      <c r="BX24" s="3">
        <v>0.98895619999999995</v>
      </c>
      <c r="BY24" s="3">
        <v>0.37747849999999999</v>
      </c>
      <c r="BZ24" s="2">
        <v>0.474777</v>
      </c>
      <c r="CA24" s="3">
        <v>0.37747849999999999</v>
      </c>
      <c r="CB24" s="3">
        <v>1.082606</v>
      </c>
      <c r="CC24" s="3">
        <v>1.1329750000000001</v>
      </c>
      <c r="CD24" s="2">
        <v>4.6525239999999997</v>
      </c>
      <c r="CE24" s="3">
        <v>443.78129999999999</v>
      </c>
      <c r="CF24" s="3">
        <v>443.10700000000003</v>
      </c>
      <c r="CG24" s="2">
        <v>-0.15195610000000001</v>
      </c>
      <c r="CH24" s="3">
        <v>16.834</v>
      </c>
      <c r="CI24" s="2">
        <v>0.98609919999999995</v>
      </c>
      <c r="CJ24" s="3">
        <v>917.15260000000001</v>
      </c>
      <c r="CK24" s="3">
        <v>936.27660000000003</v>
      </c>
      <c r="CL24" s="2">
        <v>2.0851489999999999</v>
      </c>
      <c r="CM24" s="3">
        <v>17.232189999999999</v>
      </c>
      <c r="CN24" s="3">
        <v>17.240390000000001</v>
      </c>
      <c r="CO24" s="3">
        <v>17.60538</v>
      </c>
      <c r="CP24" s="2">
        <v>4.2525890000000004</v>
      </c>
      <c r="CQ24" s="2">
        <v>4.2029620000000003</v>
      </c>
      <c r="CR24" s="2">
        <v>2.0426389999999999</v>
      </c>
      <c r="CS24" s="2">
        <v>4.7624109999999997E-2</v>
      </c>
      <c r="CT24" s="2">
        <v>16.17446</v>
      </c>
      <c r="CU24" s="3">
        <v>0.34365119999999999</v>
      </c>
      <c r="CV24" s="2">
        <v>-14.3072</v>
      </c>
      <c r="CW24" s="2">
        <v>4.4013929999999997</v>
      </c>
      <c r="CX24" s="2">
        <v>0.9174312</v>
      </c>
      <c r="CY24" s="2">
        <v>18.171720000000001</v>
      </c>
    </row>
    <row r="25" spans="1:103" ht="15" customHeight="1" x14ac:dyDescent="0.2">
      <c r="A25" s="1">
        <f t="shared" si="0"/>
        <v>19</v>
      </c>
      <c r="B25" s="1" t="s">
        <v>66</v>
      </c>
      <c r="C25" s="1" t="s">
        <v>65</v>
      </c>
      <c r="D25" s="1" t="s">
        <v>36</v>
      </c>
      <c r="E25" s="1" t="s">
        <v>37</v>
      </c>
      <c r="F25" s="2">
        <v>2457.5120000000002</v>
      </c>
      <c r="G25" s="2">
        <v>68.992699999999999</v>
      </c>
      <c r="H25" s="2">
        <v>1695.5039999999999</v>
      </c>
      <c r="I25" s="3">
        <v>9.4619999999999997</v>
      </c>
      <c r="J25" s="3">
        <v>0</v>
      </c>
      <c r="K25" s="2">
        <v>6.3411540000000004</v>
      </c>
      <c r="L25" s="2">
        <v>6.3411540000000004</v>
      </c>
      <c r="M25" s="2">
        <v>6.3411540000000004</v>
      </c>
      <c r="N25" s="2">
        <v>6.3411540000000004</v>
      </c>
      <c r="O25" s="2">
        <v>4.431972</v>
      </c>
      <c r="P25" s="2">
        <v>7.7897590000000001</v>
      </c>
      <c r="Q25" s="2">
        <v>7.4503940000000002</v>
      </c>
      <c r="R25" s="2">
        <v>7.6926829999999997</v>
      </c>
      <c r="S25" s="2">
        <v>2.2250960000000002</v>
      </c>
      <c r="T25" s="2">
        <v>3.860881</v>
      </c>
      <c r="U25" s="2">
        <v>3.7410969999999999</v>
      </c>
      <c r="V25" s="2">
        <v>3.6868310000000002</v>
      </c>
      <c r="W25" s="2">
        <v>0.99253270000000005</v>
      </c>
      <c r="X25" s="2">
        <v>0.89140699999999995</v>
      </c>
      <c r="Y25" s="2">
        <v>0.83845809999999998</v>
      </c>
      <c r="Z25" s="2">
        <v>0.86381260000000004</v>
      </c>
      <c r="AA25" s="2">
        <v>4.5167890000000002</v>
      </c>
      <c r="AB25" s="2">
        <v>5.0063490000000002</v>
      </c>
      <c r="AC25" s="2">
        <v>4.0163950000000002</v>
      </c>
      <c r="AD25" s="2">
        <v>3.3500450000000002</v>
      </c>
      <c r="AE25" s="2">
        <v>21.26172</v>
      </c>
      <c r="AF25" s="2">
        <v>16.298580000000001</v>
      </c>
      <c r="AG25" s="2">
        <v>13.85984</v>
      </c>
      <c r="AH25" s="2">
        <v>21.68047</v>
      </c>
      <c r="AI25" s="2">
        <v>15.687950000000001</v>
      </c>
      <c r="AJ25" s="2">
        <v>13.245100000000001</v>
      </c>
      <c r="AK25" s="3" t="e">
        <v>#N/A</v>
      </c>
      <c r="AL25" s="3" t="e">
        <v>#N/A</v>
      </c>
      <c r="AM25" s="2">
        <v>14.686920000000001</v>
      </c>
      <c r="AN25" s="2">
        <v>8.8813870000000001</v>
      </c>
      <c r="AO25" s="2">
        <v>8.3913089999999997</v>
      </c>
      <c r="AP25" s="2">
        <v>8.5874140000000008</v>
      </c>
      <c r="AQ25" s="2">
        <v>0.34392630000000002</v>
      </c>
      <c r="AR25" s="2">
        <v>7.4570339999999999E-2</v>
      </c>
      <c r="AS25" s="2">
        <v>-0.14561669999999999</v>
      </c>
      <c r="AT25" s="2">
        <v>-0.17111460000000001</v>
      </c>
      <c r="AU25" s="1" t="s">
        <v>5</v>
      </c>
      <c r="AV25" s="3">
        <v>1.34375</v>
      </c>
      <c r="AW25" s="3">
        <v>13</v>
      </c>
      <c r="AX25" s="2">
        <v>37.391669999999998</v>
      </c>
      <c r="AY25" s="2">
        <v>11.44332</v>
      </c>
      <c r="AZ25" s="2">
        <v>-17.228059999999999</v>
      </c>
      <c r="BA25" s="2">
        <v>-5.1523630000000002</v>
      </c>
      <c r="BB25" s="2">
        <v>2.3804430000000001</v>
      </c>
      <c r="BC25" s="3">
        <v>7.9379999999999997</v>
      </c>
      <c r="BD25" s="2">
        <v>19.198789999999999</v>
      </c>
      <c r="BE25" s="3">
        <v>12.41</v>
      </c>
      <c r="BF25" s="2">
        <v>-23.755040000000001</v>
      </c>
      <c r="BG25" s="2">
        <v>27.364319999999999</v>
      </c>
      <c r="BH25" s="2">
        <v>48.454030000000003</v>
      </c>
      <c r="BI25" s="2">
        <v>46.641039999999997</v>
      </c>
      <c r="BJ25" s="2">
        <v>46.964970000000001</v>
      </c>
      <c r="BK25" s="2">
        <v>12</v>
      </c>
      <c r="BL25" s="2">
        <v>13</v>
      </c>
      <c r="BM25" s="4">
        <v>16</v>
      </c>
      <c r="BN25" s="4">
        <v>0</v>
      </c>
      <c r="BO25" s="4">
        <v>1</v>
      </c>
      <c r="BP25" s="4">
        <v>15</v>
      </c>
      <c r="BQ25" s="2">
        <v>0</v>
      </c>
      <c r="BR25" s="4">
        <v>12</v>
      </c>
      <c r="BS25" s="4">
        <v>1</v>
      </c>
      <c r="BT25" s="4">
        <v>16</v>
      </c>
      <c r="BU25" s="2">
        <v>75</v>
      </c>
      <c r="BV25" s="2">
        <v>10.053699999999999</v>
      </c>
      <c r="BW25" s="2">
        <v>259.7244</v>
      </c>
      <c r="BX25" s="3">
        <v>1.1835979999999999</v>
      </c>
      <c r="BY25" s="3">
        <v>0.45571329999999999</v>
      </c>
      <c r="BZ25" s="2">
        <v>1.2803</v>
      </c>
      <c r="CA25" s="3">
        <v>0.45571329999999999</v>
      </c>
      <c r="CB25" s="3">
        <v>1.226545</v>
      </c>
      <c r="CC25" s="3">
        <v>1.2296879999999999</v>
      </c>
      <c r="CD25" s="2">
        <v>0.25622840000000002</v>
      </c>
      <c r="CE25" s="3">
        <v>465.80360000000002</v>
      </c>
      <c r="CF25" s="3">
        <v>453.68079999999998</v>
      </c>
      <c r="CG25" s="2">
        <v>-2.6025649999999998</v>
      </c>
      <c r="CH25" s="3">
        <v>12.44</v>
      </c>
      <c r="CI25" s="2">
        <v>4.5016170000000004</v>
      </c>
      <c r="CJ25" s="3">
        <v>7184.93</v>
      </c>
      <c r="CK25" s="3">
        <v>7318.0619999999999</v>
      </c>
      <c r="CL25" s="2">
        <v>1.8529420000000001</v>
      </c>
      <c r="CM25" s="3">
        <v>9.2533250000000002</v>
      </c>
      <c r="CN25" s="3">
        <v>9.6297259999999998</v>
      </c>
      <c r="CO25" s="3">
        <v>9.2704609999999992</v>
      </c>
      <c r="CP25" s="2">
        <v>2.2551420000000002</v>
      </c>
      <c r="CQ25" s="2">
        <v>-1.7417549999999999</v>
      </c>
      <c r="CR25" s="2">
        <v>2.0661230000000002</v>
      </c>
      <c r="CS25" s="2">
        <v>4.0677430000000001</v>
      </c>
      <c r="CT25" s="2">
        <v>10.987740000000001</v>
      </c>
      <c r="CU25" s="3">
        <v>0.44710840000000002</v>
      </c>
      <c r="CV25" s="2">
        <v>-488.02440000000001</v>
      </c>
      <c r="CW25" s="2">
        <v>-8.53796</v>
      </c>
      <c r="CX25" s="2">
        <v>-270.26560000000001</v>
      </c>
      <c r="CY25" s="2">
        <v>18.181819999999998</v>
      </c>
    </row>
    <row r="26" spans="1:103" ht="15" customHeight="1" x14ac:dyDescent="0.2">
      <c r="A26" s="1">
        <f t="shared" si="0"/>
        <v>20</v>
      </c>
      <c r="B26" s="1" t="s">
        <v>68</v>
      </c>
      <c r="C26" s="1" t="s">
        <v>67</v>
      </c>
      <c r="D26" s="1" t="s">
        <v>47</v>
      </c>
      <c r="E26" s="1" t="s">
        <v>48</v>
      </c>
      <c r="F26" s="2">
        <v>20910.349999999999</v>
      </c>
      <c r="G26" s="2">
        <v>29.863099999999999</v>
      </c>
      <c r="H26" s="2">
        <v>6244.48</v>
      </c>
      <c r="I26" s="3">
        <v>19.75</v>
      </c>
      <c r="J26" s="3">
        <v>0</v>
      </c>
      <c r="K26" s="2">
        <v>8.0506329999999995</v>
      </c>
      <c r="L26" s="2">
        <v>5.2693570000000003</v>
      </c>
      <c r="M26" s="2">
        <v>5.9110110000000002</v>
      </c>
      <c r="N26" s="2">
        <v>6.9620249999999997</v>
      </c>
      <c r="O26" s="2">
        <v>8.719913</v>
      </c>
      <c r="P26" s="2">
        <v>13.34459</v>
      </c>
      <c r="Q26" s="2">
        <v>11.924099999999999</v>
      </c>
      <c r="R26" s="2">
        <v>10.366899999999999</v>
      </c>
      <c r="S26" s="2">
        <v>5.3137629999999998</v>
      </c>
      <c r="T26" s="2">
        <v>7.1781769999999998</v>
      </c>
      <c r="U26" s="2">
        <v>6.6580300000000001</v>
      </c>
      <c r="V26" s="2">
        <v>6.3719939999999999</v>
      </c>
      <c r="W26" s="2">
        <v>3.7612950000000001</v>
      </c>
      <c r="X26" s="2">
        <v>3.7824279999999999</v>
      </c>
      <c r="Y26" s="2">
        <v>3.389313</v>
      </c>
      <c r="Z26" s="2">
        <v>2.9878969999999998</v>
      </c>
      <c r="AA26" s="2">
        <v>4.6743519999999998</v>
      </c>
      <c r="AB26" s="2">
        <v>6.1144860000000003</v>
      </c>
      <c r="AC26" s="2">
        <v>5.6260240000000001</v>
      </c>
      <c r="AD26" s="2">
        <v>5.148968</v>
      </c>
      <c r="AE26" s="2">
        <v>2.4502579999999998</v>
      </c>
      <c r="AF26" s="2">
        <v>2.5478480000000001</v>
      </c>
      <c r="AG26" s="2">
        <v>4.2005710000000001</v>
      </c>
      <c r="AH26" s="2">
        <v>3.8254730000000001</v>
      </c>
      <c r="AI26" s="2">
        <v>4.0022039999999999</v>
      </c>
      <c r="AJ26" s="2">
        <v>6.6113879999999998</v>
      </c>
      <c r="AK26" s="3">
        <v>6.4146609999999997</v>
      </c>
      <c r="AL26" s="3">
        <v>5.8602610000000004</v>
      </c>
      <c r="AM26" s="2">
        <v>16.91695</v>
      </c>
      <c r="AN26" s="2">
        <v>20.172339999999998</v>
      </c>
      <c r="AO26" s="2">
        <v>21.853300000000001</v>
      </c>
      <c r="AP26" s="2">
        <v>23.913139999999999</v>
      </c>
      <c r="AQ26" s="2">
        <v>1.9586699999999999</v>
      </c>
      <c r="AR26" s="2">
        <v>2.5804749999999999</v>
      </c>
      <c r="AS26" s="2">
        <v>2.419454</v>
      </c>
      <c r="AT26" s="2">
        <v>2.3235239999999999</v>
      </c>
      <c r="AU26" s="1" t="s">
        <v>19</v>
      </c>
      <c r="AV26" s="3">
        <v>1.5</v>
      </c>
      <c r="AW26" s="3">
        <v>22.1</v>
      </c>
      <c r="AX26" s="2">
        <v>11.89873</v>
      </c>
      <c r="AY26" s="2">
        <v>28.344270000000002</v>
      </c>
      <c r="AZ26" s="2">
        <v>3.6</v>
      </c>
      <c r="BA26" s="2">
        <v>0.68825480000000006</v>
      </c>
      <c r="BB26" s="2">
        <v>11.99319</v>
      </c>
      <c r="BC26" s="3">
        <v>14.07</v>
      </c>
      <c r="BD26" s="2">
        <v>40.369579999999999</v>
      </c>
      <c r="BE26" s="3">
        <v>21.06</v>
      </c>
      <c r="BF26" s="2">
        <v>-6.2203229999999996</v>
      </c>
      <c r="BG26" s="2">
        <v>68.566779999999994</v>
      </c>
      <c r="BH26" s="2">
        <v>71.960949999999997</v>
      </c>
      <c r="BI26" s="2">
        <v>69.970389999999995</v>
      </c>
      <c r="BJ26" s="2">
        <v>72.783330000000007</v>
      </c>
      <c r="BK26" s="2">
        <v>19</v>
      </c>
      <c r="BL26" s="2">
        <v>17</v>
      </c>
      <c r="BM26" s="4">
        <v>21</v>
      </c>
      <c r="BN26" s="4">
        <v>0</v>
      </c>
      <c r="BO26" s="4">
        <v>0</v>
      </c>
      <c r="BP26" s="4">
        <v>21</v>
      </c>
      <c r="BQ26" s="2">
        <v>0</v>
      </c>
      <c r="BR26" s="4">
        <v>13</v>
      </c>
      <c r="BS26" s="4">
        <v>1</v>
      </c>
      <c r="BT26" s="4">
        <v>21</v>
      </c>
      <c r="BU26" s="2">
        <v>61.904760000000003</v>
      </c>
      <c r="BV26" s="2">
        <v>6.5879700000000003</v>
      </c>
      <c r="BW26" s="2">
        <v>1058.752</v>
      </c>
      <c r="BX26" s="3">
        <v>1.2212829999999999</v>
      </c>
      <c r="BY26" s="3">
        <v>0.1153512</v>
      </c>
      <c r="BZ26" s="2">
        <v>0.48689700000000002</v>
      </c>
      <c r="CA26" s="3">
        <v>0.1153512</v>
      </c>
      <c r="CB26" s="3">
        <v>1.5524910000000001</v>
      </c>
      <c r="CC26" s="3">
        <v>1.4897830000000001</v>
      </c>
      <c r="CD26" s="2">
        <v>-4.0392039999999998</v>
      </c>
      <c r="CE26" s="3">
        <v>2603.4859999999999</v>
      </c>
      <c r="CF26" s="3">
        <v>2622.7640000000001</v>
      </c>
      <c r="CG26" s="2">
        <v>0.74046849999999997</v>
      </c>
      <c r="CH26" s="3">
        <v>21.617999999999999</v>
      </c>
      <c r="CI26" s="2">
        <v>2.2296309999999999</v>
      </c>
      <c r="CJ26" s="3">
        <v>23037.02</v>
      </c>
      <c r="CK26" s="3">
        <v>23398.6</v>
      </c>
      <c r="CL26" s="2">
        <v>1.5695330000000001</v>
      </c>
      <c r="CM26" s="3">
        <v>17.879249999999999</v>
      </c>
      <c r="CN26" s="3">
        <v>19.027840000000001</v>
      </c>
      <c r="CO26" s="3">
        <v>19.533850000000001</v>
      </c>
      <c r="CP26" s="2">
        <v>10.463240000000001</v>
      </c>
      <c r="CQ26" s="2">
        <v>3.7952780000000002</v>
      </c>
      <c r="CR26" s="2">
        <v>1.10656</v>
      </c>
      <c r="CS26" s="2">
        <v>6.4241529999999996</v>
      </c>
      <c r="CT26" s="2">
        <v>26.482880000000002</v>
      </c>
      <c r="CU26" s="3">
        <v>0.1266496</v>
      </c>
      <c r="CV26" s="2" t="e">
        <v>#N/A</v>
      </c>
      <c r="CW26" s="2" t="e">
        <v>#N/A</v>
      </c>
      <c r="CX26" s="2">
        <v>9.4048280000000002</v>
      </c>
      <c r="CY26" s="2">
        <v>19.08081</v>
      </c>
    </row>
    <row r="27" spans="1:103" ht="15" customHeight="1" x14ac:dyDescent="0.2">
      <c r="A27" s="1">
        <f t="shared" si="0"/>
        <v>21</v>
      </c>
      <c r="B27" s="1" t="s">
        <v>70</v>
      </c>
      <c r="C27" s="1" t="s">
        <v>69</v>
      </c>
      <c r="D27" s="1" t="s">
        <v>22</v>
      </c>
      <c r="E27" s="1" t="s">
        <v>23</v>
      </c>
      <c r="F27" s="2">
        <v>23389.72</v>
      </c>
      <c r="G27" s="2">
        <v>88.782200000000003</v>
      </c>
      <c r="H27" s="2">
        <v>20765.91</v>
      </c>
      <c r="I27" s="3">
        <v>4.05</v>
      </c>
      <c r="J27" s="3">
        <v>0</v>
      </c>
      <c r="K27" s="2">
        <v>7.4074070000000001</v>
      </c>
      <c r="L27" s="2">
        <v>7.4074070000000001</v>
      </c>
      <c r="M27" s="2">
        <v>7.4074070000000001</v>
      </c>
      <c r="N27" s="2">
        <v>7.4074070000000001</v>
      </c>
      <c r="O27" s="2">
        <v>12.272729999999999</v>
      </c>
      <c r="P27" s="2">
        <v>13.5</v>
      </c>
      <c r="Q27" s="2">
        <v>11.25</v>
      </c>
      <c r="R27" s="2">
        <v>11.911770000000001</v>
      </c>
      <c r="S27" s="2">
        <v>4.2510180000000002</v>
      </c>
      <c r="T27" s="2">
        <v>4.4236500000000003</v>
      </c>
      <c r="U27" s="2">
        <v>4.2565720000000002</v>
      </c>
      <c r="V27" s="2">
        <v>3.9424100000000002</v>
      </c>
      <c r="W27" s="2">
        <v>0.93230179999999996</v>
      </c>
      <c r="X27" s="2">
        <v>0.92952100000000004</v>
      </c>
      <c r="Y27" s="2">
        <v>0.92045460000000001</v>
      </c>
      <c r="Z27" s="2">
        <v>0.92045460000000001</v>
      </c>
      <c r="AA27" s="2">
        <v>2.1461209999999999</v>
      </c>
      <c r="AB27" s="2">
        <v>2.2706689999999998</v>
      </c>
      <c r="AC27" s="2">
        <v>2.1658469999999999</v>
      </c>
      <c r="AD27" s="2">
        <v>2.3623210000000001</v>
      </c>
      <c r="AE27" s="2">
        <v>6.4511380000000003</v>
      </c>
      <c r="AF27" s="2">
        <v>6.7252130000000001</v>
      </c>
      <c r="AG27" s="2">
        <v>7.3468330000000002</v>
      </c>
      <c r="AH27" s="2">
        <v>15.77699</v>
      </c>
      <c r="AI27" s="2">
        <v>16.086760000000002</v>
      </c>
      <c r="AJ27" s="2">
        <v>16.358979999999999</v>
      </c>
      <c r="AK27" s="3" t="e">
        <v>#N/A</v>
      </c>
      <c r="AL27" s="3" t="e">
        <v>#N/A</v>
      </c>
      <c r="AM27" s="2">
        <v>32.135620000000003</v>
      </c>
      <c r="AN27" s="2">
        <v>32.35136</v>
      </c>
      <c r="AO27" s="2">
        <v>32.525799999999997</v>
      </c>
      <c r="AP27" s="2">
        <v>32.325290000000003</v>
      </c>
      <c r="AQ27" s="2">
        <v>2.7299169999999999</v>
      </c>
      <c r="AR27" s="2">
        <v>2.6148400000000001</v>
      </c>
      <c r="AS27" s="2">
        <v>2.4770750000000001</v>
      </c>
      <c r="AT27" s="2">
        <v>2.1718709999999999</v>
      </c>
      <c r="AU27" s="1" t="s">
        <v>52</v>
      </c>
      <c r="AV27" s="3">
        <v>1.6481479999999999</v>
      </c>
      <c r="AW27" s="3">
        <v>4.25</v>
      </c>
      <c r="AX27" s="2">
        <v>4.938269</v>
      </c>
      <c r="AY27" s="2">
        <v>6.8853410000000004</v>
      </c>
      <c r="AZ27" s="2">
        <v>-10.865880000000001</v>
      </c>
      <c r="BA27" s="2">
        <v>-18.935140000000001</v>
      </c>
      <c r="BB27" s="2">
        <v>19.645499999999998</v>
      </c>
      <c r="BC27" s="3">
        <v>3.218</v>
      </c>
      <c r="BD27" s="2">
        <v>25.854579999999999</v>
      </c>
      <c r="BE27" s="3">
        <v>5.0640000000000001</v>
      </c>
      <c r="BF27" s="2">
        <v>-20.023700000000002</v>
      </c>
      <c r="BG27" s="2">
        <v>90.909099999999995</v>
      </c>
      <c r="BH27" s="2">
        <v>97.858440000000002</v>
      </c>
      <c r="BI27" s="2">
        <v>89.665350000000004</v>
      </c>
      <c r="BJ27" s="2">
        <v>88.624799999999993</v>
      </c>
      <c r="BK27" s="2">
        <v>23</v>
      </c>
      <c r="BL27" s="2">
        <v>19</v>
      </c>
      <c r="BM27" s="4">
        <v>27</v>
      </c>
      <c r="BN27" s="4">
        <v>1</v>
      </c>
      <c r="BO27" s="4">
        <v>1</v>
      </c>
      <c r="BP27" s="4">
        <v>25</v>
      </c>
      <c r="BQ27" s="2">
        <v>3.7037040000000001</v>
      </c>
      <c r="BR27" s="4">
        <v>13</v>
      </c>
      <c r="BS27" s="4">
        <v>3</v>
      </c>
      <c r="BT27" s="4">
        <v>27</v>
      </c>
      <c r="BU27" s="2">
        <v>48.148150000000001</v>
      </c>
      <c r="BV27" s="2">
        <v>8.8132400000000004</v>
      </c>
      <c r="BW27" s="2">
        <v>5775.2380000000003</v>
      </c>
      <c r="BX27" s="3">
        <v>17.219850000000001</v>
      </c>
      <c r="BY27" s="3">
        <v>0.29816700000000002</v>
      </c>
      <c r="BZ27" s="2">
        <v>0.92444800000000005</v>
      </c>
      <c r="CA27" s="3">
        <v>0.29816700000000002</v>
      </c>
      <c r="CB27" s="3">
        <v>0.3010621</v>
      </c>
      <c r="CC27" s="3">
        <v>0.30486220000000003</v>
      </c>
      <c r="CD27" s="2">
        <v>1.262224</v>
      </c>
      <c r="CE27" s="3">
        <v>4081.069</v>
      </c>
      <c r="CF27" s="3">
        <v>4168.8810000000003</v>
      </c>
      <c r="CG27" s="2">
        <v>2.1516920000000002</v>
      </c>
      <c r="CH27" s="3">
        <v>4.4508700000000001</v>
      </c>
      <c r="CI27" s="2">
        <v>-4.5130429999999997</v>
      </c>
      <c r="CJ27" s="3">
        <v>40241.589999999997</v>
      </c>
      <c r="CK27" s="3">
        <v>40151.94</v>
      </c>
      <c r="CL27" s="2">
        <v>-0.22278429999999999</v>
      </c>
      <c r="CM27" s="3">
        <v>3.7766820000000001</v>
      </c>
      <c r="CN27" s="3">
        <v>3.8319999999999999</v>
      </c>
      <c r="CO27" s="3">
        <v>3.9064230000000002</v>
      </c>
      <c r="CP27" s="2">
        <v>7.236993</v>
      </c>
      <c r="CQ27" s="2">
        <v>5.68893</v>
      </c>
      <c r="CR27" s="2">
        <v>3.6754129999999998</v>
      </c>
      <c r="CS27" s="2">
        <v>1.464736</v>
      </c>
      <c r="CT27" s="2">
        <v>58.446820000000002</v>
      </c>
      <c r="CU27" s="3">
        <v>0.24988250000000001</v>
      </c>
      <c r="CV27" s="2">
        <v>20</v>
      </c>
      <c r="CW27" s="2">
        <v>0.565442</v>
      </c>
      <c r="CX27" s="2">
        <v>8.3582809999999998</v>
      </c>
      <c r="CY27" s="2">
        <v>19.101009999999999</v>
      </c>
    </row>
    <row r="28" spans="1:103" ht="15" customHeight="1" x14ac:dyDescent="0.2">
      <c r="A28" s="1">
        <f t="shared" si="0"/>
        <v>22</v>
      </c>
      <c r="B28" s="1" t="s">
        <v>72</v>
      </c>
      <c r="C28" s="1" t="s">
        <v>71</v>
      </c>
      <c r="D28" s="1" t="s">
        <v>47</v>
      </c>
      <c r="E28" s="1" t="s">
        <v>48</v>
      </c>
      <c r="F28" s="2">
        <v>27149.19</v>
      </c>
      <c r="G28" s="2">
        <v>12.858599999999999</v>
      </c>
      <c r="H28" s="2">
        <v>3491.0050000000001</v>
      </c>
      <c r="I28" s="3">
        <v>28</v>
      </c>
      <c r="J28" s="3">
        <v>0</v>
      </c>
      <c r="K28" s="2">
        <v>4.2857149999999997</v>
      </c>
      <c r="L28" s="2">
        <v>4.2857149999999997</v>
      </c>
      <c r="M28" s="2">
        <v>4.2857149999999997</v>
      </c>
      <c r="N28" s="2">
        <v>4.2857149999999997</v>
      </c>
      <c r="O28" s="2">
        <v>16.460909999999998</v>
      </c>
      <c r="P28" s="2">
        <v>15.38461</v>
      </c>
      <c r="Q28" s="2">
        <v>17.5</v>
      </c>
      <c r="R28" s="2">
        <v>18.064520000000002</v>
      </c>
      <c r="S28" s="2">
        <v>7.244008</v>
      </c>
      <c r="T28" s="2">
        <v>8.0551759999999994</v>
      </c>
      <c r="U28" s="2">
        <v>8.8648240000000005</v>
      </c>
      <c r="V28" s="2">
        <v>8.8420679999999994</v>
      </c>
      <c r="W28" s="2">
        <v>3.589744</v>
      </c>
      <c r="X28" s="2">
        <v>3.4271729999999998</v>
      </c>
      <c r="Y28" s="2">
        <v>3.2962210000000001</v>
      </c>
      <c r="Z28" s="2">
        <v>3.0368759999999999</v>
      </c>
      <c r="AA28" s="2">
        <v>8.7222480000000004</v>
      </c>
      <c r="AB28" s="2">
        <v>8.6409090000000006</v>
      </c>
      <c r="AC28" s="2">
        <v>8.7774300000000007</v>
      </c>
      <c r="AD28" s="2">
        <v>8.8050309999999996</v>
      </c>
      <c r="AE28" s="2">
        <v>1.397956</v>
      </c>
      <c r="AF28" s="2">
        <v>1.009876</v>
      </c>
      <c r="AG28" s="2">
        <v>-0.2294455</v>
      </c>
      <c r="AH28" s="2">
        <v>2.0651329999999999</v>
      </c>
      <c r="AI28" s="2">
        <v>1.535139</v>
      </c>
      <c r="AJ28" s="2">
        <v>-0.35667120000000002</v>
      </c>
      <c r="AK28" s="3" t="e">
        <v>#N/A</v>
      </c>
      <c r="AL28" s="3" t="e">
        <v>#N/A</v>
      </c>
      <c r="AM28" s="2">
        <v>14.585599999999999</v>
      </c>
      <c r="AN28" s="2">
        <v>17.028929999999999</v>
      </c>
      <c r="AO28" s="2">
        <v>17.197410000000001</v>
      </c>
      <c r="AP28" s="2">
        <v>20.1265</v>
      </c>
      <c r="AQ28" s="2">
        <v>2.4859710000000002</v>
      </c>
      <c r="AR28" s="2">
        <v>2.6023640000000001</v>
      </c>
      <c r="AS28" s="2">
        <v>3.0331860000000002</v>
      </c>
      <c r="AT28" s="2">
        <v>3.153991</v>
      </c>
      <c r="AU28" s="1" t="s">
        <v>73</v>
      </c>
      <c r="AV28" s="3">
        <v>2.7352940000000001</v>
      </c>
      <c r="AW28" s="3">
        <v>24.37</v>
      </c>
      <c r="AX28" s="2">
        <v>-12.96428</v>
      </c>
      <c r="AY28" s="2">
        <v>22.276620000000001</v>
      </c>
      <c r="AZ28" s="2">
        <v>-0.2</v>
      </c>
      <c r="BA28" s="2">
        <v>-5.2774010000000002</v>
      </c>
      <c r="BB28" s="2">
        <v>15.178940000000001</v>
      </c>
      <c r="BC28" s="3">
        <v>22.16</v>
      </c>
      <c r="BD28" s="2">
        <v>26.35379</v>
      </c>
      <c r="BE28" s="3">
        <v>30.05</v>
      </c>
      <c r="BF28" s="2">
        <v>-6.8219599999999998</v>
      </c>
      <c r="BG28" s="2">
        <v>70.644419999999997</v>
      </c>
      <c r="BH28" s="2">
        <v>66.668329999999997</v>
      </c>
      <c r="BI28" s="2">
        <v>74.930440000000004</v>
      </c>
      <c r="BJ28" s="2">
        <v>77.365070000000003</v>
      </c>
      <c r="BK28" s="2">
        <v>15</v>
      </c>
      <c r="BL28" s="2">
        <v>14</v>
      </c>
      <c r="BM28" s="4">
        <v>17</v>
      </c>
      <c r="BN28" s="4">
        <v>0</v>
      </c>
      <c r="BO28" s="4">
        <v>1</v>
      </c>
      <c r="BP28" s="4">
        <v>17</v>
      </c>
      <c r="BQ28" s="2">
        <v>0</v>
      </c>
      <c r="BR28" s="4">
        <v>0</v>
      </c>
      <c r="BS28" s="4">
        <v>13</v>
      </c>
      <c r="BT28" s="4">
        <v>17</v>
      </c>
      <c r="BU28" s="2">
        <v>0</v>
      </c>
      <c r="BV28" s="2">
        <v>7.4506199999999998</v>
      </c>
      <c r="BW28" s="2">
        <v>969.61379999999997</v>
      </c>
      <c r="BX28" s="3">
        <v>0.40161730000000001</v>
      </c>
      <c r="BY28" s="3">
        <v>4.1420329999999998E-2</v>
      </c>
      <c r="BZ28" s="2">
        <v>0.65017899999999995</v>
      </c>
      <c r="CA28" s="3">
        <v>4.1420329999999998E-2</v>
      </c>
      <c r="CB28" s="3">
        <v>1.6626810000000001</v>
      </c>
      <c r="CC28" s="3">
        <v>1.7988839999999999</v>
      </c>
      <c r="CD28" s="2">
        <v>8.1917880000000007</v>
      </c>
      <c r="CE28" s="3">
        <v>2842.5120000000002</v>
      </c>
      <c r="CF28" s="3">
        <v>3266.3539999999998</v>
      </c>
      <c r="CG28" s="2">
        <v>14.910830000000001</v>
      </c>
      <c r="CH28" s="3">
        <v>23.32</v>
      </c>
      <c r="CI28" s="2">
        <v>4.5025829999999996</v>
      </c>
      <c r="CJ28" s="3">
        <v>26597.18</v>
      </c>
      <c r="CK28" s="3">
        <v>30124.84</v>
      </c>
      <c r="CL28" s="2">
        <v>13.26328</v>
      </c>
      <c r="CM28" s="3">
        <v>26.49588</v>
      </c>
      <c r="CN28" s="3">
        <v>26.867249999999999</v>
      </c>
      <c r="CO28" s="3">
        <v>27.508849999999999</v>
      </c>
      <c r="CP28" s="2">
        <v>5.676806</v>
      </c>
      <c r="CQ28" s="2">
        <v>4.2160989999999998</v>
      </c>
      <c r="CR28" s="2">
        <v>1.785433</v>
      </c>
      <c r="CS28" s="2">
        <v>1.4016150000000001</v>
      </c>
      <c r="CT28" s="2">
        <v>10.77163</v>
      </c>
      <c r="CU28" s="3">
        <v>3.967569E-2</v>
      </c>
      <c r="CV28" s="2" t="e">
        <v>#N/A</v>
      </c>
      <c r="CW28" s="2" t="e">
        <v>#N/A</v>
      </c>
      <c r="CX28" s="2">
        <v>-7.5689229999999998</v>
      </c>
      <c r="CY28" s="2">
        <v>19.282830000000001</v>
      </c>
    </row>
    <row r="29" spans="1:103" ht="15" customHeight="1" x14ac:dyDescent="0.2">
      <c r="A29" s="1">
        <f t="shared" si="0"/>
        <v>23</v>
      </c>
      <c r="B29" s="1" t="s">
        <v>75</v>
      </c>
      <c r="C29" s="1" t="s">
        <v>74</v>
      </c>
      <c r="D29" s="1" t="s">
        <v>76</v>
      </c>
      <c r="E29" s="1" t="s">
        <v>77</v>
      </c>
      <c r="F29" s="2">
        <v>18357.89</v>
      </c>
      <c r="G29" s="2">
        <v>96.075999999999993</v>
      </c>
      <c r="H29" s="2">
        <v>17637.53</v>
      </c>
      <c r="I29" s="3">
        <v>13.83</v>
      </c>
      <c r="J29" s="3">
        <v>0</v>
      </c>
      <c r="K29" s="2">
        <v>5.0614600000000003</v>
      </c>
      <c r="L29" s="2">
        <v>5.0614600000000003</v>
      </c>
      <c r="M29" s="2">
        <v>5.422993</v>
      </c>
      <c r="N29" s="2">
        <v>5.7163120000000003</v>
      </c>
      <c r="O29" s="2">
        <v>2.9818250000000002</v>
      </c>
      <c r="P29" s="2">
        <v>4.3101149999999997</v>
      </c>
      <c r="Q29" s="2">
        <v>5.298851</v>
      </c>
      <c r="R29" s="2">
        <v>5.3192310000000003</v>
      </c>
      <c r="S29" s="2">
        <v>1.6749700000000001</v>
      </c>
      <c r="T29" s="2">
        <v>1.8227660000000001</v>
      </c>
      <c r="U29" s="2">
        <v>2.0506229999999999</v>
      </c>
      <c r="V29" s="2">
        <v>2.1440350000000001</v>
      </c>
      <c r="W29" s="2">
        <v>0.76918799999999998</v>
      </c>
      <c r="X29" s="2">
        <v>0.64580899999999997</v>
      </c>
      <c r="Y29" s="2">
        <v>0.57650619999999997</v>
      </c>
      <c r="Z29" s="2">
        <v>0.55033829999999995</v>
      </c>
      <c r="AA29" s="2">
        <v>2.2859500000000001</v>
      </c>
      <c r="AB29" s="2">
        <v>2.3387099999999998</v>
      </c>
      <c r="AC29" s="2">
        <v>2.4633639999999999</v>
      </c>
      <c r="AD29" s="2">
        <v>2.2870509999999999</v>
      </c>
      <c r="AE29" s="2">
        <v>17.721800000000002</v>
      </c>
      <c r="AF29" s="2">
        <v>12.70636</v>
      </c>
      <c r="AG29" s="2">
        <v>12.37767</v>
      </c>
      <c r="AH29" s="2">
        <v>18.130680000000002</v>
      </c>
      <c r="AI29" s="2">
        <v>12.95851</v>
      </c>
      <c r="AJ29" s="2">
        <v>12.745430000000001</v>
      </c>
      <c r="AK29" s="3" t="e">
        <v>#N/A</v>
      </c>
      <c r="AL29" s="3" t="e">
        <v>#N/A</v>
      </c>
      <c r="AM29" s="2">
        <v>17.41527</v>
      </c>
      <c r="AN29" s="2">
        <v>16.52618</v>
      </c>
      <c r="AO29" s="2">
        <v>15.63223</v>
      </c>
      <c r="AP29" s="2">
        <v>15.72156</v>
      </c>
      <c r="AQ29" s="2">
        <v>0.1830416</v>
      </c>
      <c r="AR29" s="2">
        <v>4.110726E-2</v>
      </c>
      <c r="AS29" s="2">
        <v>3.990142E-2</v>
      </c>
      <c r="AT29" s="2">
        <v>6.1863189999999998E-2</v>
      </c>
      <c r="AU29" s="1" t="s">
        <v>5</v>
      </c>
      <c r="AV29" s="3">
        <v>1.303571</v>
      </c>
      <c r="AW29" s="3">
        <v>18.02</v>
      </c>
      <c r="AX29" s="2">
        <v>30.29646</v>
      </c>
      <c r="AY29" s="2">
        <v>14.98357</v>
      </c>
      <c r="AZ29" s="2">
        <v>-10.75822</v>
      </c>
      <c r="BA29" s="2">
        <v>0.4357219</v>
      </c>
      <c r="BB29" s="2">
        <v>-6.86869</v>
      </c>
      <c r="BC29" s="3">
        <v>11.05</v>
      </c>
      <c r="BD29" s="2">
        <v>25.158370000000001</v>
      </c>
      <c r="BE29" s="3">
        <v>16.23</v>
      </c>
      <c r="BF29" s="2">
        <v>-14.787430000000001</v>
      </c>
      <c r="BG29" s="2">
        <v>14.93069</v>
      </c>
      <c r="BH29" s="2">
        <v>22.551010000000002</v>
      </c>
      <c r="BI29" s="2">
        <v>29.593900000000001</v>
      </c>
      <c r="BJ29" s="2">
        <v>30.216010000000001</v>
      </c>
      <c r="BK29" s="2">
        <v>26</v>
      </c>
      <c r="BL29" s="2">
        <v>22</v>
      </c>
      <c r="BM29" s="4">
        <v>28</v>
      </c>
      <c r="BN29" s="4">
        <v>1</v>
      </c>
      <c r="BO29" s="4">
        <v>1</v>
      </c>
      <c r="BP29" s="4">
        <v>25</v>
      </c>
      <c r="BQ29" s="2">
        <v>3.7037040000000001</v>
      </c>
      <c r="BR29" s="4">
        <v>20</v>
      </c>
      <c r="BS29" s="4">
        <v>0</v>
      </c>
      <c r="BT29" s="4">
        <v>28</v>
      </c>
      <c r="BU29" s="2">
        <v>71.428569999999993</v>
      </c>
      <c r="BV29" s="2">
        <v>12.8184</v>
      </c>
      <c r="BW29" s="2">
        <v>1327.396</v>
      </c>
      <c r="BX29" s="3">
        <v>6.624409</v>
      </c>
      <c r="BY29" s="3">
        <v>0.49905290000000002</v>
      </c>
      <c r="BZ29" s="2">
        <v>1.6253599999999999</v>
      </c>
      <c r="CA29" s="3">
        <v>0.49905290000000002</v>
      </c>
      <c r="CB29" s="3">
        <v>3.2290999999999999</v>
      </c>
      <c r="CC29" s="3">
        <v>3.1732499999999999</v>
      </c>
      <c r="CD29" s="2">
        <v>-1.7296020000000001</v>
      </c>
      <c r="CE29" s="3">
        <v>7732.027</v>
      </c>
      <c r="CF29" s="3">
        <v>7465.3680000000004</v>
      </c>
      <c r="CG29" s="2">
        <v>-3.448766</v>
      </c>
      <c r="CH29" s="3">
        <v>17.910799999999998</v>
      </c>
      <c r="CI29" s="2">
        <v>0.609684</v>
      </c>
      <c r="CJ29" s="3">
        <v>76698.53</v>
      </c>
      <c r="CK29" s="3">
        <v>69422.41</v>
      </c>
      <c r="CL29" s="2">
        <v>-9.4866569999999992</v>
      </c>
      <c r="CM29" s="3">
        <v>13.73555</v>
      </c>
      <c r="CN29" s="3">
        <v>14.52088</v>
      </c>
      <c r="CO29" s="3">
        <v>14.042120000000001</v>
      </c>
      <c r="CP29" s="2">
        <v>0.68761110000000003</v>
      </c>
      <c r="CQ29" s="2">
        <v>-4.7578519999999997</v>
      </c>
      <c r="CR29" s="2">
        <v>-1.5105660000000001</v>
      </c>
      <c r="CS29" s="2">
        <v>5.717492</v>
      </c>
      <c r="CT29" s="2">
        <v>93.3202</v>
      </c>
      <c r="CU29" s="3">
        <v>0.50833839999999997</v>
      </c>
      <c r="CV29" s="2">
        <v>16.808979999999998</v>
      </c>
      <c r="CW29" s="2">
        <v>-63.448390000000003</v>
      </c>
      <c r="CX29" s="2">
        <v>4.4712949999999996</v>
      </c>
      <c r="CY29" s="2">
        <v>19.565660000000001</v>
      </c>
    </row>
    <row r="30" spans="1:103" ht="15" customHeight="1" x14ac:dyDescent="0.2">
      <c r="A30" s="1">
        <f t="shared" si="0"/>
        <v>24</v>
      </c>
      <c r="B30" s="1" t="s">
        <v>79</v>
      </c>
      <c r="C30" s="1" t="s">
        <v>78</v>
      </c>
      <c r="D30" s="1" t="s">
        <v>80</v>
      </c>
      <c r="E30" s="1" t="s">
        <v>81</v>
      </c>
      <c r="F30" s="2">
        <v>4001.3589999999999</v>
      </c>
      <c r="G30" s="2">
        <v>69.103999999999999</v>
      </c>
      <c r="H30" s="2">
        <v>2765.0990000000002</v>
      </c>
      <c r="I30" s="3">
        <v>9.39</v>
      </c>
      <c r="J30" s="3">
        <v>0</v>
      </c>
      <c r="K30" s="2">
        <v>0</v>
      </c>
      <c r="L30" s="2">
        <v>0</v>
      </c>
      <c r="M30" s="2">
        <v>1.027689E-2</v>
      </c>
      <c r="N30" s="2">
        <v>5.2410439999999996</v>
      </c>
      <c r="O30" s="2">
        <v>20.866669999999999</v>
      </c>
      <c r="P30" s="2">
        <v>15.65</v>
      </c>
      <c r="Q30" s="2">
        <v>8.3232359999999996</v>
      </c>
      <c r="R30" s="2">
        <v>6.7553960000000002</v>
      </c>
      <c r="S30" s="2">
        <v>13.37961</v>
      </c>
      <c r="T30" s="2">
        <v>10.75412</v>
      </c>
      <c r="U30" s="2">
        <v>7.9118019999999998</v>
      </c>
      <c r="V30" s="2">
        <v>6.4258430000000004</v>
      </c>
      <c r="W30" s="2">
        <v>1.046986</v>
      </c>
      <c r="X30" s="2">
        <v>1.0053529999999999</v>
      </c>
      <c r="Y30" s="2">
        <v>0.90133430000000003</v>
      </c>
      <c r="Z30" s="2">
        <v>0.73372349999999997</v>
      </c>
      <c r="AA30" s="2">
        <v>34.441450000000003</v>
      </c>
      <c r="AB30" s="2">
        <v>6.8540150000000004</v>
      </c>
      <c r="AC30" s="2">
        <v>6.058065</v>
      </c>
      <c r="AD30" s="2">
        <v>4.9378080000000004</v>
      </c>
      <c r="AE30" s="2">
        <v>4.2173689999999997</v>
      </c>
      <c r="AF30" s="2">
        <v>5.7603790000000004</v>
      </c>
      <c r="AG30" s="2">
        <v>7.5271020000000002</v>
      </c>
      <c r="AH30" s="2">
        <v>14.48212</v>
      </c>
      <c r="AI30" s="2">
        <v>18.844239999999999</v>
      </c>
      <c r="AJ30" s="2">
        <v>22.775600000000001</v>
      </c>
      <c r="AK30" s="3">
        <v>0.44941720000000002</v>
      </c>
      <c r="AL30" s="3">
        <v>0.26676260000000002</v>
      </c>
      <c r="AM30" s="2">
        <v>20.5641</v>
      </c>
      <c r="AN30" s="2">
        <v>21.813099999999999</v>
      </c>
      <c r="AO30" s="2">
        <v>26.22139</v>
      </c>
      <c r="AP30" s="2">
        <v>27.625019999999999</v>
      </c>
      <c r="AQ30" s="2">
        <v>8.0577380000000005</v>
      </c>
      <c r="AR30" s="2">
        <v>6.7514729999999998</v>
      </c>
      <c r="AS30" s="2">
        <v>4.8381689999999997</v>
      </c>
      <c r="AT30" s="2">
        <v>3.7527780000000002</v>
      </c>
      <c r="AU30" s="1" t="s">
        <v>5</v>
      </c>
      <c r="AV30" s="3">
        <v>1.4</v>
      </c>
      <c r="AW30" s="3">
        <v>18.399999999999999</v>
      </c>
      <c r="AX30" s="2">
        <v>95.953130000000002</v>
      </c>
      <c r="AY30" s="2">
        <v>6.4239829999999998</v>
      </c>
      <c r="AZ30" s="2">
        <v>32.056660000000001</v>
      </c>
      <c r="BA30" s="2">
        <v>-39.711069999999999</v>
      </c>
      <c r="BB30" s="2">
        <v>-12.813370000000001</v>
      </c>
      <c r="BC30" s="3">
        <v>7.82</v>
      </c>
      <c r="BD30" s="2">
        <v>20.076730000000001</v>
      </c>
      <c r="BE30" s="3">
        <v>20.28</v>
      </c>
      <c r="BF30" s="2">
        <v>-53.698219999999999</v>
      </c>
      <c r="BG30" s="2">
        <v>2.553296</v>
      </c>
      <c r="BH30" s="2">
        <v>7.9533469999999999</v>
      </c>
      <c r="BI30" s="2">
        <v>15.88298</v>
      </c>
      <c r="BJ30" s="2">
        <v>32.497160000000001</v>
      </c>
      <c r="BK30" s="2">
        <v>17</v>
      </c>
      <c r="BL30" s="2">
        <v>16</v>
      </c>
      <c r="BM30" s="4">
        <v>20</v>
      </c>
      <c r="BN30" s="4">
        <v>3</v>
      </c>
      <c r="BO30" s="4">
        <v>2</v>
      </c>
      <c r="BP30" s="4">
        <v>16</v>
      </c>
      <c r="BQ30" s="2">
        <v>14.28572</v>
      </c>
      <c r="BR30" s="4">
        <v>12</v>
      </c>
      <c r="BS30" s="4">
        <v>0</v>
      </c>
      <c r="BT30" s="4">
        <v>20</v>
      </c>
      <c r="BU30" s="2">
        <v>60</v>
      </c>
      <c r="BV30" s="2">
        <v>10.6389</v>
      </c>
      <c r="BW30" s="2">
        <v>426.12979999999999</v>
      </c>
      <c r="BX30" s="3">
        <v>1.481312</v>
      </c>
      <c r="BY30" s="3">
        <v>0.34761979999999998</v>
      </c>
      <c r="BZ30" s="2">
        <v>0.65964900000000004</v>
      </c>
      <c r="CA30" s="3">
        <v>0.34761979999999998</v>
      </c>
      <c r="CB30" s="3">
        <v>0.85675400000000002</v>
      </c>
      <c r="CC30" s="3">
        <v>0.65177499999999999</v>
      </c>
      <c r="CD30" s="2">
        <v>-23.925070000000002</v>
      </c>
      <c r="CE30" s="3">
        <v>1200.4110000000001</v>
      </c>
      <c r="CF30" s="3">
        <v>1020.826</v>
      </c>
      <c r="CG30" s="2">
        <v>-14.96027</v>
      </c>
      <c r="CH30" s="3">
        <v>16.476220000000001</v>
      </c>
      <c r="CI30" s="2">
        <v>11.676119999999999</v>
      </c>
      <c r="CJ30" s="3">
        <v>6763.2820000000002</v>
      </c>
      <c r="CK30" s="3">
        <v>6619.3760000000002</v>
      </c>
      <c r="CL30" s="2">
        <v>-2.1277490000000001</v>
      </c>
      <c r="CM30" s="3">
        <v>11.3651</v>
      </c>
      <c r="CN30" s="3">
        <v>10.95759</v>
      </c>
      <c r="CO30" s="3">
        <v>9.1869999999999994</v>
      </c>
      <c r="CP30" s="2">
        <v>-17.378620000000002</v>
      </c>
      <c r="CQ30" s="2">
        <v>-14.305949999999999</v>
      </c>
      <c r="CR30" s="2">
        <v>2.2096399999999998</v>
      </c>
      <c r="CS30" s="2">
        <v>-3.5856249999999998</v>
      </c>
      <c r="CT30" s="2">
        <v>21.710789999999999</v>
      </c>
      <c r="CU30" s="3">
        <v>0.5425854</v>
      </c>
      <c r="CV30" s="2" t="e">
        <v>#N/A</v>
      </c>
      <c r="CW30" s="2">
        <v>9.4392589999999998</v>
      </c>
      <c r="CX30" s="2">
        <v>-17.720929999999999</v>
      </c>
      <c r="CY30" s="2">
        <v>19.93939</v>
      </c>
    </row>
    <row r="31" spans="1:103" ht="15" customHeight="1" x14ac:dyDescent="0.2">
      <c r="A31" s="1">
        <f t="shared" si="0"/>
        <v>25</v>
      </c>
      <c r="B31" s="1" t="s">
        <v>83</v>
      </c>
      <c r="C31" s="1" t="s">
        <v>82</v>
      </c>
      <c r="D31" s="1" t="s">
        <v>40</v>
      </c>
      <c r="E31" s="1" t="s">
        <v>41</v>
      </c>
      <c r="F31" s="2">
        <v>20070.16</v>
      </c>
      <c r="G31" s="2">
        <v>66.380499999999998</v>
      </c>
      <c r="H31" s="2">
        <v>13322.67</v>
      </c>
      <c r="I31" s="3">
        <v>27.59</v>
      </c>
      <c r="J31" s="3">
        <v>0</v>
      </c>
      <c r="K31" s="2">
        <v>2.6096409999999999</v>
      </c>
      <c r="L31" s="2">
        <v>2.6096409999999999</v>
      </c>
      <c r="M31" s="2">
        <v>2.717184</v>
      </c>
      <c r="N31" s="2">
        <v>2.645886</v>
      </c>
      <c r="O31" s="2">
        <v>110.36</v>
      </c>
      <c r="P31" s="2">
        <v>68.123459999999994</v>
      </c>
      <c r="Q31" s="2">
        <v>46.762709999999998</v>
      </c>
      <c r="R31" s="2">
        <v>36.302630000000001</v>
      </c>
      <c r="S31" s="2">
        <v>32.591389999999997</v>
      </c>
      <c r="T31" s="2">
        <v>27.269839999999999</v>
      </c>
      <c r="U31" s="2">
        <v>22.841429999999999</v>
      </c>
      <c r="V31" s="2">
        <v>19.629300000000001</v>
      </c>
      <c r="W31" s="2">
        <v>5.1187389999999997</v>
      </c>
      <c r="X31" s="2">
        <v>5.4716950000000004</v>
      </c>
      <c r="Y31" s="2">
        <v>5.8749529999999996</v>
      </c>
      <c r="Z31" s="2">
        <v>6.4462609999999998</v>
      </c>
      <c r="AA31" s="2">
        <v>37.794519999999999</v>
      </c>
      <c r="AB31" s="2">
        <v>33.51041</v>
      </c>
      <c r="AC31" s="2">
        <v>24.191389999999998</v>
      </c>
      <c r="AD31" s="2">
        <v>15.67614</v>
      </c>
      <c r="AE31" s="2">
        <v>1.2668159999999999</v>
      </c>
      <c r="AF31" s="2">
        <v>1.7532859999999999</v>
      </c>
      <c r="AG31" s="2">
        <v>3.44591</v>
      </c>
      <c r="AH31" s="2">
        <v>1.6541269999999999</v>
      </c>
      <c r="AI31" s="2">
        <v>2.2926899999999999</v>
      </c>
      <c r="AJ31" s="2">
        <v>4.4764569999999999</v>
      </c>
      <c r="AK31" s="3" t="e">
        <v>#N/A</v>
      </c>
      <c r="AL31" s="3" t="e">
        <v>#N/A</v>
      </c>
      <c r="AM31" s="2">
        <v>9.6411079999999991</v>
      </c>
      <c r="AN31" s="2">
        <v>12.424049999999999</v>
      </c>
      <c r="AO31" s="2">
        <v>14.32133</v>
      </c>
      <c r="AP31" s="2">
        <v>15.753310000000001</v>
      </c>
      <c r="AQ31" s="2">
        <v>8.14011</v>
      </c>
      <c r="AR31" s="2">
        <v>6.3851769999999997</v>
      </c>
      <c r="AS31" s="2">
        <v>5.3739340000000002</v>
      </c>
      <c r="AT31" s="2">
        <v>4.5189570000000003</v>
      </c>
      <c r="AU31" s="1" t="s">
        <v>19</v>
      </c>
      <c r="AV31" s="3">
        <v>1.642857</v>
      </c>
      <c r="AW31" s="3">
        <v>29.524999999999999</v>
      </c>
      <c r="AX31" s="2">
        <v>7.0134040000000004</v>
      </c>
      <c r="AY31" s="2">
        <v>8.0320280000000004</v>
      </c>
      <c r="AZ31" s="2">
        <v>-13.598280000000001</v>
      </c>
      <c r="BA31" s="2">
        <v>7.1872590000000001</v>
      </c>
      <c r="BB31" s="2">
        <v>12.75032</v>
      </c>
      <c r="BC31" s="3">
        <v>22.38</v>
      </c>
      <c r="BD31" s="2">
        <v>23.279710000000001</v>
      </c>
      <c r="BE31" s="3">
        <v>27.79</v>
      </c>
      <c r="BF31" s="2">
        <v>-0.7196844</v>
      </c>
      <c r="BG31" s="2">
        <v>316.00740000000002</v>
      </c>
      <c r="BH31" s="2">
        <v>171.92869999999999</v>
      </c>
      <c r="BI31" s="2">
        <v>124.9088</v>
      </c>
      <c r="BJ31" s="2">
        <v>94.213120000000004</v>
      </c>
      <c r="BK31" s="2">
        <v>16</v>
      </c>
      <c r="BL31" s="2">
        <v>14</v>
      </c>
      <c r="BM31" s="4">
        <v>21</v>
      </c>
      <c r="BN31" s="4">
        <v>2</v>
      </c>
      <c r="BO31" s="4">
        <v>2</v>
      </c>
      <c r="BP31" s="4">
        <v>20</v>
      </c>
      <c r="BQ31" s="2">
        <v>8.3333340000000007</v>
      </c>
      <c r="BR31" s="4">
        <v>11</v>
      </c>
      <c r="BS31" s="4">
        <v>3</v>
      </c>
      <c r="BT31" s="4">
        <v>21</v>
      </c>
      <c r="BU31" s="2">
        <v>52.380949999999999</v>
      </c>
      <c r="BV31" s="2">
        <v>7.8230500000000003</v>
      </c>
      <c r="BW31" s="2">
        <v>727.44320000000005</v>
      </c>
      <c r="BX31" s="3">
        <v>1.1119699999999999</v>
      </c>
      <c r="BY31" s="3">
        <v>0.15286</v>
      </c>
      <c r="BZ31" s="2">
        <v>1.02007</v>
      </c>
      <c r="CA31" s="3">
        <v>0.15286</v>
      </c>
      <c r="CB31" s="3">
        <v>0.43903399999999998</v>
      </c>
      <c r="CC31" s="3">
        <v>0.42648940000000002</v>
      </c>
      <c r="CD31" s="2">
        <v>-2.8573219999999999</v>
      </c>
      <c r="CE31" s="3">
        <v>633.46730000000002</v>
      </c>
      <c r="CF31" s="3">
        <v>617.92550000000006</v>
      </c>
      <c r="CG31" s="2">
        <v>-2.453452</v>
      </c>
      <c r="CH31" s="3">
        <v>28.017790000000002</v>
      </c>
      <c r="CI31" s="2">
        <v>5.3794620000000002</v>
      </c>
      <c r="CJ31" s="3">
        <v>7562.12</v>
      </c>
      <c r="CK31" s="3">
        <v>7714.9290000000001</v>
      </c>
      <c r="CL31" s="2">
        <v>2.0207169999999999</v>
      </c>
      <c r="CM31" s="3">
        <v>25.604569999999999</v>
      </c>
      <c r="CN31" s="3">
        <v>26.853339999999999</v>
      </c>
      <c r="CO31" s="3">
        <v>26.893460000000001</v>
      </c>
      <c r="CP31" s="2">
        <v>7.7541830000000003</v>
      </c>
      <c r="CQ31" s="2">
        <v>2.7432799999999999</v>
      </c>
      <c r="CR31" s="2">
        <v>2.5899890000000001</v>
      </c>
      <c r="CS31" s="2">
        <v>4.8771139999999997</v>
      </c>
      <c r="CT31" s="2">
        <v>30.322109999999999</v>
      </c>
      <c r="CU31" s="3">
        <v>0.15108060000000001</v>
      </c>
      <c r="CV31" s="2" t="e">
        <v>#N/A</v>
      </c>
      <c r="CW31" s="2">
        <v>0.23038259999999999</v>
      </c>
      <c r="CX31" s="2">
        <v>20</v>
      </c>
      <c r="CY31" s="2">
        <v>19.9697</v>
      </c>
    </row>
    <row r="32" spans="1:103" ht="15" customHeight="1" x14ac:dyDescent="0.2">
      <c r="A32" s="1">
        <f t="shared" si="0"/>
        <v>26</v>
      </c>
      <c r="B32" s="1" t="s">
        <v>85</v>
      </c>
      <c r="C32" s="1" t="s">
        <v>84</v>
      </c>
      <c r="D32" s="1" t="s">
        <v>40</v>
      </c>
      <c r="E32" s="1" t="s">
        <v>41</v>
      </c>
      <c r="F32" s="2">
        <v>9706.884</v>
      </c>
      <c r="G32" s="2">
        <v>43.419899999999998</v>
      </c>
      <c r="H32" s="2">
        <v>4214.7190000000001</v>
      </c>
      <c r="I32" s="3">
        <v>176.95</v>
      </c>
      <c r="J32" s="3">
        <v>0</v>
      </c>
      <c r="K32" s="2">
        <v>2.543091</v>
      </c>
      <c r="L32" s="2">
        <v>2.6561170000000001</v>
      </c>
      <c r="M32" s="2">
        <v>2.7691439999999998</v>
      </c>
      <c r="N32" s="2">
        <v>2.8250639999999998</v>
      </c>
      <c r="O32" s="2">
        <v>22.063590000000001</v>
      </c>
      <c r="P32" s="2">
        <v>18.393969999999999</v>
      </c>
      <c r="Q32" s="2">
        <v>18.298860000000001</v>
      </c>
      <c r="R32" s="2">
        <v>19.224049999999998</v>
      </c>
      <c r="S32" s="2">
        <v>7.100028</v>
      </c>
      <c r="T32" s="2">
        <v>8.389405</v>
      </c>
      <c r="U32" s="2">
        <v>8.8726950000000002</v>
      </c>
      <c r="V32" s="2">
        <v>9.2193699999999996</v>
      </c>
      <c r="W32" s="2">
        <v>1.9875320000000001</v>
      </c>
      <c r="X32" s="2">
        <v>1.955568</v>
      </c>
      <c r="Y32" s="2">
        <v>1.848894</v>
      </c>
      <c r="Z32" s="2">
        <v>1.8161099999999999</v>
      </c>
      <c r="AA32" s="2">
        <v>5.8439949999999996</v>
      </c>
      <c r="AB32" s="2">
        <v>8.2525250000000003</v>
      </c>
      <c r="AC32" s="2">
        <v>7.4743040000000001</v>
      </c>
      <c r="AD32" s="2">
        <v>8.8510380000000008</v>
      </c>
      <c r="AE32" s="2">
        <v>-7.2501379999999997</v>
      </c>
      <c r="AF32" s="2">
        <v>-8.1406449999999992</v>
      </c>
      <c r="AG32" s="2">
        <v>-4.8074859999999999</v>
      </c>
      <c r="AH32" s="2">
        <v>-12.18122</v>
      </c>
      <c r="AI32" s="2">
        <v>-14.852349999999999</v>
      </c>
      <c r="AJ32" s="2">
        <v>-9.2599230000000006</v>
      </c>
      <c r="AK32" s="3">
        <v>3.664504</v>
      </c>
      <c r="AL32" s="3">
        <v>3.626703</v>
      </c>
      <c r="AM32" s="2">
        <v>18.472529999999999</v>
      </c>
      <c r="AN32" s="2">
        <v>17.867519999999999</v>
      </c>
      <c r="AO32" s="2">
        <v>18.976990000000001</v>
      </c>
      <c r="AP32" s="2">
        <v>18.476330000000001</v>
      </c>
      <c r="AQ32" s="2">
        <v>2.5401349999999998</v>
      </c>
      <c r="AR32" s="2">
        <v>3.3961160000000001</v>
      </c>
      <c r="AS32" s="2">
        <v>4.0095270000000003</v>
      </c>
      <c r="AT32" s="2">
        <v>4.4329390000000002</v>
      </c>
      <c r="AU32" s="1" t="s">
        <v>19</v>
      </c>
      <c r="AV32" s="3">
        <v>1.7727269999999999</v>
      </c>
      <c r="AW32" s="3">
        <v>216.74</v>
      </c>
      <c r="AX32" s="2">
        <v>22.48658</v>
      </c>
      <c r="AY32" s="2">
        <v>10.63157</v>
      </c>
      <c r="AZ32" s="2">
        <v>5</v>
      </c>
      <c r="BA32" s="2">
        <v>-8.4109730000000003</v>
      </c>
      <c r="BB32" s="2">
        <v>2.9377580000000001</v>
      </c>
      <c r="BC32" s="3">
        <v>161.4</v>
      </c>
      <c r="BD32" s="2">
        <v>9.6344469999999998</v>
      </c>
      <c r="BE32" s="3">
        <v>211</v>
      </c>
      <c r="BF32" s="2">
        <v>-16.137450000000001</v>
      </c>
      <c r="BG32" s="2">
        <v>55.01135</v>
      </c>
      <c r="BH32" s="2">
        <v>48.166600000000003</v>
      </c>
      <c r="BI32" s="2">
        <v>49.655419999999999</v>
      </c>
      <c r="BJ32" s="2">
        <v>54.138579999999997</v>
      </c>
      <c r="BK32" s="2">
        <v>10</v>
      </c>
      <c r="BL32" s="2">
        <v>9</v>
      </c>
      <c r="BM32" s="4">
        <v>11</v>
      </c>
      <c r="BN32" s="4">
        <v>0</v>
      </c>
      <c r="BO32" s="4">
        <v>0</v>
      </c>
      <c r="BP32" s="4">
        <v>8</v>
      </c>
      <c r="BQ32" s="2">
        <v>0</v>
      </c>
      <c r="BR32" s="4">
        <v>6</v>
      </c>
      <c r="BS32" s="4">
        <v>3</v>
      </c>
      <c r="BT32" s="4">
        <v>11</v>
      </c>
      <c r="BU32" s="2">
        <v>54.545459999999999</v>
      </c>
      <c r="BV32" s="2">
        <v>7.6850899999999998</v>
      </c>
      <c r="BW32" s="2">
        <v>54.856650000000002</v>
      </c>
      <c r="BX32" s="3">
        <v>9.9861580000000005E-2</v>
      </c>
      <c r="BY32" s="3">
        <v>0.18204100000000001</v>
      </c>
      <c r="BZ32" s="2">
        <v>0.71297500000000003</v>
      </c>
      <c r="CA32" s="3">
        <v>0.18204100000000001</v>
      </c>
      <c r="CB32" s="3">
        <v>9.6727369999999997</v>
      </c>
      <c r="CC32" s="3">
        <v>9.6575150000000001</v>
      </c>
      <c r="CD32" s="2">
        <v>-0.15737409999999999</v>
      </c>
      <c r="CE32" s="3">
        <v>1241.598</v>
      </c>
      <c r="CF32" s="3">
        <v>1266.1500000000001</v>
      </c>
      <c r="CG32" s="2">
        <v>1.977468</v>
      </c>
      <c r="CH32" s="3">
        <v>196.93</v>
      </c>
      <c r="CI32" s="2">
        <v>10.059419999999999</v>
      </c>
      <c r="CJ32" s="3">
        <v>10072.780000000001</v>
      </c>
      <c r="CK32" s="3">
        <v>10732.41</v>
      </c>
      <c r="CL32" s="2">
        <v>6.548667</v>
      </c>
      <c r="CM32" s="3">
        <v>184.8135</v>
      </c>
      <c r="CN32" s="3">
        <v>180.67850000000001</v>
      </c>
      <c r="CO32" s="3">
        <v>179.22309999999999</v>
      </c>
      <c r="CP32" s="2">
        <v>-4.2548300000000001</v>
      </c>
      <c r="CQ32" s="2">
        <v>-2.063596</v>
      </c>
      <c r="CR32" s="2">
        <v>-1.2683150000000001</v>
      </c>
      <c r="CS32" s="2">
        <v>-2.237403</v>
      </c>
      <c r="CT32" s="2">
        <v>15.186159999999999</v>
      </c>
      <c r="CU32" s="3">
        <v>0.15644730000000001</v>
      </c>
      <c r="CV32" s="2" t="e">
        <v>#N/A</v>
      </c>
      <c r="CW32" s="2" t="e">
        <v>#N/A</v>
      </c>
      <c r="CX32" s="2" t="e">
        <v>#N/A</v>
      </c>
      <c r="CY32" s="2">
        <v>20.0303</v>
      </c>
    </row>
    <row r="33" spans="1:103" ht="15" customHeight="1" x14ac:dyDescent="0.2">
      <c r="A33" s="1">
        <f t="shared" si="0"/>
        <v>27</v>
      </c>
      <c r="B33" s="1" t="s">
        <v>87</v>
      </c>
      <c r="C33" s="1" t="s">
        <v>86</v>
      </c>
      <c r="D33" s="1" t="s">
        <v>80</v>
      </c>
      <c r="E33" s="1" t="s">
        <v>81</v>
      </c>
      <c r="F33" s="2">
        <v>2199.538</v>
      </c>
      <c r="G33" s="2">
        <v>38.359099999999998</v>
      </c>
      <c r="H33" s="2">
        <v>843.72299999999996</v>
      </c>
      <c r="I33" s="3">
        <v>40.72</v>
      </c>
      <c r="J33" s="3">
        <v>0</v>
      </c>
      <c r="K33" s="2">
        <v>3.1679759999999999</v>
      </c>
      <c r="L33" s="2">
        <v>2.0874259999999998</v>
      </c>
      <c r="M33" s="2">
        <v>2.1365419999999999</v>
      </c>
      <c r="N33" s="2">
        <v>2.6768169999999998</v>
      </c>
      <c r="O33" s="2">
        <v>11.005409999999999</v>
      </c>
      <c r="P33" s="2">
        <v>17.436070000000001</v>
      </c>
      <c r="Q33" s="2">
        <v>15.5717</v>
      </c>
      <c r="R33" s="2">
        <v>11.601139999999999</v>
      </c>
      <c r="S33" s="2">
        <v>6.7969390000000001</v>
      </c>
      <c r="T33" s="2">
        <v>11.640980000000001</v>
      </c>
      <c r="U33" s="2">
        <v>10.06269</v>
      </c>
      <c r="V33" s="2">
        <v>7.23048</v>
      </c>
      <c r="W33" s="2">
        <v>4.2196889999999998</v>
      </c>
      <c r="X33" s="2">
        <v>3.7703700000000002</v>
      </c>
      <c r="Y33" s="2">
        <v>3.1323080000000001</v>
      </c>
      <c r="Z33" s="2">
        <v>2.7957429999999999</v>
      </c>
      <c r="AA33" s="2">
        <v>7.6112149999999996</v>
      </c>
      <c r="AB33" s="2">
        <v>15.8156</v>
      </c>
      <c r="AC33" s="2">
        <v>11.77267</v>
      </c>
      <c r="AD33" s="2">
        <v>10.308859999999999</v>
      </c>
      <c r="AE33" s="2">
        <v>4.9223929999999996</v>
      </c>
      <c r="AF33" s="2">
        <v>6.3430920000000004</v>
      </c>
      <c r="AG33" s="2">
        <v>8.223096</v>
      </c>
      <c r="AH33" s="2">
        <v>4.7120290000000002</v>
      </c>
      <c r="AI33" s="2">
        <v>5.8038160000000003</v>
      </c>
      <c r="AJ33" s="2">
        <v>7.2174240000000003</v>
      </c>
      <c r="AK33" s="3" t="e">
        <v>#N/A</v>
      </c>
      <c r="AL33" s="3" t="e">
        <v>#N/A</v>
      </c>
      <c r="AM33" s="2">
        <v>34.085680000000004</v>
      </c>
      <c r="AN33" s="2">
        <v>25.156179999999999</v>
      </c>
      <c r="AO33" s="2">
        <v>25.300439999999998</v>
      </c>
      <c r="AP33" s="2">
        <v>30.152450000000002</v>
      </c>
      <c r="AQ33" s="2">
        <v>-0.19155269999999999</v>
      </c>
      <c r="AR33" s="2">
        <v>-0.51970179999999999</v>
      </c>
      <c r="AS33" s="2">
        <v>-0.93500000000000005</v>
      </c>
      <c r="AT33" s="2">
        <v>-1.0074909999999999</v>
      </c>
      <c r="AU33" s="1" t="s">
        <v>5</v>
      </c>
      <c r="AV33" s="3">
        <v>1.25</v>
      </c>
      <c r="AW33" s="3">
        <v>54.6</v>
      </c>
      <c r="AX33" s="2">
        <v>34.086440000000003</v>
      </c>
      <c r="AY33" s="2">
        <v>21.62397</v>
      </c>
      <c r="AZ33" s="2">
        <v>-1.5</v>
      </c>
      <c r="BA33" s="2">
        <v>-38.85886</v>
      </c>
      <c r="BB33" s="2">
        <v>12.92291</v>
      </c>
      <c r="BC33" s="3">
        <v>35.200000000000003</v>
      </c>
      <c r="BD33" s="2">
        <v>15.68182</v>
      </c>
      <c r="BE33" s="3">
        <v>67.400000000000006</v>
      </c>
      <c r="BF33" s="2">
        <v>-39.584569999999999</v>
      </c>
      <c r="BG33" s="2">
        <v>32.453099999999999</v>
      </c>
      <c r="BH33" s="2">
        <v>38.200870000000002</v>
      </c>
      <c r="BI33" s="2">
        <v>33.422429999999999</v>
      </c>
      <c r="BJ33" s="2">
        <v>32.394550000000002</v>
      </c>
      <c r="BK33" s="2">
        <v>8</v>
      </c>
      <c r="BL33" s="2">
        <v>8</v>
      </c>
      <c r="BM33" s="4">
        <v>10</v>
      </c>
      <c r="BN33" s="4">
        <v>2</v>
      </c>
      <c r="BO33" s="4">
        <v>0</v>
      </c>
      <c r="BP33" s="4">
        <v>8</v>
      </c>
      <c r="BQ33" s="2">
        <v>20</v>
      </c>
      <c r="BR33" s="4">
        <v>8</v>
      </c>
      <c r="BS33" s="4">
        <v>0</v>
      </c>
      <c r="BT33" s="4">
        <v>10</v>
      </c>
      <c r="BU33" s="2">
        <v>80</v>
      </c>
      <c r="BV33" s="2">
        <v>10.6058</v>
      </c>
      <c r="BW33" s="2">
        <v>54.016159999999999</v>
      </c>
      <c r="BX33" s="3">
        <v>0.1598337</v>
      </c>
      <c r="BY33" s="3">
        <v>0.29589989999999999</v>
      </c>
      <c r="BZ33" s="2">
        <v>0.74968400000000002</v>
      </c>
      <c r="CA33" s="3">
        <v>0.29589989999999999</v>
      </c>
      <c r="CB33" s="3">
        <v>2.390253</v>
      </c>
      <c r="CC33" s="3">
        <v>2.284713</v>
      </c>
      <c r="CD33" s="2">
        <v>-4.4154350000000004</v>
      </c>
      <c r="CE33" s="3">
        <v>160.78749999999999</v>
      </c>
      <c r="CF33" s="3">
        <v>152.17490000000001</v>
      </c>
      <c r="CG33" s="2">
        <v>-5.3564910000000001</v>
      </c>
      <c r="CH33" s="3">
        <v>60.55556</v>
      </c>
      <c r="CI33" s="2">
        <v>-9.8348669999999991</v>
      </c>
      <c r="CJ33" s="3">
        <v>714.28750000000002</v>
      </c>
      <c r="CK33" s="3">
        <v>720.20820000000003</v>
      </c>
      <c r="CL33" s="2">
        <v>0.82889800000000002</v>
      </c>
      <c r="CM33" s="3">
        <v>42.998570000000001</v>
      </c>
      <c r="CN33" s="3">
        <v>40.231369999999998</v>
      </c>
      <c r="CO33" s="3">
        <v>39.451540000000001</v>
      </c>
      <c r="CP33" s="2">
        <v>-5.2991630000000001</v>
      </c>
      <c r="CQ33" s="2">
        <v>1.2145520000000001</v>
      </c>
      <c r="CR33" s="2">
        <v>3.2152409999999998</v>
      </c>
      <c r="CS33" s="2">
        <v>-6.4355549999999999</v>
      </c>
      <c r="CT33" s="2">
        <v>7.6741609999999998</v>
      </c>
      <c r="CU33" s="3">
        <v>0.34889880000000001</v>
      </c>
      <c r="CV33" s="2" t="e">
        <v>#N/A</v>
      </c>
      <c r="CW33" s="2">
        <v>10.29144</v>
      </c>
      <c r="CX33" s="2">
        <v>40.896160000000002</v>
      </c>
      <c r="CY33" s="2">
        <v>20.838380000000001</v>
      </c>
    </row>
    <row r="34" spans="1:103" ht="15" customHeight="1" x14ac:dyDescent="0.2">
      <c r="A34" s="1">
        <f t="shared" si="0"/>
        <v>28</v>
      </c>
      <c r="B34" s="1" t="s">
        <v>89</v>
      </c>
      <c r="C34" s="1" t="s">
        <v>88</v>
      </c>
      <c r="D34" s="1" t="s">
        <v>3</v>
      </c>
      <c r="E34" s="1" t="s">
        <v>90</v>
      </c>
      <c r="F34" s="2">
        <v>5962.0150000000003</v>
      </c>
      <c r="G34" s="2">
        <v>29.560199999999998</v>
      </c>
      <c r="H34" s="2">
        <v>1762.384</v>
      </c>
      <c r="I34" s="3">
        <v>1.9359999999999999</v>
      </c>
      <c r="J34" s="3">
        <v>0</v>
      </c>
      <c r="K34" s="2">
        <v>7.7479339999999999</v>
      </c>
      <c r="L34" s="2">
        <v>7.7479339999999999</v>
      </c>
      <c r="M34" s="2">
        <v>7.7479339999999999</v>
      </c>
      <c r="N34" s="2">
        <v>7.7479339999999999</v>
      </c>
      <c r="O34" s="2">
        <v>9.2190480000000008</v>
      </c>
      <c r="P34" s="2">
        <v>8.0666670000000007</v>
      </c>
      <c r="Q34" s="2">
        <v>7.1703700000000001</v>
      </c>
      <c r="R34" s="2">
        <v>6.7243810000000002</v>
      </c>
      <c r="S34" s="2" t="e">
        <v>#N/A</v>
      </c>
      <c r="T34" s="2" t="e">
        <v>#N/A</v>
      </c>
      <c r="U34" s="2" t="e">
        <v>#N/A</v>
      </c>
      <c r="V34" s="2" t="e">
        <v>#N/A</v>
      </c>
      <c r="W34" s="2">
        <v>0.81687770000000004</v>
      </c>
      <c r="X34" s="2">
        <v>0.74749030000000005</v>
      </c>
      <c r="Y34" s="2">
        <v>0.72238800000000003</v>
      </c>
      <c r="Z34" s="2">
        <v>0.69142859999999995</v>
      </c>
      <c r="AA34" s="2" t="e">
        <v>#N/A</v>
      </c>
      <c r="AB34" s="2" t="e">
        <v>#N/A</v>
      </c>
      <c r="AC34" s="2" t="e">
        <v>#N/A</v>
      </c>
      <c r="AD34" s="2" t="e">
        <v>#N/A</v>
      </c>
      <c r="AE34" s="2" t="e">
        <v>#N/A</v>
      </c>
      <c r="AF34" s="2" t="e">
        <v>#N/A</v>
      </c>
      <c r="AG34" s="2" t="e">
        <v>#N/A</v>
      </c>
      <c r="AH34" s="2">
        <v>9.8792100000000005</v>
      </c>
      <c r="AI34" s="2">
        <v>11.070080000000001</v>
      </c>
      <c r="AJ34" s="2" t="e">
        <v>#N/A</v>
      </c>
      <c r="AK34" s="3">
        <v>0.54363269999999997</v>
      </c>
      <c r="AL34" s="3">
        <v>0.46176899999999999</v>
      </c>
      <c r="AM34" s="2" t="e">
        <v>#N/A</v>
      </c>
      <c r="AN34" s="2" t="e">
        <v>#N/A</v>
      </c>
      <c r="AO34" s="2" t="e">
        <v>#N/A</v>
      </c>
      <c r="AP34" s="2" t="e">
        <v>#N/A</v>
      </c>
      <c r="AQ34" s="2" t="e">
        <v>#N/A</v>
      </c>
      <c r="AR34" s="2" t="e">
        <v>#N/A</v>
      </c>
      <c r="AS34" s="2" t="e">
        <v>#N/A</v>
      </c>
      <c r="AT34" s="2" t="e">
        <v>#N/A</v>
      </c>
      <c r="AU34" s="1" t="s">
        <v>52</v>
      </c>
      <c r="AV34" s="3">
        <v>1.8636360000000001</v>
      </c>
      <c r="AW34" s="3">
        <v>2.0249999999999999</v>
      </c>
      <c r="AX34" s="2">
        <v>4.5971159999999998</v>
      </c>
      <c r="AY34" s="2">
        <v>9.2664089999999995</v>
      </c>
      <c r="AZ34" s="2">
        <v>15.0443</v>
      </c>
      <c r="BA34" s="2">
        <v>2.7600769999999999</v>
      </c>
      <c r="BB34" s="2">
        <v>6.9613339999999999</v>
      </c>
      <c r="BC34" s="3">
        <v>1.5249999999999999</v>
      </c>
      <c r="BD34" s="2">
        <v>26.95082</v>
      </c>
      <c r="BE34" s="3">
        <v>2.056</v>
      </c>
      <c r="BF34" s="2">
        <v>-5.836576</v>
      </c>
      <c r="BG34" s="2">
        <v>70.000010000000003</v>
      </c>
      <c r="BH34" s="2">
        <v>62.897100000000002</v>
      </c>
      <c r="BI34" s="2">
        <v>55.619320000000002</v>
      </c>
      <c r="BJ34" s="2">
        <v>52.087470000000003</v>
      </c>
      <c r="BK34" s="2">
        <v>10</v>
      </c>
      <c r="BL34" s="2">
        <v>3</v>
      </c>
      <c r="BM34" s="4">
        <v>11</v>
      </c>
      <c r="BN34" s="4">
        <v>2</v>
      </c>
      <c r="BO34" s="4">
        <v>0</v>
      </c>
      <c r="BP34" s="4">
        <v>9</v>
      </c>
      <c r="BQ34" s="2">
        <v>18.181819999999998</v>
      </c>
      <c r="BR34" s="4">
        <v>5</v>
      </c>
      <c r="BS34" s="4">
        <v>3</v>
      </c>
      <c r="BT34" s="4">
        <v>11</v>
      </c>
      <c r="BU34" s="2">
        <v>45.454549999999998</v>
      </c>
      <c r="BV34" s="2">
        <v>7.2784800000000001</v>
      </c>
      <c r="BW34" s="2">
        <v>3079.5529999999999</v>
      </c>
      <c r="BX34" s="3">
        <v>3.768465</v>
      </c>
      <c r="BY34" s="3">
        <v>0.12237049999999999</v>
      </c>
      <c r="BZ34" s="2">
        <v>0.81962699999999999</v>
      </c>
      <c r="CA34" s="3">
        <v>0.12237049999999999</v>
      </c>
      <c r="CB34" s="3">
        <v>0.23130919999999999</v>
      </c>
      <c r="CC34" s="3">
        <v>0.23671619999999999</v>
      </c>
      <c r="CD34" s="2">
        <v>2.3375509999999999</v>
      </c>
      <c r="CE34" s="3">
        <v>1336.5940000000001</v>
      </c>
      <c r="CF34" s="3">
        <v>1635.8219999999999</v>
      </c>
      <c r="CG34" s="2">
        <v>22.387419999999999</v>
      </c>
      <c r="CH34" s="3">
        <v>2.1066669999999998</v>
      </c>
      <c r="CI34" s="2">
        <v>-3.876573</v>
      </c>
      <c r="CJ34" s="3">
        <v>26270.31</v>
      </c>
      <c r="CK34" s="3">
        <v>24864.959999999999</v>
      </c>
      <c r="CL34" s="2">
        <v>-5.3495590000000002</v>
      </c>
      <c r="CM34" s="3">
        <v>1.7676670000000001</v>
      </c>
      <c r="CN34" s="3">
        <v>1.9194310000000001</v>
      </c>
      <c r="CO34" s="3">
        <v>1.8745000000000001</v>
      </c>
      <c r="CP34" s="2">
        <v>9.5229029999999995</v>
      </c>
      <c r="CQ34" s="2">
        <v>0.86323019999999995</v>
      </c>
      <c r="CR34" s="2">
        <v>3.2808899999999999</v>
      </c>
      <c r="CS34" s="2">
        <v>8.5855599999999992</v>
      </c>
      <c r="CT34" s="2">
        <v>6.7774609999999997</v>
      </c>
      <c r="CU34" s="3">
        <v>0.1136774</v>
      </c>
      <c r="CV34" s="2" t="e">
        <v>#N/A</v>
      </c>
      <c r="CW34" s="2">
        <v>35.477939999999997</v>
      </c>
      <c r="CX34" s="2" t="e">
        <v>#N/A</v>
      </c>
      <c r="CY34" s="2">
        <v>20.878789999999999</v>
      </c>
    </row>
    <row r="35" spans="1:103" ht="15" customHeight="1" x14ac:dyDescent="0.2">
      <c r="A35" s="1">
        <f t="shared" si="0"/>
        <v>29</v>
      </c>
      <c r="B35" s="1" t="s">
        <v>92</v>
      </c>
      <c r="C35" s="1" t="s">
        <v>91</v>
      </c>
      <c r="D35" s="1" t="s">
        <v>47</v>
      </c>
      <c r="E35" s="1" t="s">
        <v>93</v>
      </c>
      <c r="F35" s="2">
        <v>1955.481</v>
      </c>
      <c r="G35" s="2">
        <v>63.25</v>
      </c>
      <c r="H35" s="2">
        <v>1236.8420000000001</v>
      </c>
      <c r="I35" s="3">
        <v>15.65</v>
      </c>
      <c r="J35" s="3">
        <v>0</v>
      </c>
      <c r="K35" s="2">
        <v>0</v>
      </c>
      <c r="L35" s="2">
        <v>0</v>
      </c>
      <c r="M35" s="2">
        <v>0</v>
      </c>
      <c r="N35" s="2">
        <v>0</v>
      </c>
      <c r="O35" s="2">
        <v>21.73611</v>
      </c>
      <c r="P35" s="2">
        <v>17.988499999999998</v>
      </c>
      <c r="Q35" s="2">
        <v>16.30208</v>
      </c>
      <c r="R35" s="2">
        <v>12.62097</v>
      </c>
      <c r="S35" s="2">
        <v>19.513380000000002</v>
      </c>
      <c r="T35" s="2">
        <v>15.11486</v>
      </c>
      <c r="U35" s="2">
        <v>12.81169</v>
      </c>
      <c r="V35" s="2">
        <v>11.939399999999999</v>
      </c>
      <c r="W35" s="2">
        <v>5.6909090000000004</v>
      </c>
      <c r="X35" s="2">
        <v>4.2649710000000001</v>
      </c>
      <c r="Y35" s="2">
        <v>3.402174</v>
      </c>
      <c r="Z35" s="2">
        <v>2.666099</v>
      </c>
      <c r="AA35" s="2">
        <v>16.998709999999999</v>
      </c>
      <c r="AB35" s="2">
        <v>13.04167</v>
      </c>
      <c r="AC35" s="2">
        <v>12.131169999999999</v>
      </c>
      <c r="AD35" s="2">
        <v>8.7298270000000002</v>
      </c>
      <c r="AE35" s="2">
        <v>-8.9488649999999996</v>
      </c>
      <c r="AF35" s="2">
        <v>-11.55261</v>
      </c>
      <c r="AG35" s="2">
        <v>-15.06437</v>
      </c>
      <c r="AH35" s="2">
        <v>-13.68488</v>
      </c>
      <c r="AI35" s="2">
        <v>-19.61469</v>
      </c>
      <c r="AJ35" s="2">
        <v>-28.977180000000001</v>
      </c>
      <c r="AK35" s="3">
        <v>0.9915638</v>
      </c>
      <c r="AL35" s="3">
        <v>0.84216740000000001</v>
      </c>
      <c r="AM35" s="2">
        <v>88.074250000000006</v>
      </c>
      <c r="AN35" s="2">
        <v>85.78595</v>
      </c>
      <c r="AO35" s="2">
        <v>82.071370000000002</v>
      </c>
      <c r="AP35" s="2">
        <v>83.345969999999994</v>
      </c>
      <c r="AQ35" s="2">
        <v>4.969589</v>
      </c>
      <c r="AR35" s="2">
        <v>5.2308960000000004</v>
      </c>
      <c r="AS35" s="2">
        <v>5.2658990000000001</v>
      </c>
      <c r="AT35" s="2">
        <v>5.7324640000000002</v>
      </c>
      <c r="AU35" s="1" t="s">
        <v>52</v>
      </c>
      <c r="AV35" s="3">
        <v>1.7941180000000001</v>
      </c>
      <c r="AW35" s="3">
        <v>20</v>
      </c>
      <c r="AX35" s="2">
        <v>27.795529999999999</v>
      </c>
      <c r="AY35" s="2">
        <v>23.709420000000001</v>
      </c>
      <c r="AZ35" s="2">
        <v>18</v>
      </c>
      <c r="BA35" s="2">
        <v>-28.309670000000001</v>
      </c>
      <c r="BB35" s="2">
        <v>-8.5864539999999998</v>
      </c>
      <c r="BC35" s="3">
        <v>14.015000000000001</v>
      </c>
      <c r="BD35" s="2">
        <v>11.666069999999999</v>
      </c>
      <c r="BE35" s="3">
        <v>24.65</v>
      </c>
      <c r="BF35" s="2">
        <v>-36.511159999999997</v>
      </c>
      <c r="BG35" s="2">
        <v>0</v>
      </c>
      <c r="BH35" s="2">
        <v>0</v>
      </c>
      <c r="BI35" s="2">
        <v>0</v>
      </c>
      <c r="BJ35" s="2">
        <v>0</v>
      </c>
      <c r="BK35" s="2">
        <v>17</v>
      </c>
      <c r="BL35" s="2">
        <v>16</v>
      </c>
      <c r="BM35" s="4">
        <v>17</v>
      </c>
      <c r="BN35" s="4">
        <v>2</v>
      </c>
      <c r="BO35" s="4">
        <v>1</v>
      </c>
      <c r="BP35" s="4">
        <v>15</v>
      </c>
      <c r="BQ35" s="2">
        <v>11.11111</v>
      </c>
      <c r="BR35" s="4">
        <v>7</v>
      </c>
      <c r="BS35" s="4">
        <v>3</v>
      </c>
      <c r="BT35" s="4">
        <v>17</v>
      </c>
      <c r="BU35" s="2">
        <v>41.176470000000002</v>
      </c>
      <c r="BV35" s="2">
        <v>12.6845</v>
      </c>
      <c r="BW35" s="2">
        <v>124.9509</v>
      </c>
      <c r="BX35" s="3">
        <v>0.54302289999999998</v>
      </c>
      <c r="BY35" s="3">
        <v>0.43458910000000001</v>
      </c>
      <c r="BZ35" s="2">
        <v>0.634077</v>
      </c>
      <c r="CA35" s="3">
        <v>0.43458910000000001</v>
      </c>
      <c r="CB35" s="3">
        <v>0.92140690000000003</v>
      </c>
      <c r="CC35" s="3">
        <v>0.8768416</v>
      </c>
      <c r="CD35" s="2">
        <v>-4.8366550000000004</v>
      </c>
      <c r="CE35" s="3">
        <v>178.69139999999999</v>
      </c>
      <c r="CF35" s="3">
        <v>169.5489</v>
      </c>
      <c r="CG35" s="2">
        <v>-5.1163319999999999</v>
      </c>
      <c r="CH35" s="3">
        <v>19.154710000000001</v>
      </c>
      <c r="CI35" s="2">
        <v>4.4129849999999999</v>
      </c>
      <c r="CJ35" s="3">
        <v>247.64359999999999</v>
      </c>
      <c r="CK35" s="3">
        <v>358.55290000000002</v>
      </c>
      <c r="CL35" s="2">
        <v>44.785870000000003</v>
      </c>
      <c r="CM35" s="3">
        <v>18.2334</v>
      </c>
      <c r="CN35" s="3">
        <v>17.042449999999999</v>
      </c>
      <c r="CO35" s="3">
        <v>16.310580000000002</v>
      </c>
      <c r="CP35" s="2">
        <v>-14.168519999999999</v>
      </c>
      <c r="CQ35" s="2">
        <v>-8.1704910000000002</v>
      </c>
      <c r="CR35" s="2">
        <v>-4.0500109999999996</v>
      </c>
      <c r="CS35" s="2">
        <v>-6.5316970000000003</v>
      </c>
      <c r="CT35" s="2">
        <v>8.4543490000000006</v>
      </c>
      <c r="CU35" s="3">
        <v>0.43234109999999998</v>
      </c>
      <c r="CV35" s="2" t="e">
        <v>#N/A</v>
      </c>
      <c r="CW35" s="2" t="e">
        <v>#N/A</v>
      </c>
      <c r="CX35" s="2" t="e">
        <v>#N/A</v>
      </c>
      <c r="CY35" s="2">
        <v>21.717169999999999</v>
      </c>
    </row>
    <row r="36" spans="1:103" ht="15" customHeight="1" x14ac:dyDescent="0.2">
      <c r="A36" s="1">
        <f t="shared" si="0"/>
        <v>30</v>
      </c>
      <c r="B36" s="1" t="s">
        <v>95</v>
      </c>
      <c r="C36" s="1" t="s">
        <v>94</v>
      </c>
      <c r="D36" s="1" t="s">
        <v>40</v>
      </c>
      <c r="E36" s="1" t="s">
        <v>41</v>
      </c>
      <c r="F36" s="2">
        <v>8765.4959999999992</v>
      </c>
      <c r="G36" s="2">
        <v>74.641599999999997</v>
      </c>
      <c r="H36" s="2">
        <v>6542.7070000000003</v>
      </c>
      <c r="I36" s="3">
        <v>16.2</v>
      </c>
      <c r="J36" s="3">
        <v>0</v>
      </c>
      <c r="K36" s="2">
        <v>6.1728389999999997</v>
      </c>
      <c r="L36" s="2">
        <v>6.1728389999999997</v>
      </c>
      <c r="M36" s="2">
        <v>4.9382710000000003</v>
      </c>
      <c r="N36" s="2">
        <v>4.9382710000000003</v>
      </c>
      <c r="O36" s="2">
        <v>13.170730000000001</v>
      </c>
      <c r="P36" s="2">
        <v>13.260479999999999</v>
      </c>
      <c r="Q36" s="2">
        <v>17.052630000000001</v>
      </c>
      <c r="R36" s="2">
        <v>17.23404</v>
      </c>
      <c r="S36" s="2">
        <v>9.0174129999999995</v>
      </c>
      <c r="T36" s="2">
        <v>9.3085690000000003</v>
      </c>
      <c r="U36" s="2">
        <v>10.723459999999999</v>
      </c>
      <c r="V36" s="2">
        <v>10.600820000000001</v>
      </c>
      <c r="W36" s="2">
        <v>1.830508</v>
      </c>
      <c r="X36" s="2">
        <v>1.814729</v>
      </c>
      <c r="Y36" s="2">
        <v>1.821142</v>
      </c>
      <c r="Z36" s="2">
        <v>1.7608699999999999</v>
      </c>
      <c r="AA36" s="2">
        <v>7.3246380000000002</v>
      </c>
      <c r="AB36" s="2">
        <v>7.489096</v>
      </c>
      <c r="AC36" s="2">
        <v>8.1790470000000006</v>
      </c>
      <c r="AD36" s="2">
        <v>8.1</v>
      </c>
      <c r="AE36" s="2">
        <v>-0.1703538</v>
      </c>
      <c r="AF36" s="2">
        <v>1.1123970000000001</v>
      </c>
      <c r="AG36" s="2">
        <v>0.32480619999999999</v>
      </c>
      <c r="AH36" s="2">
        <v>-0.27760360000000001</v>
      </c>
      <c r="AI36" s="2">
        <v>1.8646339999999999</v>
      </c>
      <c r="AJ36" s="2">
        <v>0.56129169999999995</v>
      </c>
      <c r="AK36" s="3" t="e">
        <v>#N/A</v>
      </c>
      <c r="AL36" s="3" t="e">
        <v>#N/A</v>
      </c>
      <c r="AM36" s="2">
        <v>73.99503</v>
      </c>
      <c r="AN36" s="2">
        <v>74.381969999999995</v>
      </c>
      <c r="AO36" s="2">
        <v>72.530389999999997</v>
      </c>
      <c r="AP36" s="2">
        <v>72.093760000000003</v>
      </c>
      <c r="AQ36" s="2">
        <v>3.1166999999999998</v>
      </c>
      <c r="AR36" s="2">
        <v>3.596285</v>
      </c>
      <c r="AS36" s="2">
        <v>4.3260969999999999</v>
      </c>
      <c r="AT36" s="2">
        <v>4.4663779999999997</v>
      </c>
      <c r="AU36" s="1" t="s">
        <v>52</v>
      </c>
      <c r="AV36" s="3">
        <v>2.2250000000000001</v>
      </c>
      <c r="AW36" s="3">
        <v>16.7</v>
      </c>
      <c r="AX36" s="2">
        <v>3.0864240000000001</v>
      </c>
      <c r="AY36" s="2">
        <v>13.68524</v>
      </c>
      <c r="AZ36" s="2">
        <v>-7.9001419999999998</v>
      </c>
      <c r="BA36" s="2">
        <v>-16.580839999999998</v>
      </c>
      <c r="BB36" s="2">
        <v>-0.36900040000000001</v>
      </c>
      <c r="BC36" s="3">
        <v>14.505000000000001</v>
      </c>
      <c r="BD36" s="2">
        <v>11.68563</v>
      </c>
      <c r="BE36" s="3">
        <v>20.05</v>
      </c>
      <c r="BF36" s="2">
        <v>-19.201989999999999</v>
      </c>
      <c r="BG36" s="2">
        <v>81.429990000000004</v>
      </c>
      <c r="BH36" s="2">
        <v>81.996960000000001</v>
      </c>
      <c r="BI36" s="2">
        <v>88.612399999999994</v>
      </c>
      <c r="BJ36" s="2">
        <v>89.326710000000006</v>
      </c>
      <c r="BK36" s="2">
        <v>18</v>
      </c>
      <c r="BL36" s="2">
        <v>17</v>
      </c>
      <c r="BM36" s="4">
        <v>20</v>
      </c>
      <c r="BN36" s="4">
        <v>1</v>
      </c>
      <c r="BO36" s="4">
        <v>1</v>
      </c>
      <c r="BP36" s="4">
        <v>19</v>
      </c>
      <c r="BQ36" s="2">
        <v>4.7619049999999996</v>
      </c>
      <c r="BR36" s="4">
        <v>2</v>
      </c>
      <c r="BS36" s="4">
        <v>7</v>
      </c>
      <c r="BT36" s="4">
        <v>20</v>
      </c>
      <c r="BU36" s="2">
        <v>10</v>
      </c>
      <c r="BV36" s="2">
        <v>5.5948700000000002</v>
      </c>
      <c r="BW36" s="2">
        <v>541.08000000000004</v>
      </c>
      <c r="BX36" s="3">
        <v>1.213055</v>
      </c>
      <c r="BY36" s="3">
        <v>0.22419140000000001</v>
      </c>
      <c r="BZ36" s="2">
        <v>0.47909800000000002</v>
      </c>
      <c r="CA36" s="3">
        <v>0.22419140000000001</v>
      </c>
      <c r="CB36" s="3">
        <v>1.2112449999999999</v>
      </c>
      <c r="CC36" s="3">
        <v>1.219557</v>
      </c>
      <c r="CD36" s="2">
        <v>0.68626399999999999</v>
      </c>
      <c r="CE36" s="3">
        <v>998.87120000000004</v>
      </c>
      <c r="CF36" s="3">
        <v>992.8098</v>
      </c>
      <c r="CG36" s="2">
        <v>-0.606823</v>
      </c>
      <c r="CH36" s="3">
        <v>16.63</v>
      </c>
      <c r="CI36" s="2">
        <v>0.42093989999999998</v>
      </c>
      <c r="CJ36" s="3">
        <v>2043.1980000000001</v>
      </c>
      <c r="CK36" s="3">
        <v>2073.3960000000002</v>
      </c>
      <c r="CL36" s="2">
        <v>1.478016</v>
      </c>
      <c r="CM36" s="3">
        <v>16.96067</v>
      </c>
      <c r="CN36" s="3">
        <v>16.031369999999999</v>
      </c>
      <c r="CO36" s="3">
        <v>16.048649999999999</v>
      </c>
      <c r="CP36" s="2">
        <v>-4.4848800000000004</v>
      </c>
      <c r="CQ36" s="2">
        <v>1.051879</v>
      </c>
      <c r="CR36" s="2">
        <v>0.94304080000000001</v>
      </c>
      <c r="CS36" s="2">
        <v>-5.4791270000000001</v>
      </c>
      <c r="CT36" s="2">
        <v>17.8628</v>
      </c>
      <c r="CU36" s="3">
        <v>0.20378540000000001</v>
      </c>
      <c r="CV36" s="2" t="e">
        <v>#N/A</v>
      </c>
      <c r="CW36" s="2" t="e">
        <v>#N/A</v>
      </c>
      <c r="CX36" s="2" t="e">
        <v>#N/A</v>
      </c>
      <c r="CY36" s="2">
        <v>21.88889</v>
      </c>
    </row>
    <row r="37" spans="1:103" ht="15" customHeight="1" x14ac:dyDescent="0.2">
      <c r="A37" s="1">
        <f t="shared" si="0"/>
        <v>31</v>
      </c>
      <c r="B37" s="1" t="s">
        <v>97</v>
      </c>
      <c r="C37" s="1" t="s">
        <v>96</v>
      </c>
      <c r="D37" s="1" t="s">
        <v>3</v>
      </c>
      <c r="E37" s="1" t="s">
        <v>4</v>
      </c>
      <c r="F37" s="2">
        <v>2697.3110000000001</v>
      </c>
      <c r="G37" s="2">
        <v>47.862699999999997</v>
      </c>
      <c r="H37" s="2">
        <v>1291.0060000000001</v>
      </c>
      <c r="I37" s="3">
        <v>1.016</v>
      </c>
      <c r="J37" s="3">
        <v>0</v>
      </c>
      <c r="K37" s="2">
        <v>4.9212600000000002</v>
      </c>
      <c r="L37" s="2">
        <v>7.0570370000000002</v>
      </c>
      <c r="M37" s="2">
        <v>7.5211759999999996</v>
      </c>
      <c r="N37" s="2">
        <v>8.8582680000000007</v>
      </c>
      <c r="O37" s="2">
        <v>11.09637</v>
      </c>
      <c r="P37" s="2">
        <v>6.8239450000000001</v>
      </c>
      <c r="Q37" s="2">
        <v>6.35</v>
      </c>
      <c r="R37" s="2">
        <v>5.7243630000000003</v>
      </c>
      <c r="S37" s="2" t="e">
        <v>#N/A</v>
      </c>
      <c r="T37" s="2" t="e">
        <v>#N/A</v>
      </c>
      <c r="U37" s="2" t="e">
        <v>#N/A</v>
      </c>
      <c r="V37" s="2" t="e">
        <v>#N/A</v>
      </c>
      <c r="W37" s="2">
        <v>0.41810700000000001</v>
      </c>
      <c r="X37" s="2">
        <v>0.40639999999999998</v>
      </c>
      <c r="Y37" s="2">
        <v>0.3932389</v>
      </c>
      <c r="Z37" s="2">
        <v>0.38195489999999999</v>
      </c>
      <c r="AA37" s="2" t="e">
        <v>#N/A</v>
      </c>
      <c r="AB37" s="2" t="e">
        <v>#N/A</v>
      </c>
      <c r="AC37" s="2" t="e">
        <v>#N/A</v>
      </c>
      <c r="AD37" s="2" t="e">
        <v>#N/A</v>
      </c>
      <c r="AE37" s="2" t="e">
        <v>#N/A</v>
      </c>
      <c r="AF37" s="2" t="e">
        <v>#N/A</v>
      </c>
      <c r="AG37" s="2" t="e">
        <v>#N/A</v>
      </c>
      <c r="AH37" s="2" t="e">
        <v>#N/A</v>
      </c>
      <c r="AI37" s="2" t="e">
        <v>#N/A</v>
      </c>
      <c r="AJ37" s="2" t="e">
        <v>#N/A</v>
      </c>
      <c r="AK37" s="3">
        <v>0.27149030000000002</v>
      </c>
      <c r="AL37" s="3">
        <v>0.245758</v>
      </c>
      <c r="AM37" s="2" t="e">
        <v>#N/A</v>
      </c>
      <c r="AN37" s="2" t="e">
        <v>#N/A</v>
      </c>
      <c r="AO37" s="2" t="e">
        <v>#N/A</v>
      </c>
      <c r="AP37" s="2" t="e">
        <v>#N/A</v>
      </c>
      <c r="AQ37" s="2" t="e">
        <v>#N/A</v>
      </c>
      <c r="AR37" s="2" t="e">
        <v>#N/A</v>
      </c>
      <c r="AS37" s="2" t="e">
        <v>#N/A</v>
      </c>
      <c r="AT37" s="2" t="e">
        <v>#N/A</v>
      </c>
      <c r="AU37" s="1" t="s">
        <v>5</v>
      </c>
      <c r="AV37" s="3">
        <v>1.3529409999999999</v>
      </c>
      <c r="AW37" s="3">
        <v>1.37</v>
      </c>
      <c r="AX37" s="2">
        <v>34.842509999999997</v>
      </c>
      <c r="AY37" s="2">
        <v>5.9554999999999998</v>
      </c>
      <c r="AZ37" s="2">
        <v>36.078850000000003</v>
      </c>
      <c r="BA37" s="2">
        <v>17.3888</v>
      </c>
      <c r="BB37" s="2">
        <v>-1.454896</v>
      </c>
      <c r="BC37" s="3">
        <v>0.753</v>
      </c>
      <c r="BD37" s="2">
        <v>34.926960000000001</v>
      </c>
      <c r="BE37" s="3">
        <v>1.2569999999999999</v>
      </c>
      <c r="BF37" s="2">
        <v>-19.172630000000002</v>
      </c>
      <c r="BG37" s="2">
        <v>49.773539999999997</v>
      </c>
      <c r="BH37" s="2">
        <v>48.432360000000003</v>
      </c>
      <c r="BI37" s="2">
        <v>48.489890000000003</v>
      </c>
      <c r="BJ37" s="2">
        <v>51.580089999999998</v>
      </c>
      <c r="BK37" s="2">
        <v>16</v>
      </c>
      <c r="BL37" s="2">
        <v>12</v>
      </c>
      <c r="BM37" s="4">
        <v>17</v>
      </c>
      <c r="BN37" s="4">
        <v>0</v>
      </c>
      <c r="BO37" s="4">
        <v>2</v>
      </c>
      <c r="BP37" s="4">
        <v>17</v>
      </c>
      <c r="BQ37" s="2">
        <v>0</v>
      </c>
      <c r="BR37" s="4">
        <v>12</v>
      </c>
      <c r="BS37" s="4">
        <v>1</v>
      </c>
      <c r="BT37" s="4">
        <v>17</v>
      </c>
      <c r="BU37" s="2">
        <v>70.588229999999996</v>
      </c>
      <c r="BV37" s="2">
        <v>11.826599999999999</v>
      </c>
      <c r="BW37" s="2">
        <v>2654.8330000000001</v>
      </c>
      <c r="BX37" s="3">
        <v>5.1726150000000004</v>
      </c>
      <c r="BY37" s="3">
        <v>0.1948376</v>
      </c>
      <c r="BZ37" s="2">
        <v>0.96193200000000001</v>
      </c>
      <c r="CA37" s="3">
        <v>0.1948376</v>
      </c>
      <c r="CB37" s="3">
        <v>0.15808430000000001</v>
      </c>
      <c r="CC37" s="3">
        <v>0.14893989999999999</v>
      </c>
      <c r="CD37" s="2">
        <v>-5.7845060000000004</v>
      </c>
      <c r="CE37" s="3">
        <v>900.48119999999994</v>
      </c>
      <c r="CF37" s="3">
        <v>878.95190000000002</v>
      </c>
      <c r="CG37" s="2">
        <v>-2.3908670000000001</v>
      </c>
      <c r="CH37" s="3">
        <v>1.4182349999999999</v>
      </c>
      <c r="CI37" s="2">
        <v>-3.4010769999999999</v>
      </c>
      <c r="CJ37" s="3">
        <v>1746.672</v>
      </c>
      <c r="CK37" s="3">
        <v>1735.6869999999999</v>
      </c>
      <c r="CL37" s="2">
        <v>-0.62893030000000005</v>
      </c>
      <c r="CM37" s="3">
        <v>0.99756940000000005</v>
      </c>
      <c r="CN37" s="3">
        <v>1.08849</v>
      </c>
      <c r="CO37" s="3">
        <v>1.0121150000000001</v>
      </c>
      <c r="CP37" s="2">
        <v>1.847553</v>
      </c>
      <c r="CQ37" s="2">
        <v>-6.6596799999999998</v>
      </c>
      <c r="CR37" s="2">
        <v>0.3838181</v>
      </c>
      <c r="CS37" s="2">
        <v>9.1142059999999994</v>
      </c>
      <c r="CT37" s="2">
        <v>10.73592</v>
      </c>
      <c r="CU37" s="3">
        <v>0.39802290000000001</v>
      </c>
      <c r="CV37" s="2">
        <v>-85.714290000000005</v>
      </c>
      <c r="CW37" s="2">
        <v>-5.2924790000000002</v>
      </c>
      <c r="CX37" s="2">
        <v>-7.7997670000000001</v>
      </c>
      <c r="CY37" s="2">
        <v>22.393940000000001</v>
      </c>
    </row>
    <row r="38" spans="1:103" ht="15" customHeight="1" x14ac:dyDescent="0.2">
      <c r="A38" s="1">
        <f t="shared" si="0"/>
        <v>32</v>
      </c>
      <c r="B38" s="1" t="s">
        <v>99</v>
      </c>
      <c r="C38" s="1" t="s">
        <v>98</v>
      </c>
      <c r="D38" s="1" t="s">
        <v>47</v>
      </c>
      <c r="E38" s="1" t="s">
        <v>93</v>
      </c>
      <c r="F38" s="2">
        <v>11201.11</v>
      </c>
      <c r="G38" s="2">
        <v>17.324300000000001</v>
      </c>
      <c r="H38" s="2">
        <v>1940.5129999999999</v>
      </c>
      <c r="I38" s="3">
        <v>34.020000000000003</v>
      </c>
      <c r="J38" s="3">
        <v>0</v>
      </c>
      <c r="K38" s="2">
        <v>1.425632</v>
      </c>
      <c r="L38" s="2">
        <v>1.7783659999999999</v>
      </c>
      <c r="M38" s="2">
        <v>1.7455290000000001</v>
      </c>
      <c r="N38" s="2">
        <v>1.7783659999999999</v>
      </c>
      <c r="O38" s="2">
        <v>14.7913</v>
      </c>
      <c r="P38" s="2">
        <v>17.26904</v>
      </c>
      <c r="Q38" s="2">
        <v>18.89114</v>
      </c>
      <c r="R38" s="2">
        <v>21</v>
      </c>
      <c r="S38" s="2">
        <v>8.4211229999999997</v>
      </c>
      <c r="T38" s="2">
        <v>9.2390720000000002</v>
      </c>
      <c r="U38" s="2">
        <v>9.8547619999999991</v>
      </c>
      <c r="V38" s="2">
        <v>10.639340000000001</v>
      </c>
      <c r="W38" s="2">
        <v>1.90802</v>
      </c>
      <c r="X38" s="2">
        <v>1.7895840000000001</v>
      </c>
      <c r="Y38" s="2">
        <v>1.697605</v>
      </c>
      <c r="Z38" s="2">
        <v>1.6277509999999999</v>
      </c>
      <c r="AA38" s="2">
        <v>9.7899279999999997</v>
      </c>
      <c r="AB38" s="2">
        <v>10.21935</v>
      </c>
      <c r="AC38" s="2">
        <v>9.9113989999999994</v>
      </c>
      <c r="AD38" s="2">
        <v>10.83846</v>
      </c>
      <c r="AE38" s="2">
        <v>-4.9007829999999997</v>
      </c>
      <c r="AF38" s="2">
        <v>-5.5417730000000001</v>
      </c>
      <c r="AG38" s="2">
        <v>-3.7629980000000001</v>
      </c>
      <c r="AH38" s="2">
        <v>-6.2494589999999999</v>
      </c>
      <c r="AI38" s="2">
        <v>-7.5816619999999997</v>
      </c>
      <c r="AJ38" s="2">
        <v>-5.4793599999999998</v>
      </c>
      <c r="AK38" s="3">
        <v>2.5868099999999998</v>
      </c>
      <c r="AL38" s="3">
        <v>2.8538570000000001</v>
      </c>
      <c r="AM38" s="2">
        <v>37.99127</v>
      </c>
      <c r="AN38" s="2">
        <v>38.646059999999999</v>
      </c>
      <c r="AO38" s="2">
        <v>42.41854</v>
      </c>
      <c r="AP38" s="2">
        <v>41.601089999999999</v>
      </c>
      <c r="AQ38" s="2">
        <v>1.2226250000000001</v>
      </c>
      <c r="AR38" s="2">
        <v>1.9938549999999999</v>
      </c>
      <c r="AS38" s="2">
        <v>2.6514790000000001</v>
      </c>
      <c r="AT38" s="2">
        <v>3.332681</v>
      </c>
      <c r="AU38" s="1" t="s">
        <v>52</v>
      </c>
      <c r="AV38" s="3">
        <v>1.7291669999999999</v>
      </c>
      <c r="AW38" s="3">
        <v>40.4</v>
      </c>
      <c r="AX38" s="2">
        <v>18.75367</v>
      </c>
      <c r="AY38" s="2">
        <v>10.362970000000001</v>
      </c>
      <c r="AZ38" s="2">
        <v>10.1</v>
      </c>
      <c r="BA38" s="2">
        <v>-3.132117</v>
      </c>
      <c r="BB38" s="2">
        <v>-5.8660750000000004</v>
      </c>
      <c r="BC38" s="3">
        <v>32.340000000000003</v>
      </c>
      <c r="BD38" s="2">
        <v>5.194807</v>
      </c>
      <c r="BE38" s="3">
        <v>44.2</v>
      </c>
      <c r="BF38" s="2">
        <v>-23.031680000000001</v>
      </c>
      <c r="BG38" s="2">
        <v>21.506029999999999</v>
      </c>
      <c r="BH38" s="2">
        <v>31.261710000000001</v>
      </c>
      <c r="BI38" s="2">
        <v>32.840600000000002</v>
      </c>
      <c r="BJ38" s="2">
        <v>36.134650000000001</v>
      </c>
      <c r="BK38" s="2">
        <v>21</v>
      </c>
      <c r="BL38" s="2">
        <v>19</v>
      </c>
      <c r="BM38" s="4">
        <v>24</v>
      </c>
      <c r="BN38" s="4">
        <v>1</v>
      </c>
      <c r="BO38" s="4">
        <v>2</v>
      </c>
      <c r="BP38" s="4">
        <v>22</v>
      </c>
      <c r="BQ38" s="2">
        <v>4</v>
      </c>
      <c r="BR38" s="4">
        <v>9</v>
      </c>
      <c r="BS38" s="4">
        <v>2</v>
      </c>
      <c r="BT38" s="4">
        <v>24</v>
      </c>
      <c r="BU38" s="2">
        <v>37.5</v>
      </c>
      <c r="BV38" s="2">
        <v>7.6424099999999999</v>
      </c>
      <c r="BW38" s="2">
        <v>329.25060000000002</v>
      </c>
      <c r="BX38" s="3">
        <v>0.28140769999999998</v>
      </c>
      <c r="BY38" s="3">
        <v>8.5469160000000002E-2</v>
      </c>
      <c r="BZ38" s="2">
        <v>0.37574800000000003</v>
      </c>
      <c r="CA38" s="3">
        <v>8.5469160000000002E-2</v>
      </c>
      <c r="CB38" s="3">
        <v>1.9462060000000001</v>
      </c>
      <c r="CC38" s="3">
        <v>1.984335</v>
      </c>
      <c r="CD38" s="2">
        <v>1.959157</v>
      </c>
      <c r="CE38" s="3">
        <v>1101.729</v>
      </c>
      <c r="CF38" s="3">
        <v>1094.2750000000001</v>
      </c>
      <c r="CG38" s="2">
        <v>-0.67653660000000004</v>
      </c>
      <c r="CH38" s="3">
        <v>41.328949999999999</v>
      </c>
      <c r="CI38" s="2">
        <v>-2.2476910000000001</v>
      </c>
      <c r="CJ38" s="3">
        <v>3615.674</v>
      </c>
      <c r="CK38" s="3">
        <v>3849.27</v>
      </c>
      <c r="CL38" s="2">
        <v>6.4606430000000001</v>
      </c>
      <c r="CM38" s="3">
        <v>38.195619999999998</v>
      </c>
      <c r="CN38" s="3">
        <v>35.696869999999997</v>
      </c>
      <c r="CO38" s="3">
        <v>34.971539999999997</v>
      </c>
      <c r="CP38" s="2">
        <v>-10.93219</v>
      </c>
      <c r="CQ38" s="2">
        <v>-4.697514</v>
      </c>
      <c r="CR38" s="2">
        <v>-2.720904</v>
      </c>
      <c r="CS38" s="2">
        <v>-6.5419859999999996</v>
      </c>
      <c r="CT38" s="2">
        <v>11.554880000000001</v>
      </c>
      <c r="CU38" s="3">
        <v>0.1031584</v>
      </c>
      <c r="CV38" s="2" t="e">
        <v>#N/A</v>
      </c>
      <c r="CW38" s="2" t="e">
        <v>#N/A</v>
      </c>
      <c r="CX38" s="2" t="e">
        <v>#N/A</v>
      </c>
      <c r="CY38" s="2">
        <v>22.47475</v>
      </c>
    </row>
    <row r="39" spans="1:103" ht="15" customHeight="1" x14ac:dyDescent="0.2">
      <c r="A39" s="1">
        <f t="shared" si="0"/>
        <v>33</v>
      </c>
      <c r="B39" s="1" t="s">
        <v>101</v>
      </c>
      <c r="C39" s="1" t="s">
        <v>100</v>
      </c>
      <c r="D39" s="1" t="s">
        <v>3</v>
      </c>
      <c r="E39" s="1" t="s">
        <v>102</v>
      </c>
      <c r="F39" s="2">
        <v>3194.5239999999999</v>
      </c>
      <c r="G39" s="2">
        <v>49.543500000000002</v>
      </c>
      <c r="H39" s="2">
        <v>1582.6790000000001</v>
      </c>
      <c r="I39" s="3">
        <v>5.92</v>
      </c>
      <c r="J39" s="3">
        <v>0</v>
      </c>
      <c r="K39" s="2">
        <v>4.2229729999999996</v>
      </c>
      <c r="L39" s="2">
        <v>4.3918910000000002</v>
      </c>
      <c r="M39" s="2">
        <v>4.72973</v>
      </c>
      <c r="N39" s="2">
        <v>5.3209460000000002</v>
      </c>
      <c r="O39" s="2">
        <v>19.733329999999999</v>
      </c>
      <c r="P39" s="2">
        <v>18.55799</v>
      </c>
      <c r="Q39" s="2">
        <v>16.219180000000001</v>
      </c>
      <c r="R39" s="2">
        <v>15.179489999999999</v>
      </c>
      <c r="S39" s="2">
        <v>30.47634</v>
      </c>
      <c r="T39" s="2">
        <v>27.562380000000001</v>
      </c>
      <c r="U39" s="2">
        <v>25.05988</v>
      </c>
      <c r="V39" s="2">
        <v>23.210809999999999</v>
      </c>
      <c r="W39" s="2">
        <v>0.51907060000000005</v>
      </c>
      <c r="X39" s="2">
        <v>0.6734926</v>
      </c>
      <c r="Y39" s="2">
        <v>0.67812139999999999</v>
      </c>
      <c r="Z39" s="2">
        <v>0.89022559999999995</v>
      </c>
      <c r="AA39" s="2">
        <v>23.535029999999999</v>
      </c>
      <c r="AB39" s="2">
        <v>19.096779999999999</v>
      </c>
      <c r="AC39" s="2">
        <v>17.118020000000001</v>
      </c>
      <c r="AD39" s="2" t="e">
        <v>#N/A</v>
      </c>
      <c r="AE39" s="2">
        <v>3.581683</v>
      </c>
      <c r="AF39" s="2">
        <v>2.9675769999999999</v>
      </c>
      <c r="AG39" s="2">
        <v>4.2655620000000001</v>
      </c>
      <c r="AH39" s="2">
        <v>9.4253490000000006</v>
      </c>
      <c r="AI39" s="2">
        <v>7.7719069999999997</v>
      </c>
      <c r="AJ39" s="2">
        <v>11.08146</v>
      </c>
      <c r="AK39" s="3">
        <v>1.5652470000000001</v>
      </c>
      <c r="AL39" s="3">
        <v>1.399092</v>
      </c>
      <c r="AM39" s="2">
        <v>78.926550000000006</v>
      </c>
      <c r="AN39" s="2">
        <v>78.864360000000005</v>
      </c>
      <c r="AO39" s="2">
        <v>80.060230000000004</v>
      </c>
      <c r="AP39" s="2">
        <v>78.738159999999993</v>
      </c>
      <c r="AQ39" s="2">
        <v>18.869</v>
      </c>
      <c r="AR39" s="2">
        <v>17.088519999999999</v>
      </c>
      <c r="AS39" s="2">
        <v>15.49117</v>
      </c>
      <c r="AT39" s="2">
        <v>14.27633</v>
      </c>
      <c r="AU39" s="1" t="s">
        <v>5</v>
      </c>
      <c r="AV39" s="3">
        <v>1.529412</v>
      </c>
      <c r="AW39" s="3">
        <v>7.1</v>
      </c>
      <c r="AX39" s="2">
        <v>19.93242</v>
      </c>
      <c r="AY39" s="2">
        <v>3.629124</v>
      </c>
      <c r="AZ39" s="2">
        <v>11.57067</v>
      </c>
      <c r="BA39" s="2">
        <v>-28.931570000000001</v>
      </c>
      <c r="BB39" s="2">
        <v>-1.4975069999999999</v>
      </c>
      <c r="BC39" s="3">
        <v>4.5019999999999998</v>
      </c>
      <c r="BD39" s="2">
        <v>31.497119999999999</v>
      </c>
      <c r="BE39" s="3">
        <v>8.3849999999999998</v>
      </c>
      <c r="BF39" s="2">
        <v>-29.397739999999999</v>
      </c>
      <c r="BG39" s="2">
        <v>83.581019999999995</v>
      </c>
      <c r="BH39" s="2">
        <v>80.118679999999998</v>
      </c>
      <c r="BI39" s="2">
        <v>78.62473</v>
      </c>
      <c r="BJ39" s="2">
        <v>80.749359999999996</v>
      </c>
      <c r="BK39" s="2">
        <v>16</v>
      </c>
      <c r="BL39" s="2">
        <v>10</v>
      </c>
      <c r="BM39" s="4">
        <v>17</v>
      </c>
      <c r="BN39" s="4">
        <v>2</v>
      </c>
      <c r="BO39" s="4">
        <v>2</v>
      </c>
      <c r="BP39" s="4">
        <v>17</v>
      </c>
      <c r="BQ39" s="2">
        <v>9.523809</v>
      </c>
      <c r="BR39" s="4">
        <v>9</v>
      </c>
      <c r="BS39" s="4">
        <v>1</v>
      </c>
      <c r="BT39" s="4">
        <v>17</v>
      </c>
      <c r="BU39" s="2">
        <v>52.941180000000003</v>
      </c>
      <c r="BV39" s="2">
        <v>9.2331099999999999</v>
      </c>
      <c r="BW39" s="2">
        <v>539.61559999999997</v>
      </c>
      <c r="BX39" s="3">
        <v>1.1145620000000001</v>
      </c>
      <c r="BY39" s="3">
        <v>0.20654749999999999</v>
      </c>
      <c r="BZ39" s="2">
        <v>1.2870600000000001</v>
      </c>
      <c r="CA39" s="3">
        <v>0.20654749999999999</v>
      </c>
      <c r="CB39" s="3">
        <v>0.33632810000000002</v>
      </c>
      <c r="CC39" s="3">
        <v>0.3268739</v>
      </c>
      <c r="CD39" s="2">
        <v>-2.810991</v>
      </c>
      <c r="CE39" s="3">
        <v>312.96879999999999</v>
      </c>
      <c r="CF39" s="3">
        <v>308.51240000000001</v>
      </c>
      <c r="CG39" s="2">
        <v>-1.423907</v>
      </c>
      <c r="CH39" s="3">
        <v>7.0750000000000002</v>
      </c>
      <c r="CI39" s="2">
        <v>0.35336020000000001</v>
      </c>
      <c r="CJ39" s="3">
        <v>388.57990000000001</v>
      </c>
      <c r="CK39" s="3">
        <v>386.44580000000002</v>
      </c>
      <c r="CL39" s="2">
        <v>-0.54920910000000001</v>
      </c>
      <c r="CM39" s="3">
        <v>5.9856449999999999</v>
      </c>
      <c r="CN39" s="3">
        <v>6.2393150000000004</v>
      </c>
      <c r="CO39" s="3">
        <v>5.8144239999999998</v>
      </c>
      <c r="CP39" s="2">
        <v>-1.0967020000000001</v>
      </c>
      <c r="CQ39" s="2">
        <v>-5.1177799999999998</v>
      </c>
      <c r="CR39" s="2">
        <v>1.8157719999999999</v>
      </c>
      <c r="CS39" s="2">
        <v>4.2379740000000004</v>
      </c>
      <c r="CT39" s="2">
        <v>7.1551830000000001</v>
      </c>
      <c r="CU39" s="3">
        <v>0.22398270000000001</v>
      </c>
      <c r="CV39" s="2" t="e">
        <v>#N/A</v>
      </c>
      <c r="CW39" s="2" t="e">
        <v>#N/A</v>
      </c>
      <c r="CX39" s="2" t="e">
        <v>#N/A</v>
      </c>
      <c r="CY39" s="2">
        <v>22.505050000000001</v>
      </c>
    </row>
    <row r="40" spans="1:103" ht="15" customHeight="1" x14ac:dyDescent="0.2">
      <c r="A40" s="1">
        <f t="shared" si="0"/>
        <v>34</v>
      </c>
      <c r="B40" s="1" t="s">
        <v>104</v>
      </c>
      <c r="C40" s="1" t="s">
        <v>103</v>
      </c>
      <c r="D40" s="1" t="s">
        <v>105</v>
      </c>
      <c r="E40" s="1" t="s">
        <v>106</v>
      </c>
      <c r="F40" s="2">
        <v>2864.645</v>
      </c>
      <c r="G40" s="2">
        <v>45.418599999999998</v>
      </c>
      <c r="H40" s="2">
        <v>1301.0809999999999</v>
      </c>
      <c r="I40" s="3">
        <v>14.91</v>
      </c>
      <c r="J40" s="3">
        <v>0</v>
      </c>
      <c r="K40" s="2">
        <v>4.6948359999999996</v>
      </c>
      <c r="L40" s="2">
        <v>3.6539890000000002</v>
      </c>
      <c r="M40" s="2">
        <v>4.0241449999999999</v>
      </c>
      <c r="N40" s="2">
        <v>4.292421</v>
      </c>
      <c r="O40" s="2">
        <v>10.88321</v>
      </c>
      <c r="P40" s="2">
        <v>14.405799999999999</v>
      </c>
      <c r="Q40" s="2">
        <v>13.43243</v>
      </c>
      <c r="R40" s="2">
        <v>12.52941</v>
      </c>
      <c r="S40" s="2">
        <v>8.1338559999999998</v>
      </c>
      <c r="T40" s="2">
        <v>9.3318980000000007</v>
      </c>
      <c r="U40" s="2">
        <v>8.1778560000000002</v>
      </c>
      <c r="V40" s="2">
        <v>7.6857439999999997</v>
      </c>
      <c r="W40" s="2">
        <v>1.7147790000000001</v>
      </c>
      <c r="X40" s="2">
        <v>1.7082059999999999</v>
      </c>
      <c r="Y40" s="2">
        <v>1.6540239999999999</v>
      </c>
      <c r="Z40" s="2">
        <v>1.6402639999999999</v>
      </c>
      <c r="AA40" s="2">
        <v>10.00671</v>
      </c>
      <c r="AB40" s="2">
        <v>8.8197469999999996</v>
      </c>
      <c r="AC40" s="2">
        <v>9.0273990000000008</v>
      </c>
      <c r="AD40" s="2">
        <v>9.9655240000000003</v>
      </c>
      <c r="AE40" s="2">
        <v>7.7952589999999997</v>
      </c>
      <c r="AF40" s="2">
        <v>6.960229</v>
      </c>
      <c r="AG40" s="2">
        <v>7.3107439999999997</v>
      </c>
      <c r="AH40" s="2">
        <v>10.8947</v>
      </c>
      <c r="AI40" s="2">
        <v>9.3753119999999992</v>
      </c>
      <c r="AJ40" s="2">
        <v>9.5718689999999995</v>
      </c>
      <c r="AK40" s="3">
        <v>5.4683159999999997</v>
      </c>
      <c r="AL40" s="3">
        <v>4.6371570000000002</v>
      </c>
      <c r="AM40" s="2">
        <v>21.431560000000001</v>
      </c>
      <c r="AN40" s="2">
        <v>20.080870000000001</v>
      </c>
      <c r="AO40" s="2">
        <v>21.14949</v>
      </c>
      <c r="AP40" s="2">
        <v>21.338000000000001</v>
      </c>
      <c r="AQ40" s="2">
        <v>2.5859380000000001</v>
      </c>
      <c r="AR40" s="2">
        <v>2.6548400000000001</v>
      </c>
      <c r="AS40" s="2">
        <v>2.1066189999999998</v>
      </c>
      <c r="AT40" s="2">
        <v>1.815574</v>
      </c>
      <c r="AU40" s="1" t="s">
        <v>5</v>
      </c>
      <c r="AV40" s="3">
        <v>1.4375</v>
      </c>
      <c r="AW40" s="3">
        <v>19.82</v>
      </c>
      <c r="AX40" s="2">
        <v>32.93092</v>
      </c>
      <c r="AY40" s="2">
        <v>11.85777</v>
      </c>
      <c r="AZ40" s="2">
        <v>2.7340390000000001</v>
      </c>
      <c r="BA40" s="2">
        <v>-40.927100000000003</v>
      </c>
      <c r="BB40" s="2">
        <v>2.68594</v>
      </c>
      <c r="BC40" s="3">
        <v>11.93</v>
      </c>
      <c r="BD40" s="2">
        <v>24.979040000000001</v>
      </c>
      <c r="BE40" s="3">
        <v>26.9</v>
      </c>
      <c r="BF40" s="2">
        <v>-44.572490000000002</v>
      </c>
      <c r="BG40" s="2">
        <v>51.461399999999998</v>
      </c>
      <c r="BH40" s="2">
        <v>55.404870000000003</v>
      </c>
      <c r="BI40" s="2">
        <v>52.78293</v>
      </c>
      <c r="BJ40" s="2">
        <v>45.674469999999999</v>
      </c>
      <c r="BK40" s="2">
        <v>14</v>
      </c>
      <c r="BL40" s="2">
        <v>14</v>
      </c>
      <c r="BM40" s="4">
        <v>16</v>
      </c>
      <c r="BN40" s="4">
        <v>0</v>
      </c>
      <c r="BO40" s="4">
        <v>2</v>
      </c>
      <c r="BP40" s="4">
        <v>14</v>
      </c>
      <c r="BQ40" s="2">
        <v>0</v>
      </c>
      <c r="BR40" s="4">
        <v>10</v>
      </c>
      <c r="BS40" s="4">
        <v>1</v>
      </c>
      <c r="BT40" s="4">
        <v>16</v>
      </c>
      <c r="BU40" s="2">
        <v>62.5</v>
      </c>
      <c r="BV40" s="2">
        <v>10.0471</v>
      </c>
      <c r="BW40" s="2">
        <v>192.12909999999999</v>
      </c>
      <c r="BX40" s="3">
        <v>0.69972540000000005</v>
      </c>
      <c r="BY40" s="3">
        <v>0.36419550000000001</v>
      </c>
      <c r="BZ40" s="2">
        <v>0.69238299999999997</v>
      </c>
      <c r="CA40" s="3">
        <v>0.36419550000000001</v>
      </c>
      <c r="CB40" s="3">
        <v>1.1034930000000001</v>
      </c>
      <c r="CC40" s="3">
        <v>0.99728510000000004</v>
      </c>
      <c r="CD40" s="2">
        <v>-9.6246659999999995</v>
      </c>
      <c r="CE40" s="3">
        <v>310.78190000000001</v>
      </c>
      <c r="CF40" s="3">
        <v>278.38319999999999</v>
      </c>
      <c r="CG40" s="2">
        <v>-10.424899999999999</v>
      </c>
      <c r="CH40" s="3">
        <v>20.304670000000002</v>
      </c>
      <c r="CI40" s="2">
        <v>-2.3869750000000001</v>
      </c>
      <c r="CJ40" s="3">
        <v>2227.1909999999998</v>
      </c>
      <c r="CK40" s="3">
        <v>2168.9009999999998</v>
      </c>
      <c r="CL40" s="2">
        <v>-2.6171799999999998</v>
      </c>
      <c r="CM40" s="3">
        <v>15.781689999999999</v>
      </c>
      <c r="CN40" s="3">
        <v>16.046859999999999</v>
      </c>
      <c r="CO40" s="3">
        <v>15.567690000000001</v>
      </c>
      <c r="CP40" s="2">
        <v>-5.5234430000000003</v>
      </c>
      <c r="CQ40" s="2">
        <v>-7.0846499999999999</v>
      </c>
      <c r="CR40" s="2">
        <v>-4.2247300000000001</v>
      </c>
      <c r="CS40" s="2">
        <v>1.6802429999999999</v>
      </c>
      <c r="CT40" s="2">
        <v>11.52726</v>
      </c>
      <c r="CU40" s="3">
        <v>0.40239770000000002</v>
      </c>
      <c r="CV40" s="2" t="e">
        <v>#N/A</v>
      </c>
      <c r="CW40" s="2">
        <v>-5.747007</v>
      </c>
      <c r="CX40" s="2">
        <v>-226.2415</v>
      </c>
      <c r="CY40" s="2">
        <v>23.383839999999999</v>
      </c>
    </row>
    <row r="41" spans="1:103" ht="15" customHeight="1" x14ac:dyDescent="0.2">
      <c r="A41" s="1">
        <f t="shared" si="0"/>
        <v>35</v>
      </c>
      <c r="B41" s="1" t="s">
        <v>108</v>
      </c>
      <c r="C41" s="1" t="s">
        <v>107</v>
      </c>
      <c r="D41" s="1" t="s">
        <v>3</v>
      </c>
      <c r="E41" s="1" t="s">
        <v>102</v>
      </c>
      <c r="F41" s="2">
        <v>3823.9340000000002</v>
      </c>
      <c r="G41" s="2">
        <v>66.211399999999998</v>
      </c>
      <c r="H41" s="2">
        <v>2531.88</v>
      </c>
      <c r="I41" s="3">
        <v>8.14</v>
      </c>
      <c r="J41" s="3">
        <v>0</v>
      </c>
      <c r="K41" s="2">
        <v>14.37346</v>
      </c>
      <c r="L41" s="2">
        <v>5.3962810000000001</v>
      </c>
      <c r="M41" s="2">
        <v>5.5896800000000004</v>
      </c>
      <c r="N41" s="2">
        <v>6.2617940000000001</v>
      </c>
      <c r="O41" s="2">
        <v>13.34426</v>
      </c>
      <c r="P41" s="2">
        <v>13.914529999999999</v>
      </c>
      <c r="Q41" s="2">
        <v>12.941179999999999</v>
      </c>
      <c r="R41" s="2">
        <v>11.926740000000001</v>
      </c>
      <c r="S41" s="2">
        <v>23.970780000000001</v>
      </c>
      <c r="T41" s="2">
        <v>21.904340000000001</v>
      </c>
      <c r="U41" s="2">
        <v>20.359059999999999</v>
      </c>
      <c r="V41" s="2">
        <v>18.90164</v>
      </c>
      <c r="W41" s="2">
        <v>0.55829910000000005</v>
      </c>
      <c r="X41" s="2">
        <v>0.64060569999999994</v>
      </c>
      <c r="Y41" s="2">
        <v>0.63711890000000004</v>
      </c>
      <c r="Z41" s="2">
        <v>0.74</v>
      </c>
      <c r="AA41" s="2">
        <v>13.41295</v>
      </c>
      <c r="AB41" s="2">
        <v>14.65114</v>
      </c>
      <c r="AC41" s="2">
        <v>13.690899999999999</v>
      </c>
      <c r="AD41" s="2" t="e">
        <v>#N/A</v>
      </c>
      <c r="AE41" s="2">
        <v>1.3008090000000001</v>
      </c>
      <c r="AF41" s="2">
        <v>2.03329</v>
      </c>
      <c r="AG41" s="2">
        <v>3.2797269999999998</v>
      </c>
      <c r="AH41" s="2">
        <v>2.6649120000000002</v>
      </c>
      <c r="AI41" s="2">
        <v>4.1840419999999998</v>
      </c>
      <c r="AJ41" s="2">
        <v>6.7651139999999996</v>
      </c>
      <c r="AK41" s="3">
        <v>3.536321</v>
      </c>
      <c r="AL41" s="3">
        <v>3.3177249999999998</v>
      </c>
      <c r="AM41" s="2">
        <v>73.730680000000007</v>
      </c>
      <c r="AN41" s="2">
        <v>74.977580000000003</v>
      </c>
      <c r="AO41" s="2">
        <v>75.933199999999999</v>
      </c>
      <c r="AP41" s="2">
        <v>79.485720000000001</v>
      </c>
      <c r="AQ41" s="2">
        <v>11.628740000000001</v>
      </c>
      <c r="AR41" s="2">
        <v>11.212300000000001</v>
      </c>
      <c r="AS41" s="2">
        <v>10.465310000000001</v>
      </c>
      <c r="AT41" s="2">
        <v>9.7381259999999994</v>
      </c>
      <c r="AU41" s="1" t="s">
        <v>5</v>
      </c>
      <c r="AV41" s="3">
        <v>1.4166669999999999</v>
      </c>
      <c r="AW41" s="3">
        <v>10.5</v>
      </c>
      <c r="AX41" s="2">
        <v>28.992629999999998</v>
      </c>
      <c r="AY41" s="2">
        <v>4.6038620000000003</v>
      </c>
      <c r="AZ41" s="2">
        <v>3.8466770000000001</v>
      </c>
      <c r="BA41" s="2">
        <v>-24.83841</v>
      </c>
      <c r="BB41" s="2">
        <v>-7.2364569999999997</v>
      </c>
      <c r="BC41" s="3">
        <v>7.24</v>
      </c>
      <c r="BD41" s="2">
        <v>12.43094</v>
      </c>
      <c r="BE41" s="3">
        <v>10.95</v>
      </c>
      <c r="BF41" s="2">
        <v>-25.662089999999999</v>
      </c>
      <c r="BG41" s="2">
        <v>195.3734</v>
      </c>
      <c r="BH41" s="2">
        <v>73.448390000000003</v>
      </c>
      <c r="BI41" s="2">
        <v>72.441310000000001</v>
      </c>
      <c r="BJ41" s="2">
        <v>73.358379999999997</v>
      </c>
      <c r="BK41" s="2">
        <v>16</v>
      </c>
      <c r="BL41" s="2">
        <v>11</v>
      </c>
      <c r="BM41" s="4">
        <v>18</v>
      </c>
      <c r="BN41" s="4">
        <v>0</v>
      </c>
      <c r="BO41" s="4">
        <v>2</v>
      </c>
      <c r="BP41" s="4">
        <v>18</v>
      </c>
      <c r="BQ41" s="2">
        <v>0</v>
      </c>
      <c r="BR41" s="4">
        <v>11</v>
      </c>
      <c r="BS41" s="4">
        <v>0</v>
      </c>
      <c r="BT41" s="4">
        <v>18</v>
      </c>
      <c r="BU41" s="2">
        <v>61.111109999999996</v>
      </c>
      <c r="BV41" s="2">
        <v>10.137700000000001</v>
      </c>
      <c r="BW41" s="2">
        <v>469.77080000000001</v>
      </c>
      <c r="BX41" s="3">
        <v>0.85269269999999997</v>
      </c>
      <c r="BY41" s="3">
        <v>0.18151249999999999</v>
      </c>
      <c r="BZ41" s="2">
        <v>1.12293</v>
      </c>
      <c r="CA41" s="3">
        <v>0.18151249999999999</v>
      </c>
      <c r="CB41" s="3">
        <v>0.59311170000000002</v>
      </c>
      <c r="CC41" s="3">
        <v>0.59839370000000003</v>
      </c>
      <c r="CD41" s="2">
        <v>0.89056489999999999</v>
      </c>
      <c r="CE41" s="3">
        <v>370.25889999999998</v>
      </c>
      <c r="CF41" s="3">
        <v>352.92860000000002</v>
      </c>
      <c r="CG41" s="2">
        <v>-4.6805979999999998</v>
      </c>
      <c r="CH41" s="3">
        <v>10.6875</v>
      </c>
      <c r="CI41" s="2">
        <v>-1.7543850000000001</v>
      </c>
      <c r="CJ41" s="3">
        <v>469.8295</v>
      </c>
      <c r="CK41" s="3">
        <v>473.00900000000001</v>
      </c>
      <c r="CL41" s="2">
        <v>0.67672730000000003</v>
      </c>
      <c r="CM41" s="3">
        <v>8.8711190000000002</v>
      </c>
      <c r="CN41" s="3">
        <v>8.517353</v>
      </c>
      <c r="CO41" s="3">
        <v>8.0207689999999996</v>
      </c>
      <c r="CP41" s="2">
        <v>-8.2415579999999995</v>
      </c>
      <c r="CQ41" s="2">
        <v>-4.4304009999999998</v>
      </c>
      <c r="CR41" s="2">
        <v>1.4865280000000001</v>
      </c>
      <c r="CS41" s="2">
        <v>-3.9878369999999999</v>
      </c>
      <c r="CT41" s="2">
        <v>6.8281559999999999</v>
      </c>
      <c r="CU41" s="3">
        <v>0.17856359999999999</v>
      </c>
      <c r="CV41" s="2">
        <v>-6.6666670000000003</v>
      </c>
      <c r="CW41" s="2">
        <v>9.4610649999999996</v>
      </c>
      <c r="CX41" s="2">
        <v>-1.7962279999999999</v>
      </c>
      <c r="CY41" s="2">
        <v>23.404039999999998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2023-04-17T05:02:51Z</dcterms:created>
  <dcterms:modified xsi:type="dcterms:W3CDTF">2023-04-17T05:02:51Z</dcterms:modified>
  <cp:category/>
</cp:coreProperties>
</file>