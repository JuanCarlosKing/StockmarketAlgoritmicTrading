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22285083-7FF7-488C-B4B6-D8443FF9E47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</calcChain>
</file>

<file path=xl/sharedStrings.xml><?xml version="1.0" encoding="utf-8"?>
<sst xmlns="http://schemas.openxmlformats.org/spreadsheetml/2006/main" count="380" uniqueCount="311">
  <si>
    <t>FactSet Universal Screen</t>
  </si>
  <si>
    <t>IDR-ES</t>
  </si>
  <si>
    <t>Indra Sistemas, S.A. Class A</t>
  </si>
  <si>
    <t>Technology Services</t>
  </si>
  <si>
    <t>Information Technology Services</t>
  </si>
  <si>
    <t>Buy (1.00)</t>
  </si>
  <si>
    <t>BBVA-ES</t>
  </si>
  <si>
    <t>Banco Bilbao Vizcaya Argentaria, S.A.</t>
  </si>
  <si>
    <t>Finance</t>
  </si>
  <si>
    <t>Major Banks</t>
  </si>
  <si>
    <t>Overweight (1.50)</t>
  </si>
  <si>
    <t>AENA-ES</t>
  </si>
  <si>
    <t>Aena SME SA</t>
  </si>
  <si>
    <t>Transportation</t>
  </si>
  <si>
    <t>Other Transportation</t>
  </si>
  <si>
    <t>FER-ES</t>
  </si>
  <si>
    <t>Ferrovial SE</t>
  </si>
  <si>
    <t>Industrial Services</t>
  </si>
  <si>
    <t>Engineering &amp; Construction</t>
  </si>
  <si>
    <t>ROVI-ES</t>
  </si>
  <si>
    <t>Laboratorios Farmaceuticos Rovi, S.A.</t>
  </si>
  <si>
    <t>Health Technology</t>
  </si>
  <si>
    <t>Pharmaceuticals: Major</t>
  </si>
  <si>
    <t>SAN-ES</t>
  </si>
  <si>
    <t>Banco Santander, S.A.</t>
  </si>
  <si>
    <t>CABK-ES</t>
  </si>
  <si>
    <t>CaixaBank SA</t>
  </si>
  <si>
    <t>Regional Banks</t>
  </si>
  <si>
    <t>SCYR-ES</t>
  </si>
  <si>
    <t>Sacyr SA</t>
  </si>
  <si>
    <t>TEF-ES</t>
  </si>
  <si>
    <t>Telefonica SA</t>
  </si>
  <si>
    <t>Communications</t>
  </si>
  <si>
    <t>Specialty Telecommunications</t>
  </si>
  <si>
    <t>Hold (2.00)</t>
  </si>
  <si>
    <t>SAB-ES</t>
  </si>
  <si>
    <t>Banco de Sabadell SA</t>
  </si>
  <si>
    <t>ACS-ES</t>
  </si>
  <si>
    <t>ACS Actividades de Construccion y Servicios SA</t>
  </si>
  <si>
    <t>ITX-ES</t>
  </si>
  <si>
    <t>Industria de Diseno Textil, S.A.</t>
  </si>
  <si>
    <t>Retail Trade</t>
  </si>
  <si>
    <t>Apparel/Footwear Retail</t>
  </si>
  <si>
    <t>Overweight (1.25)</t>
  </si>
  <si>
    <t>IAG-ES</t>
  </si>
  <si>
    <t>International Consolidated Airlines Group SA</t>
  </si>
  <si>
    <t>Airlines</t>
  </si>
  <si>
    <t>MEL-ES</t>
  </si>
  <si>
    <t>Melia Hotels International, S.A.</t>
  </si>
  <si>
    <t>Consumer Services</t>
  </si>
  <si>
    <t>Hotels/Resorts/Cruiselines</t>
  </si>
  <si>
    <t>BKT-ES</t>
  </si>
  <si>
    <t>Bankinter SA</t>
  </si>
  <si>
    <t>REP-ES</t>
  </si>
  <si>
    <t>Repsol SA</t>
  </si>
  <si>
    <t>Energy Minerals</t>
  </si>
  <si>
    <t>Integrated Oil</t>
  </si>
  <si>
    <t>LOG-ES</t>
  </si>
  <si>
    <t>Logista Integral, S.A.</t>
  </si>
  <si>
    <t>Air Freight/Couriers</t>
  </si>
  <si>
    <t>CLNX-ES</t>
  </si>
  <si>
    <t>Cellnex Telecom S.A.</t>
  </si>
  <si>
    <t>ENG-ES</t>
  </si>
  <si>
    <t>Enagas SA</t>
  </si>
  <si>
    <t>Utilities</t>
  </si>
  <si>
    <t>Gas Distributors</t>
  </si>
  <si>
    <t>RED-ES</t>
  </si>
  <si>
    <t>Redeia Corporacion SA</t>
  </si>
  <si>
    <t>MRL-ES</t>
  </si>
  <si>
    <t>MERLIN Properties SOCIMI, S.A.</t>
  </si>
  <si>
    <t>Real Estate Investment Trusts</t>
  </si>
  <si>
    <t>UNI-ES</t>
  </si>
  <si>
    <t>Unicaja Banco S.A.</t>
  </si>
  <si>
    <t>MTS-ES</t>
  </si>
  <si>
    <t>ArcelorMittal SA</t>
  </si>
  <si>
    <t>Non-Energy Minerals</t>
  </si>
  <si>
    <t>Steel</t>
  </si>
  <si>
    <t>ACX-ES</t>
  </si>
  <si>
    <t>Acerinox SA</t>
  </si>
  <si>
    <t>FDR-ES</t>
  </si>
  <si>
    <t>Fluidra, S.A.</t>
  </si>
  <si>
    <t>Consumer Durables</t>
  </si>
  <si>
    <t>Recreational Products</t>
  </si>
  <si>
    <t>IBE-ES</t>
  </si>
  <si>
    <t>Iberdrola SA</t>
  </si>
  <si>
    <t>Electric Utilities</t>
  </si>
  <si>
    <t>ANA-ES</t>
  </si>
  <si>
    <t>Acciona SA</t>
  </si>
  <si>
    <t>MAP-ES</t>
  </si>
  <si>
    <t>Mapfre SA</t>
  </si>
  <si>
    <t>Multi-Line Insurance</t>
  </si>
  <si>
    <t>ANE-ES</t>
  </si>
  <si>
    <t>Corporacion Acciona Energias Renovables SA</t>
  </si>
  <si>
    <t>Alternative Power Generation</t>
  </si>
  <si>
    <t>GRF-ES</t>
  </si>
  <si>
    <t>Grifols, S.A. Class A</t>
  </si>
  <si>
    <t>ELE-ES</t>
  </si>
  <si>
    <t>Endesa S.A.</t>
  </si>
  <si>
    <t>Hold (1.75)</t>
  </si>
  <si>
    <t>AMS-ES</t>
  </si>
  <si>
    <t>Amadeus IT Group SA Class A</t>
  </si>
  <si>
    <t>COL-ES</t>
  </si>
  <si>
    <t>Inmobiliaria Colonial SOCIMI SA</t>
  </si>
  <si>
    <t>SLR-ES</t>
  </si>
  <si>
    <t>Solaria Energia y Medio Ambiente, S.A.</t>
  </si>
  <si>
    <t>NTGY-ES</t>
  </si>
  <si>
    <t>Naturgy Energy Group, S.A.</t>
  </si>
  <si>
    <t>Sell (3.00)</t>
  </si>
  <si>
    <t>Company Symbol</t>
  </si>
  <si>
    <t>Company Name</t>
  </si>
  <si>
    <t>FE Ticker</t>
  </si>
  <si>
    <t>FactSet Econ Sector</t>
  </si>
  <si>
    <t>FactSet Ind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</si>
  <si>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</si>
  <si>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</si>
  <si>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</si>
  <si>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</si>
  <si>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</si>
  <si>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</si>
  <si>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</si>
  <si>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</si>
  <si>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</si>
  <si>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</si>
  <si>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</si>
  <si>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</si>
  <si>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</si>
  <si>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</si>
  <si>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</si>
  <si>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</si>
  <si>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</si>
  <si>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</si>
  <si>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</si>
  <si>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</si>
  <si>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</si>
  <si>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</si>
  <si>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</si>
  <si>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</si>
  <si>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</si>
  <si>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</si>
  <si>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</si>
  <si>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</si>
  <si>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</si>
  <si>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</si>
  <si>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</si>
  <si>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</si>
  <si>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</si>
  <si>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</si>
  <si>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</si>
  <si>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</si>
  <si>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</si>
  <si>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</si>
  <si>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</si>
  <si>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</si>
  <si>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</si>
  <si>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</si>
  <si>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</si>
  <si>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</si>
  <si>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</si>
  <si>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</si>
  <si>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</si>
  <si>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</si>
  <si>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</si>
  <si>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</si>
  <si>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</si>
  <si>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</si>
  <si>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</si>
  <si>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</si>
  <si>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</si>
  <si>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</si>
  <si>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</si>
  <si>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</si>
  <si>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</si>
  <si>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</si>
  <si>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</si>
  <si>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</si>
  <si>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</si>
  <si>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</si>
  <si>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</si>
  <si>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</si>
  <si>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</si>
  <si>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</si>
  <si>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</si>
  <si>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</si>
  <si>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</si>
  <si>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</si>
  <si>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</si>
  <si>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</si>
  <si>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</si>
  <si>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</si>
  <si>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</si>
  <si>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</si>
  <si>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</si>
  <si>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</si>
  <si>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</si>
  <si>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</si>
  <si>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</si>
  <si>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</si>
  <si>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</si>
  <si>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</si>
  <si>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</si>
  <si>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</si>
  <si>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</si>
  <si>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</si>
  <si>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</si>
  <si>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</si>
  <si>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</si>
  <si>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</si>
  <si>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</si>
  <si>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</si>
  <si>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</si>
  <si>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</si>
  <si>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</si>
  <si>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#4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</si>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</sst>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7E4C2-4A5E-41D3-8E1A-B958D8182BD7}">
  <sheetPr>
    <outlinePr summaryBelow="0" summaryRight="0"/>
    <pageSetUpPr fitToPage="1"/>
  </sheetPr>
  <dimension ref="A1:CY41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2.140625" customWidth="1"/>
    <col min="2" max="2" width="36" customWidth="1"/>
    <col min="3" max="3" width="14.28515625" customWidth="1"/>
    <col min="4" max="4" width="28" customWidth="1"/>
    <col min="5" max="5" width="23" customWidth="1"/>
    <col min="6" max="7" width="10" customWidth="1"/>
    <col min="8" max="8" width="12" customWidth="1"/>
    <col min="9" max="42" width="10" customWidth="1"/>
    <col min="43" max="44" width="6" customWidth="1"/>
    <col min="45" max="51" width="10" customWidth="1"/>
    <col min="52" max="52" width="12" customWidth="1"/>
    <col min="53" max="53" width="11" customWidth="1"/>
    <col min="54" max="54" width="8" customWidth="1"/>
    <col min="55" max="68" width="10" customWidth="1"/>
    <col min="69" max="69" width="14" customWidth="1"/>
    <col min="70" max="78" width="10" customWidth="1"/>
    <col min="79" max="79" width="12" customWidth="1"/>
    <col min="80" max="98" width="10" customWidth="1"/>
    <col min="99" max="99" width="12" customWidth="1"/>
    <col min="100" max="102" width="10" customWidth="1"/>
    <col min="103" max="103" width="14.28515625" customWidth="1"/>
  </cols>
  <sheetData>
    <row r="1" spans="1:103" ht="15" customHeight="1" x14ac:dyDescent="0.2">
      <c r="A1" t="s">
        <v>0</v>
      </c>
    </row>
    <row r="4" spans="1:103" ht="43.5" customHeight="1" x14ac:dyDescent="0.2">
      <c r="A4" s="5" t="s">
        <v>108</v>
      </c>
      <c r="B4" s="5" t="s">
        <v>109</v>
      </c>
      <c r="C4" s="5" t="s">
        <v>110</v>
      </c>
      <c r="D4" s="5" t="s">
        <v>111</v>
      </c>
      <c r="E4" s="5" t="s">
        <v>112</v>
      </c>
      <c r="F4" s="6" t="s">
        <v>113</v>
      </c>
      <c r="G4" s="6" t="s">
        <v>114</v>
      </c>
      <c r="H4" s="6" t="s">
        <v>115</v>
      </c>
      <c r="I4" s="6" t="s">
        <v>116</v>
      </c>
      <c r="J4" s="6" t="s">
        <v>117</v>
      </c>
      <c r="K4" s="6" t="s">
        <v>118</v>
      </c>
      <c r="L4" s="6" t="s">
        <v>119</v>
      </c>
      <c r="M4" s="6" t="s">
        <v>120</v>
      </c>
      <c r="N4" s="6" t="s">
        <v>121</v>
      </c>
      <c r="O4" s="6" t="s">
        <v>122</v>
      </c>
      <c r="P4" s="6" t="s">
        <v>123</v>
      </c>
      <c r="Q4" s="6" t="s">
        <v>124</v>
      </c>
      <c r="R4" s="6" t="s">
        <v>125</v>
      </c>
      <c r="S4" s="6" t="s">
        <v>126</v>
      </c>
      <c r="T4" s="6" t="s">
        <v>127</v>
      </c>
      <c r="U4" s="6" t="s">
        <v>128</v>
      </c>
      <c r="V4" s="6" t="s">
        <v>129</v>
      </c>
      <c r="W4" s="6" t="s">
        <v>130</v>
      </c>
      <c r="X4" s="6" t="s">
        <v>131</v>
      </c>
      <c r="Y4" s="6" t="s">
        <v>132</v>
      </c>
      <c r="Z4" s="6" t="s">
        <v>133</v>
      </c>
      <c r="AA4" s="6" t="s">
        <v>134</v>
      </c>
      <c r="AB4" s="6" t="s">
        <v>135</v>
      </c>
      <c r="AC4" s="6" t="s">
        <v>136</v>
      </c>
      <c r="AD4" s="6" t="s">
        <v>137</v>
      </c>
      <c r="AE4" s="6" t="s">
        <v>138</v>
      </c>
      <c r="AF4" s="6" t="s">
        <v>139</v>
      </c>
      <c r="AG4" s="6" t="s">
        <v>140</v>
      </c>
      <c r="AH4" s="6" t="s">
        <v>141</v>
      </c>
      <c r="AI4" s="6" t="s">
        <v>142</v>
      </c>
      <c r="AJ4" s="6" t="s">
        <v>143</v>
      </c>
      <c r="AK4" s="6" t="s">
        <v>144</v>
      </c>
      <c r="AL4" s="6" t="s">
        <v>145</v>
      </c>
      <c r="AM4" s="6" t="s">
        <v>146</v>
      </c>
      <c r="AN4" s="6" t="s">
        <v>147</v>
      </c>
      <c r="AO4" s="6" t="s">
        <v>148</v>
      </c>
      <c r="AP4" s="6" t="s">
        <v>149</v>
      </c>
      <c r="AQ4" s="6" t="s">
        <v>150</v>
      </c>
      <c r="AR4" s="6" t="s">
        <v>151</v>
      </c>
      <c r="AS4" s="6" t="s">
        <v>152</v>
      </c>
      <c r="AT4" s="6" t="s">
        <v>153</v>
      </c>
      <c r="AU4" s="5" t="s">
        <v>154</v>
      </c>
      <c r="AV4" s="6" t="s">
        <v>155</v>
      </c>
      <c r="AW4" s="6" t="s">
        <v>156</v>
      </c>
      <c r="AX4" s="6" t="s">
        <v>157</v>
      </c>
      <c r="AY4" s="6" t="s">
        <v>158</v>
      </c>
      <c r="AZ4" s="6" t="s">
        <v>159</v>
      </c>
      <c r="BA4" s="6" t="s">
        <v>160</v>
      </c>
      <c r="BB4" s="6" t="s">
        <v>161</v>
      </c>
      <c r="BC4" s="6" t="s">
        <v>162</v>
      </c>
      <c r="BD4" s="6" t="s">
        <v>163</v>
      </c>
      <c r="BE4" s="6" t="s">
        <v>164</v>
      </c>
      <c r="BF4" s="6" t="s">
        <v>165</v>
      </c>
      <c r="BG4" s="6" t="s">
        <v>166</v>
      </c>
      <c r="BH4" s="6" t="s">
        <v>167</v>
      </c>
      <c r="BI4" s="6" t="s">
        <v>168</v>
      </c>
      <c r="BJ4" s="6" t="s">
        <v>169</v>
      </c>
      <c r="BK4" s="6" t="s">
        <v>170</v>
      </c>
      <c r="BL4" s="6" t="s">
        <v>171</v>
      </c>
      <c r="BM4" s="6" t="s">
        <v>172</v>
      </c>
      <c r="BN4" s="6" t="s">
        <v>173</v>
      </c>
      <c r="BO4" s="6" t="s">
        <v>174</v>
      </c>
      <c r="BP4" s="6" t="s">
        <v>175</v>
      </c>
      <c r="BQ4" s="6" t="s">
        <v>176</v>
      </c>
      <c r="BR4" s="6" t="s">
        <v>177</v>
      </c>
      <c r="BS4" s="6" t="s">
        <v>178</v>
      </c>
      <c r="BT4" s="6" t="s">
        <v>172</v>
      </c>
      <c r="BU4" s="6" t="s">
        <v>179</v>
      </c>
      <c r="BV4" s="6" t="s">
        <v>180</v>
      </c>
      <c r="BW4" s="6" t="s">
        <v>181</v>
      </c>
      <c r="BX4" s="6" t="s">
        <v>182</v>
      </c>
      <c r="BY4" s="6" t="s">
        <v>183</v>
      </c>
      <c r="BZ4" s="6" t="s">
        <v>184</v>
      </c>
      <c r="CA4" s="6" t="s">
        <v>185</v>
      </c>
      <c r="CB4" s="6" t="s">
        <v>186</v>
      </c>
      <c r="CC4" s="6" t="s">
        <v>187</v>
      </c>
      <c r="CD4" s="6" t="s">
        <v>188</v>
      </c>
      <c r="CE4" s="6" t="s">
        <v>189</v>
      </c>
      <c r="CF4" s="6" t="s">
        <v>190</v>
      </c>
      <c r="CG4" s="6" t="s">
        <v>191</v>
      </c>
      <c r="CH4" s="6" t="s">
        <v>192</v>
      </c>
      <c r="CI4" s="6" t="s">
        <v>193</v>
      </c>
      <c r="CJ4" s="6" t="s">
        <v>194</v>
      </c>
      <c r="CK4" s="6" t="s">
        <v>195</v>
      </c>
      <c r="CL4" s="6" t="s">
        <v>196</v>
      </c>
      <c r="CM4" s="6" t="s">
        <v>197</v>
      </c>
      <c r="CN4" s="6" t="s">
        <v>198</v>
      </c>
      <c r="CO4" s="6" t="s">
        <v>199</v>
      </c>
      <c r="CP4" s="6" t="s">
        <v>200</v>
      </c>
      <c r="CQ4" s="6" t="s">
        <v>201</v>
      </c>
      <c r="CR4" s="6" t="s">
        <v>202</v>
      </c>
      <c r="CS4" s="6" t="s">
        <v>203</v>
      </c>
      <c r="CT4" s="6" t="s">
        <v>204</v>
      </c>
      <c r="CU4" s="6" t="s">
        <v>205</v>
      </c>
      <c r="CV4" s="6" t="s">
        <v>206</v>
      </c>
      <c r="CW4" s="6" t="s">
        <v>207</v>
      </c>
      <c r="CX4" s="6" t="s">
        <v>208</v>
      </c>
      <c r="CY4" s="6" t="s">
        <v>209</v>
      </c>
    </row>
    <row r="5" spans="1:103" ht="12.75" x14ac:dyDescent="0.2">
      <c r="A5" s="5"/>
      <c r="B5" s="5"/>
      <c r="C5" s="5" t="s">
        <v>210</v>
      </c>
      <c r="D5" s="5" t="s">
        <v>211</v>
      </c>
      <c r="E5" s="5" t="s">
        <v>212</v>
      </c>
      <c r="F5" s="6" t="s">
        <v>213</v>
      </c>
      <c r="G5" s="6" t="s">
        <v>214</v>
      </c>
      <c r="H5" s="6" t="s">
        <v>215</v>
      </c>
      <c r="I5" s="6" t="s">
        <v>216</v>
      </c>
      <c r="J5" s="6" t="s">
        <v>217</v>
      </c>
      <c r="K5" s="6" t="s">
        <v>218</v>
      </c>
      <c r="L5" s="6" t="s">
        <v>219</v>
      </c>
      <c r="M5" s="6" t="s">
        <v>220</v>
      </c>
      <c r="N5" s="6" t="s">
        <v>221</v>
      </c>
      <c r="O5" s="6" t="s">
        <v>222</v>
      </c>
      <c r="P5" s="6" t="s">
        <v>223</v>
      </c>
      <c r="Q5" s="6" t="s">
        <v>224</v>
      </c>
      <c r="R5" s="6" t="s">
        <v>225</v>
      </c>
      <c r="S5" s="6" t="s">
        <v>226</v>
      </c>
      <c r="T5" s="6" t="s">
        <v>227</v>
      </c>
      <c r="U5" s="6" t="s">
        <v>228</v>
      </c>
      <c r="V5" s="6" t="s">
        <v>229</v>
      </c>
      <c r="W5" s="6" t="s">
        <v>230</v>
      </c>
      <c r="X5" s="6" t="s">
        <v>231</v>
      </c>
      <c r="Y5" s="6" t="s">
        <v>232</v>
      </c>
      <c r="Z5" s="6" t="s">
        <v>233</v>
      </c>
      <c r="AA5" s="6" t="s">
        <v>234</v>
      </c>
      <c r="AB5" s="6" t="s">
        <v>235</v>
      </c>
      <c r="AC5" s="6" t="s">
        <v>236</v>
      </c>
      <c r="AD5" s="6" t="s">
        <v>237</v>
      </c>
      <c r="AE5" s="6" t="s">
        <v>238</v>
      </c>
      <c r="AF5" s="6" t="s">
        <v>239</v>
      </c>
      <c r="AG5" s="6" t="s">
        <v>240</v>
      </c>
      <c r="AH5" s="6" t="s">
        <v>241</v>
      </c>
      <c r="AI5" s="6" t="s">
        <v>242</v>
      </c>
      <c r="AJ5" s="6" t="s">
        <v>243</v>
      </c>
      <c r="AK5" s="6" t="s">
        <v>244</v>
      </c>
      <c r="AL5" s="6" t="s">
        <v>245</v>
      </c>
      <c r="AM5" s="6" t="s">
        <v>246</v>
      </c>
      <c r="AN5" s="6" t="s">
        <v>247</v>
      </c>
      <c r="AO5" s="6" t="s">
        <v>248</v>
      </c>
      <c r="AP5" s="6" t="s">
        <v>249</v>
      </c>
      <c r="AQ5" s="6" t="s">
        <v>250</v>
      </c>
      <c r="AR5" s="6" t="s">
        <v>251</v>
      </c>
      <c r="AS5" s="6" t="s">
        <v>252</v>
      </c>
      <c r="AT5" s="6" t="s">
        <v>253</v>
      </c>
      <c r="AU5" s="5" t="s">
        <v>254</v>
      </c>
      <c r="AV5" s="6" t="s">
        <v>255</v>
      </c>
      <c r="AW5" s="6" t="s">
        <v>256</v>
      </c>
      <c r="AX5" s="6" t="s">
        <v>257</v>
      </c>
      <c r="AY5" s="6" t="s">
        <v>258</v>
      </c>
      <c r="AZ5" s="6" t="s">
        <v>259</v>
      </c>
      <c r="BA5" s="6" t="s">
        <v>260</v>
      </c>
      <c r="BB5" s="6" t="s">
        <v>261</v>
      </c>
      <c r="BC5" s="6" t="s">
        <v>262</v>
      </c>
      <c r="BD5" s="6" t="s">
        <v>263</v>
      </c>
      <c r="BE5" s="6" t="s">
        <v>264</v>
      </c>
      <c r="BF5" s="6" t="s">
        <v>265</v>
      </c>
      <c r="BG5" s="6" t="s">
        <v>266</v>
      </c>
      <c r="BH5" s="6" t="s">
        <v>267</v>
      </c>
      <c r="BI5" s="6" t="s">
        <v>268</v>
      </c>
      <c r="BJ5" s="6" t="s">
        <v>269</v>
      </c>
      <c r="BK5" s="6" t="s">
        <v>270</v>
      </c>
      <c r="BL5" s="6" t="s">
        <v>271</v>
      </c>
      <c r="BM5" s="6" t="s">
        <v>272</v>
      </c>
      <c r="BN5" s="6" t="s">
        <v>273</v>
      </c>
      <c r="BO5" s="6" t="s">
        <v>274</v>
      </c>
      <c r="BP5" s="6" t="s">
        <v>275</v>
      </c>
      <c r="BQ5" s="6" t="s">
        <v>276</v>
      </c>
      <c r="BR5" s="6" t="s">
        <v>277</v>
      </c>
      <c r="BS5" s="6" t="s">
        <v>278</v>
      </c>
      <c r="BT5" s="6" t="s">
        <v>279</v>
      </c>
      <c r="BU5" s="6" t="s">
        <v>280</v>
      </c>
      <c r="BV5" s="6" t="s">
        <v>281</v>
      </c>
      <c r="BW5" s="6" t="s">
        <v>282</v>
      </c>
      <c r="BX5" s="6" t="s">
        <v>283</v>
      </c>
      <c r="BY5" s="6" t="s">
        <v>284</v>
      </c>
      <c r="BZ5" s="6" t="s">
        <v>285</v>
      </c>
      <c r="CA5" s="6" t="s">
        <v>286</v>
      </c>
      <c r="CB5" s="6" t="s">
        <v>287</v>
      </c>
      <c r="CC5" s="6" t="s">
        <v>288</v>
      </c>
      <c r="CD5" s="6" t="s">
        <v>289</v>
      </c>
      <c r="CE5" s="6" t="s">
        <v>290</v>
      </c>
      <c r="CF5" s="6" t="s">
        <v>291</v>
      </c>
      <c r="CG5" s="6" t="s">
        <v>292</v>
      </c>
      <c r="CH5" s="6" t="s">
        <v>293</v>
      </c>
      <c r="CI5" s="6" t="s">
        <v>294</v>
      </c>
      <c r="CJ5" s="6" t="s">
        <v>295</v>
      </c>
      <c r="CK5" s="6" t="s">
        <v>296</v>
      </c>
      <c r="CL5" s="6" t="s">
        <v>297</v>
      </c>
      <c r="CM5" s="6" t="s">
        <v>298</v>
      </c>
      <c r="CN5" s="6" t="s">
        <v>299</v>
      </c>
      <c r="CO5" s="6" t="s">
        <v>300</v>
      </c>
      <c r="CP5" s="6" t="s">
        <v>301</v>
      </c>
      <c r="CQ5" s="6" t="s">
        <v>302</v>
      </c>
      <c r="CR5" s="6" t="s">
        <v>303</v>
      </c>
      <c r="CS5" s="6" t="s">
        <v>304</v>
      </c>
      <c r="CT5" s="6" t="s">
        <v>305</v>
      </c>
      <c r="CU5" s="6" t="s">
        <v>306</v>
      </c>
      <c r="CV5" s="6" t="s">
        <v>307</v>
      </c>
      <c r="CW5" s="6" t="s">
        <v>308</v>
      </c>
      <c r="CX5" s="6" t="s">
        <v>309</v>
      </c>
      <c r="CY5" s="6" t="s">
        <v>310</v>
      </c>
    </row>
    <row r="6" spans="1:103" ht="12.75" hidden="1" x14ac:dyDescent="0.2">
      <c r="A6" s="1"/>
      <c r="B6" s="1"/>
      <c r="C6" s="1"/>
      <c r="D6" s="1"/>
      <c r="E6" s="1"/>
      <c r="F6" s="2"/>
      <c r="G6" s="2"/>
      <c r="H6" s="2"/>
      <c r="I6" s="3"/>
      <c r="J6" s="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3"/>
      <c r="AL6" s="3"/>
      <c r="AM6" s="2"/>
      <c r="AN6" s="2"/>
      <c r="AO6" s="2"/>
      <c r="AP6" s="2"/>
      <c r="AQ6" s="2"/>
      <c r="AR6" s="2"/>
      <c r="AS6" s="2"/>
      <c r="AT6" s="2"/>
      <c r="AU6" s="1"/>
      <c r="AV6" s="3"/>
      <c r="AW6" s="3"/>
      <c r="AX6" s="2"/>
      <c r="AY6" s="2"/>
      <c r="AZ6" s="2"/>
      <c r="BA6" s="2"/>
      <c r="BB6" s="2"/>
      <c r="BC6" s="3"/>
      <c r="BD6" s="2"/>
      <c r="BE6" s="3"/>
      <c r="BF6" s="2"/>
      <c r="BG6" s="2"/>
      <c r="BH6" s="2"/>
      <c r="BI6" s="2"/>
      <c r="BJ6" s="2"/>
      <c r="BK6" s="2"/>
      <c r="BL6" s="2"/>
      <c r="BM6" s="4"/>
      <c r="BN6" s="4"/>
      <c r="BO6" s="4"/>
      <c r="BP6" s="4"/>
      <c r="BQ6" s="2"/>
      <c r="BR6" s="4"/>
      <c r="BS6" s="4"/>
      <c r="BT6" s="4"/>
      <c r="BU6" s="2"/>
      <c r="BV6" s="2"/>
      <c r="BW6" s="2"/>
      <c r="BX6" s="3"/>
      <c r="BY6" s="3"/>
      <c r="BZ6" s="2"/>
      <c r="CA6" s="3"/>
      <c r="CB6" s="3"/>
      <c r="CC6" s="3"/>
      <c r="CD6" s="2"/>
      <c r="CE6" s="3"/>
      <c r="CF6" s="3"/>
      <c r="CG6" s="2"/>
      <c r="CH6" s="3"/>
      <c r="CI6" s="2"/>
      <c r="CJ6" s="3"/>
      <c r="CK6" s="3"/>
      <c r="CL6" s="2"/>
      <c r="CM6" s="3"/>
      <c r="CN6" s="3"/>
      <c r="CO6" s="3"/>
      <c r="CP6" s="2"/>
      <c r="CQ6" s="2"/>
      <c r="CR6" s="2"/>
      <c r="CS6" s="2"/>
      <c r="CT6" s="2"/>
      <c r="CU6" s="3"/>
      <c r="CV6" s="2"/>
      <c r="CW6" s="2"/>
      <c r="CX6" s="2"/>
      <c r="CY6" s="2"/>
    </row>
    <row r="7" spans="1:103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2">
        <v>3273.4059999999999</v>
      </c>
      <c r="G7" s="2">
        <v>90.544300000000007</v>
      </c>
      <c r="H7" s="2">
        <v>2963.8829999999998</v>
      </c>
      <c r="I7" s="3">
        <v>18.53</v>
      </c>
      <c r="J7" s="3">
        <v>0</v>
      </c>
      <c r="K7" s="2">
        <v>1.3491629999999999</v>
      </c>
      <c r="L7" s="2">
        <v>1.40313</v>
      </c>
      <c r="M7" s="2">
        <v>1.6189960000000001</v>
      </c>
      <c r="N7" s="2">
        <v>1.9158120000000001</v>
      </c>
      <c r="O7" s="2">
        <v>15.916740000000001</v>
      </c>
      <c r="P7" s="2">
        <v>12.779310000000001</v>
      </c>
      <c r="Q7" s="2">
        <v>11.878209999999999</v>
      </c>
      <c r="R7" s="2">
        <v>10.125679999999999</v>
      </c>
      <c r="S7" s="2">
        <v>5.7851160000000004</v>
      </c>
      <c r="T7" s="2">
        <v>6.4075280000000001</v>
      </c>
      <c r="U7" s="2">
        <v>5.6276099999999998</v>
      </c>
      <c r="V7" s="2">
        <v>4.7619480000000003</v>
      </c>
      <c r="W7" s="2">
        <v>2.92502</v>
      </c>
      <c r="X7" s="2">
        <v>2.4559310000000001</v>
      </c>
      <c r="Y7" s="2">
        <v>2.115297</v>
      </c>
      <c r="Z7" s="2">
        <v>1.8310280000000001</v>
      </c>
      <c r="AA7" s="2">
        <v>10.28618</v>
      </c>
      <c r="AB7" s="2">
        <v>9.0215139999999998</v>
      </c>
      <c r="AC7" s="2">
        <v>8.8238109999999992</v>
      </c>
      <c r="AD7" s="2">
        <v>8.2355560000000008</v>
      </c>
      <c r="AE7" s="2">
        <v>8.5459519999999998</v>
      </c>
      <c r="AF7" s="2">
        <v>9.7380429999999993</v>
      </c>
      <c r="AG7" s="2">
        <v>13.1972</v>
      </c>
      <c r="AH7" s="2">
        <v>8.5000809999999998</v>
      </c>
      <c r="AI7" s="2">
        <v>9.1817379999999993</v>
      </c>
      <c r="AJ7" s="2">
        <v>11.56842</v>
      </c>
      <c r="AK7" s="3">
        <v>0.63112310000000005</v>
      </c>
      <c r="AL7" s="3">
        <v>0.57630720000000002</v>
      </c>
      <c r="AM7" s="2">
        <v>10.26845</v>
      </c>
      <c r="AN7" s="2">
        <v>10.92745</v>
      </c>
      <c r="AO7" s="2">
        <v>11.19848</v>
      </c>
      <c r="AP7" s="2">
        <v>11.555020000000001</v>
      </c>
      <c r="AQ7" s="2">
        <v>0.23991029999999999</v>
      </c>
      <c r="AR7" s="2">
        <v>-3.4577990000000003E-2</v>
      </c>
      <c r="AS7" s="2">
        <v>-0.34096710000000002</v>
      </c>
      <c r="AT7" s="2">
        <v>-0.67046170000000005</v>
      </c>
      <c r="AU7" s="1" t="s">
        <v>5</v>
      </c>
      <c r="AV7" s="3">
        <v>1.3333330000000001</v>
      </c>
      <c r="AW7" s="3">
        <v>19.649999999999999</v>
      </c>
      <c r="AX7" s="2">
        <v>6.0442450000000001</v>
      </c>
      <c r="AY7" s="2">
        <v>19.218029999999999</v>
      </c>
      <c r="AZ7" s="2">
        <v>20.609549999999999</v>
      </c>
      <c r="BA7" s="2">
        <v>60.15558</v>
      </c>
      <c r="BB7" s="2">
        <v>32.357140000000001</v>
      </c>
      <c r="BC7" s="3">
        <v>11.08</v>
      </c>
      <c r="BD7" s="2">
        <v>67.23827</v>
      </c>
      <c r="BE7" s="3">
        <v>18.579999999999998</v>
      </c>
      <c r="BF7" s="2">
        <v>-0.26910309999999998</v>
      </c>
      <c r="BG7" s="2">
        <v>21.842099999999999</v>
      </c>
      <c r="BH7" s="2">
        <v>20.133600000000001</v>
      </c>
      <c r="BI7" s="2">
        <v>20.372019999999999</v>
      </c>
      <c r="BJ7" s="2">
        <v>20.796939999999999</v>
      </c>
      <c r="BK7" s="2">
        <v>17</v>
      </c>
      <c r="BL7" s="2">
        <v>17</v>
      </c>
      <c r="BM7" s="4">
        <v>18</v>
      </c>
      <c r="BN7" s="4">
        <v>1</v>
      </c>
      <c r="BO7" s="4">
        <v>1</v>
      </c>
      <c r="BP7" s="4">
        <v>15</v>
      </c>
      <c r="BQ7" s="2">
        <v>5.8823530000000002</v>
      </c>
      <c r="BR7" s="4">
        <v>12</v>
      </c>
      <c r="BS7" s="4">
        <v>0</v>
      </c>
      <c r="BT7" s="4">
        <v>18</v>
      </c>
      <c r="BU7" s="2">
        <v>66.666669999999996</v>
      </c>
      <c r="BV7" s="2">
        <v>8.3398699999999995</v>
      </c>
      <c r="BW7" s="2">
        <v>176.65440000000001</v>
      </c>
      <c r="BX7" s="3">
        <v>0.49278680000000002</v>
      </c>
      <c r="BY7" s="3">
        <v>0.27895530000000002</v>
      </c>
      <c r="BZ7" s="2">
        <v>0.43312600000000001</v>
      </c>
      <c r="CA7" s="3">
        <v>0.27933530000000001</v>
      </c>
      <c r="CB7" s="3">
        <v>1.359683</v>
      </c>
      <c r="CC7" s="3">
        <v>1.4246000000000001</v>
      </c>
      <c r="CD7" s="2">
        <v>4.7743919999999997</v>
      </c>
      <c r="CE7" s="3">
        <v>373.5514</v>
      </c>
      <c r="CF7" s="3">
        <v>398.21480000000003</v>
      </c>
      <c r="CG7" s="2">
        <v>6.6023949999999996</v>
      </c>
      <c r="CH7" s="3">
        <v>15.97146</v>
      </c>
      <c r="CI7" s="2">
        <v>23.031929999999999</v>
      </c>
      <c r="CJ7" s="3">
        <v>4405.54</v>
      </c>
      <c r="CK7" s="3">
        <v>4563.5200000000004</v>
      </c>
      <c r="CL7" s="2">
        <v>3.5859350000000001</v>
      </c>
      <c r="CM7" s="3">
        <v>13.946870000000001</v>
      </c>
      <c r="CN7" s="3">
        <v>16.200790000000001</v>
      </c>
      <c r="CO7" s="3">
        <v>16.86346</v>
      </c>
      <c r="CP7" s="2">
        <v>32.86139</v>
      </c>
      <c r="CQ7" s="2">
        <v>14.37716</v>
      </c>
      <c r="CR7" s="2">
        <v>9.8825450000000004</v>
      </c>
      <c r="CS7" s="2">
        <v>16.16076</v>
      </c>
      <c r="CT7" s="2">
        <v>6.6057009999999998</v>
      </c>
      <c r="CU7" s="3">
        <v>0.20179900000000001</v>
      </c>
      <c r="CV7" s="2">
        <v>-4.182487E-2</v>
      </c>
      <c r="CW7" s="2">
        <v>5.0531800000000002</v>
      </c>
      <c r="CX7" s="2">
        <v>14.31976</v>
      </c>
      <c r="CY7" s="2">
        <v>10.18182</v>
      </c>
    </row>
    <row r="8" spans="1:103" ht="15" customHeight="1" x14ac:dyDescent="0.2">
      <c r="A8" s="1">
        <f>1+A7</f>
        <v>2</v>
      </c>
      <c r="B8" s="1" t="s">
        <v>7</v>
      </c>
      <c r="C8" s="1" t="s">
        <v>6</v>
      </c>
      <c r="D8" s="1" t="s">
        <v>8</v>
      </c>
      <c r="E8" s="1" t="s">
        <v>9</v>
      </c>
      <c r="F8" s="2">
        <v>59488.61</v>
      </c>
      <c r="G8" s="2">
        <v>99.792000000000002</v>
      </c>
      <c r="H8" s="2">
        <v>59364.88</v>
      </c>
      <c r="I8" s="3">
        <v>10.19</v>
      </c>
      <c r="J8" s="3">
        <v>0</v>
      </c>
      <c r="K8" s="2">
        <v>5.3974489999999999</v>
      </c>
      <c r="L8" s="2">
        <v>6.3746710000000002</v>
      </c>
      <c r="M8" s="2">
        <v>6.1825320000000001</v>
      </c>
      <c r="N8" s="2">
        <v>6.3788029999999996</v>
      </c>
      <c r="O8" s="2">
        <v>7.719697</v>
      </c>
      <c r="P8" s="2">
        <v>7.2785710000000003</v>
      </c>
      <c r="Q8" s="2">
        <v>7.4027010000000004</v>
      </c>
      <c r="R8" s="2">
        <v>7.4926469999999998</v>
      </c>
      <c r="S8" s="2" t="e">
        <v>#N/A</v>
      </c>
      <c r="T8" s="2" t="e">
        <v>#N/A</v>
      </c>
      <c r="U8" s="2" t="e">
        <v>#N/A</v>
      </c>
      <c r="V8" s="2" t="e">
        <v>#N/A</v>
      </c>
      <c r="W8" s="2">
        <v>1.1501129999999999</v>
      </c>
      <c r="X8" s="2">
        <v>1.0692550000000001</v>
      </c>
      <c r="Y8" s="2">
        <v>1.0019659999999999</v>
      </c>
      <c r="Z8" s="2">
        <v>0.92636359999999995</v>
      </c>
      <c r="AA8" s="2" t="e">
        <v>#N/A</v>
      </c>
      <c r="AB8" s="2" t="e">
        <v>#N/A</v>
      </c>
      <c r="AC8" s="2" t="e">
        <v>#N/A</v>
      </c>
      <c r="AD8" s="2" t="e">
        <v>#N/A</v>
      </c>
      <c r="AE8" s="2" t="e">
        <v>#N/A</v>
      </c>
      <c r="AF8" s="2" t="e">
        <v>#N/A</v>
      </c>
      <c r="AG8" s="2" t="e">
        <v>#N/A</v>
      </c>
      <c r="AH8" s="2" t="e">
        <v>#N/A</v>
      </c>
      <c r="AI8" s="2" t="e">
        <v>#N/A</v>
      </c>
      <c r="AJ8" s="2" t="e">
        <v>#N/A</v>
      </c>
      <c r="AK8" s="3">
        <v>1.223374</v>
      </c>
      <c r="AL8" s="3">
        <v>1.237914</v>
      </c>
      <c r="AM8" s="2" t="e">
        <v>#N/A</v>
      </c>
      <c r="AN8" s="2" t="e">
        <v>#N/A</v>
      </c>
      <c r="AO8" s="2" t="e">
        <v>#N/A</v>
      </c>
      <c r="AP8" s="2" t="e">
        <v>#N/A</v>
      </c>
      <c r="AQ8" s="2" t="e">
        <v>#N/A</v>
      </c>
      <c r="AR8" s="2" t="e">
        <v>#N/A</v>
      </c>
      <c r="AS8" s="2" t="e">
        <v>#N/A</v>
      </c>
      <c r="AT8" s="2" t="e">
        <v>#N/A</v>
      </c>
      <c r="AU8" s="1" t="s">
        <v>10</v>
      </c>
      <c r="AV8" s="3">
        <v>1.482143</v>
      </c>
      <c r="AW8" s="3">
        <v>10.6</v>
      </c>
      <c r="AX8" s="2">
        <v>4.0235640000000004</v>
      </c>
      <c r="AY8" s="2">
        <v>14.69045</v>
      </c>
      <c r="AZ8" s="2">
        <v>6.0075089999999998</v>
      </c>
      <c r="BA8" s="2">
        <v>52.316879999999998</v>
      </c>
      <c r="BB8" s="2">
        <v>23.875509999999998</v>
      </c>
      <c r="BC8" s="3">
        <v>5.7350000000000003</v>
      </c>
      <c r="BD8" s="2">
        <v>77.680899999999994</v>
      </c>
      <c r="BE8" s="3">
        <v>10.355</v>
      </c>
      <c r="BF8" s="2">
        <v>-1.5934349999999999</v>
      </c>
      <c r="BG8" s="2">
        <v>43.237789999999997</v>
      </c>
      <c r="BH8" s="2">
        <v>45.508459999999999</v>
      </c>
      <c r="BI8" s="2">
        <v>46.222769999999997</v>
      </c>
      <c r="BJ8" s="2">
        <v>46.513330000000003</v>
      </c>
      <c r="BK8" s="2">
        <v>26</v>
      </c>
      <c r="BL8" s="2">
        <v>17</v>
      </c>
      <c r="BM8" s="4">
        <v>28</v>
      </c>
      <c r="BN8" s="4">
        <v>1</v>
      </c>
      <c r="BO8" s="4">
        <v>3</v>
      </c>
      <c r="BP8" s="4">
        <v>24</v>
      </c>
      <c r="BQ8" s="2">
        <v>3.5714290000000002</v>
      </c>
      <c r="BR8" s="4">
        <v>16</v>
      </c>
      <c r="BS8" s="4">
        <v>0</v>
      </c>
      <c r="BT8" s="4">
        <v>28</v>
      </c>
      <c r="BU8" s="2">
        <v>57.142859999999999</v>
      </c>
      <c r="BV8" s="2">
        <v>8.2523400000000002</v>
      </c>
      <c r="BW8" s="2">
        <v>5837.94</v>
      </c>
      <c r="BX8" s="3">
        <v>15.116300000000001</v>
      </c>
      <c r="BY8" s="3">
        <v>0.2589321</v>
      </c>
      <c r="BZ8" s="2">
        <v>1.38456</v>
      </c>
      <c r="CA8" s="3">
        <v>0.25951089999999999</v>
      </c>
      <c r="CB8" s="3">
        <v>1.3169470000000001</v>
      </c>
      <c r="CC8" s="3">
        <v>1.3865019999999999</v>
      </c>
      <c r="CD8" s="2">
        <v>5.2815079999999996</v>
      </c>
      <c r="CE8" s="3">
        <v>17575.240000000002</v>
      </c>
      <c r="CF8" s="3">
        <v>19172.32</v>
      </c>
      <c r="CG8" s="2">
        <v>9.087097</v>
      </c>
      <c r="CH8" s="3">
        <v>9.6980769999999996</v>
      </c>
      <c r="CI8" s="2">
        <v>9.3000170000000004</v>
      </c>
      <c r="CJ8" s="3">
        <v>30861.87</v>
      </c>
      <c r="CK8" s="3">
        <v>31679.18</v>
      </c>
      <c r="CL8" s="2">
        <v>2.648282</v>
      </c>
      <c r="CM8" s="3">
        <v>7.872064</v>
      </c>
      <c r="CN8" s="3">
        <v>8.9434699999999996</v>
      </c>
      <c r="CO8" s="3">
        <v>9.4542699999999993</v>
      </c>
      <c r="CP8" s="2">
        <v>29.445080000000001</v>
      </c>
      <c r="CQ8" s="2">
        <v>13.93788</v>
      </c>
      <c r="CR8" s="2">
        <v>7.7819820000000002</v>
      </c>
      <c r="CS8" s="2">
        <v>13.61023</v>
      </c>
      <c r="CT8" s="2">
        <v>87.045259999999999</v>
      </c>
      <c r="CU8" s="3">
        <v>0.1463226</v>
      </c>
      <c r="CV8" s="2">
        <v>12.061299999999999</v>
      </c>
      <c r="CW8" s="2">
        <v>1.8441350000000001</v>
      </c>
      <c r="CX8" s="2">
        <v>6.7883630000000004</v>
      </c>
      <c r="CY8" s="2">
        <v>10.70707</v>
      </c>
    </row>
    <row r="9" spans="1:103" ht="15" customHeight="1" x14ac:dyDescent="0.2">
      <c r="A9" s="1">
        <f t="shared" ref="A9:A41" si="0">1+A8</f>
        <v>3</v>
      </c>
      <c r="B9" s="1" t="s">
        <v>12</v>
      </c>
      <c r="C9" s="1" t="s">
        <v>11</v>
      </c>
      <c r="D9" s="1" t="s">
        <v>13</v>
      </c>
      <c r="E9" s="1" t="s">
        <v>14</v>
      </c>
      <c r="F9" s="2">
        <v>26955</v>
      </c>
      <c r="G9" s="2">
        <v>48.9499</v>
      </c>
      <c r="H9" s="2">
        <v>13194.45</v>
      </c>
      <c r="I9" s="3">
        <v>179.7</v>
      </c>
      <c r="J9" s="3">
        <v>0</v>
      </c>
      <c r="K9" s="2">
        <v>4.2626600000000003</v>
      </c>
      <c r="L9" s="2">
        <v>5.0695600000000001</v>
      </c>
      <c r="M9" s="2">
        <v>5.4339139999999997</v>
      </c>
      <c r="N9" s="2">
        <v>5.7929880000000002</v>
      </c>
      <c r="O9" s="2">
        <v>17.711870000000001</v>
      </c>
      <c r="P9" s="2">
        <v>15.50731</v>
      </c>
      <c r="Q9" s="2">
        <v>14.35303</v>
      </c>
      <c r="R9" s="2">
        <v>13.50113</v>
      </c>
      <c r="S9" s="2">
        <v>10.20214</v>
      </c>
      <c r="T9" s="2">
        <v>9.9943559999999998</v>
      </c>
      <c r="U9" s="2">
        <v>9.3446189999999998</v>
      </c>
      <c r="V9" s="2">
        <v>8.8267450000000007</v>
      </c>
      <c r="W9" s="2">
        <v>3.5654759999999999</v>
      </c>
      <c r="X9" s="2">
        <v>3.3271310000000001</v>
      </c>
      <c r="Y9" s="2">
        <v>3.1162670000000001</v>
      </c>
      <c r="Z9" s="2">
        <v>2.9243290000000002</v>
      </c>
      <c r="AA9" s="2">
        <v>11.92831</v>
      </c>
      <c r="AB9" s="2">
        <v>10.65836</v>
      </c>
      <c r="AC9" s="2">
        <v>10.16522</v>
      </c>
      <c r="AD9" s="2">
        <v>9.736618</v>
      </c>
      <c r="AE9" s="2">
        <v>5.514526</v>
      </c>
      <c r="AF9" s="2">
        <v>6.0405569999999997</v>
      </c>
      <c r="AG9" s="2">
        <v>6.4076570000000004</v>
      </c>
      <c r="AH9" s="2">
        <v>6.641756</v>
      </c>
      <c r="AI9" s="2">
        <v>7.1628990000000003</v>
      </c>
      <c r="AJ9" s="2">
        <v>7.4845129999999997</v>
      </c>
      <c r="AK9" s="3">
        <v>0.86172930000000003</v>
      </c>
      <c r="AL9" s="3">
        <v>0.80470260000000005</v>
      </c>
      <c r="AM9" s="2">
        <v>59.974609999999998</v>
      </c>
      <c r="AN9" s="2">
        <v>57.625039999999998</v>
      </c>
      <c r="AO9" s="2">
        <v>58.361429999999999</v>
      </c>
      <c r="AP9" s="2">
        <v>58.504179999999998</v>
      </c>
      <c r="AQ9" s="2">
        <v>2.0584929999999999</v>
      </c>
      <c r="AR9" s="2">
        <v>1.696229</v>
      </c>
      <c r="AS9" s="2">
        <v>1.4641919999999999</v>
      </c>
      <c r="AT9" s="2">
        <v>1.2699750000000001</v>
      </c>
      <c r="AU9" s="1" t="s">
        <v>5</v>
      </c>
      <c r="AV9" s="3">
        <v>1.462963</v>
      </c>
      <c r="AW9" s="3">
        <v>190</v>
      </c>
      <c r="AX9" s="2">
        <v>5.7317729999999996</v>
      </c>
      <c r="AY9" s="2">
        <v>21.45524</v>
      </c>
      <c r="AZ9" s="2">
        <v>18.256769999999999</v>
      </c>
      <c r="BA9" s="2">
        <v>17.297650000000001</v>
      </c>
      <c r="BB9" s="2">
        <v>9.506392</v>
      </c>
      <c r="BC9" s="3">
        <v>131.5</v>
      </c>
      <c r="BD9" s="2">
        <v>36.654000000000003</v>
      </c>
      <c r="BE9" s="3">
        <v>182.95</v>
      </c>
      <c r="BF9" s="2">
        <v>-1.7764390000000001</v>
      </c>
      <c r="BG9" s="2">
        <v>74.626369999999994</v>
      </c>
      <c r="BH9" s="2">
        <v>78.388769999999994</v>
      </c>
      <c r="BI9" s="2">
        <v>78.03716</v>
      </c>
      <c r="BJ9" s="2">
        <v>78.070490000000007</v>
      </c>
      <c r="BK9" s="2">
        <v>24</v>
      </c>
      <c r="BL9" s="2">
        <v>23</v>
      </c>
      <c r="BM9" s="4">
        <v>27</v>
      </c>
      <c r="BN9" s="4">
        <v>0</v>
      </c>
      <c r="BO9" s="4">
        <v>3</v>
      </c>
      <c r="BP9" s="4">
        <v>21</v>
      </c>
      <c r="BQ9" s="2">
        <v>0</v>
      </c>
      <c r="BR9" s="4">
        <v>17</v>
      </c>
      <c r="BS9" s="4">
        <v>2</v>
      </c>
      <c r="BT9" s="4">
        <v>27</v>
      </c>
      <c r="BU9" s="2">
        <v>62.962960000000002</v>
      </c>
      <c r="BV9" s="2">
        <v>6.8808299999999996</v>
      </c>
      <c r="BW9" s="2">
        <v>150</v>
      </c>
      <c r="BX9" s="3">
        <v>0.1527656</v>
      </c>
      <c r="BY9" s="3">
        <v>0.1018437</v>
      </c>
      <c r="BZ9" s="2">
        <v>1.13792</v>
      </c>
      <c r="CA9" s="3">
        <v>0.1019538</v>
      </c>
      <c r="CB9" s="3">
        <v>10.550079999999999</v>
      </c>
      <c r="CC9" s="3">
        <v>11.42229</v>
      </c>
      <c r="CD9" s="2">
        <v>8.2672830000000008</v>
      </c>
      <c r="CE9" s="3">
        <v>2208.9870000000001</v>
      </c>
      <c r="CF9" s="3">
        <v>2385.2800000000002</v>
      </c>
      <c r="CG9" s="2">
        <v>7.9807040000000002</v>
      </c>
      <c r="CH9" s="3">
        <v>165.72409999999999</v>
      </c>
      <c r="CI9" s="2">
        <v>14.648400000000001</v>
      </c>
      <c r="CJ9" s="3">
        <v>5382.1660000000002</v>
      </c>
      <c r="CK9" s="3">
        <v>5581.2790000000005</v>
      </c>
      <c r="CL9" s="2">
        <v>3.6995049999999998</v>
      </c>
      <c r="CM9" s="3">
        <v>152.7998</v>
      </c>
      <c r="CN9" s="3">
        <v>169.1677</v>
      </c>
      <c r="CO9" s="3">
        <v>173.47120000000001</v>
      </c>
      <c r="CP9" s="2">
        <v>17.604890000000001</v>
      </c>
      <c r="CQ9" s="2">
        <v>6.2259669999999998</v>
      </c>
      <c r="CR9" s="2">
        <v>3.590703</v>
      </c>
      <c r="CS9" s="2">
        <v>10.711980000000001</v>
      </c>
      <c r="CT9" s="2">
        <v>21.817720000000001</v>
      </c>
      <c r="CU9" s="3">
        <v>8.0941269999999996E-2</v>
      </c>
      <c r="CV9" s="2">
        <v>28.1432</v>
      </c>
      <c r="CW9" s="2">
        <v>10.932130000000001</v>
      </c>
      <c r="CX9" s="2">
        <v>39.269730000000003</v>
      </c>
      <c r="CY9" s="2">
        <v>12.494949999999999</v>
      </c>
    </row>
    <row r="10" spans="1:103" ht="15" customHeight="1" x14ac:dyDescent="0.2">
      <c r="A10" s="1">
        <f t="shared" si="0"/>
        <v>4</v>
      </c>
      <c r="B10" s="1" t="s">
        <v>16</v>
      </c>
      <c r="C10" s="1" t="s">
        <v>15</v>
      </c>
      <c r="D10" s="1" t="s">
        <v>17</v>
      </c>
      <c r="E10" s="1" t="s">
        <v>18</v>
      </c>
      <c r="F10" s="2">
        <v>26753.66</v>
      </c>
      <c r="G10" s="2">
        <v>65.825900000000004</v>
      </c>
      <c r="H10" s="2">
        <v>17610.84</v>
      </c>
      <c r="I10" s="3">
        <v>36.119999999999997</v>
      </c>
      <c r="J10" s="3">
        <v>0</v>
      </c>
      <c r="K10" s="2">
        <v>1.9933559999999999</v>
      </c>
      <c r="L10" s="2">
        <v>2.0764119999999999</v>
      </c>
      <c r="M10" s="2">
        <v>2.214839</v>
      </c>
      <c r="N10" s="2">
        <v>2.187154</v>
      </c>
      <c r="O10" s="2">
        <v>70.823530000000005</v>
      </c>
      <c r="P10" s="2">
        <v>51.496200000000002</v>
      </c>
      <c r="Q10" s="2">
        <v>44.727409999999999</v>
      </c>
      <c r="R10" s="2">
        <v>34.4</v>
      </c>
      <c r="S10" s="2">
        <v>31.19125</v>
      </c>
      <c r="T10" s="2">
        <v>25.38147</v>
      </c>
      <c r="U10" s="2">
        <v>21.878409999999999</v>
      </c>
      <c r="V10" s="2">
        <v>19.69528</v>
      </c>
      <c r="W10" s="2">
        <v>7.1102360000000004</v>
      </c>
      <c r="X10" s="2">
        <v>6.9461539999999999</v>
      </c>
      <c r="Y10" s="2">
        <v>6.6642070000000002</v>
      </c>
      <c r="Z10" s="2">
        <v>6.4847390000000003</v>
      </c>
      <c r="AA10" s="2">
        <v>33.757010000000001</v>
      </c>
      <c r="AB10" s="2">
        <v>27.78462</v>
      </c>
      <c r="AC10" s="2">
        <v>24.40541</v>
      </c>
      <c r="AD10" s="2">
        <v>22.209420000000001</v>
      </c>
      <c r="AE10" s="2">
        <v>1.874825</v>
      </c>
      <c r="AF10" s="2">
        <v>2.9862579999999999</v>
      </c>
      <c r="AG10" s="2">
        <v>4.9802049999999998</v>
      </c>
      <c r="AH10" s="2">
        <v>2.27847</v>
      </c>
      <c r="AI10" s="2">
        <v>3.5950470000000001</v>
      </c>
      <c r="AJ10" s="2">
        <v>5.8468390000000001</v>
      </c>
      <c r="AK10" s="3">
        <v>1.7659499999999999</v>
      </c>
      <c r="AL10" s="3">
        <v>1.4045160000000001</v>
      </c>
      <c r="AM10" s="2">
        <v>11.63965</v>
      </c>
      <c r="AN10" s="2">
        <v>14.48603</v>
      </c>
      <c r="AO10" s="2">
        <v>16.006460000000001</v>
      </c>
      <c r="AP10" s="2">
        <v>16.7043</v>
      </c>
      <c r="AQ10" s="2">
        <v>6.5116040000000002</v>
      </c>
      <c r="AR10" s="2">
        <v>4.4964870000000001</v>
      </c>
      <c r="AS10" s="2">
        <v>3.7049150000000002</v>
      </c>
      <c r="AT10" s="2">
        <v>2.9192870000000002</v>
      </c>
      <c r="AU10" s="1" t="s">
        <v>5</v>
      </c>
      <c r="AV10" s="3">
        <v>1.571429</v>
      </c>
      <c r="AW10" s="3">
        <v>38.5</v>
      </c>
      <c r="AX10" s="2">
        <v>6.5891500000000001</v>
      </c>
      <c r="AY10" s="2">
        <v>13.488670000000001</v>
      </c>
      <c r="AZ10" s="2">
        <v>29.70449</v>
      </c>
      <c r="BA10" s="2">
        <v>34.275089999999999</v>
      </c>
      <c r="BB10" s="2">
        <v>9.3882449999999995</v>
      </c>
      <c r="BC10" s="3">
        <v>26.04</v>
      </c>
      <c r="BD10" s="2">
        <v>38.70966</v>
      </c>
      <c r="BE10" s="3">
        <v>36.54</v>
      </c>
      <c r="BF10" s="2">
        <v>-1.1494279999999999</v>
      </c>
      <c r="BG10" s="2">
        <v>147.41470000000001</v>
      </c>
      <c r="BH10" s="2">
        <v>111.0805</v>
      </c>
      <c r="BI10" s="2">
        <v>92.825839999999999</v>
      </c>
      <c r="BJ10" s="2">
        <v>76.166610000000006</v>
      </c>
      <c r="BK10" s="2">
        <v>18</v>
      </c>
      <c r="BL10" s="2">
        <v>19</v>
      </c>
      <c r="BM10" s="4">
        <v>21</v>
      </c>
      <c r="BN10" s="4">
        <v>0</v>
      </c>
      <c r="BO10" s="4">
        <v>0</v>
      </c>
      <c r="BP10" s="4">
        <v>21</v>
      </c>
      <c r="BQ10" s="2">
        <v>0</v>
      </c>
      <c r="BR10" s="4">
        <v>11</v>
      </c>
      <c r="BS10" s="4">
        <v>2</v>
      </c>
      <c r="BT10" s="4">
        <v>21</v>
      </c>
      <c r="BU10" s="2">
        <v>52.380949999999999</v>
      </c>
      <c r="BV10" s="2">
        <v>5.4859499999999999</v>
      </c>
      <c r="BW10" s="2">
        <v>740.6884</v>
      </c>
      <c r="BX10" s="3">
        <v>0.98293149999999996</v>
      </c>
      <c r="BY10" s="3">
        <v>0.13270509999999999</v>
      </c>
      <c r="BZ10" s="2">
        <v>0.75548300000000002</v>
      </c>
      <c r="CA10" s="3">
        <v>0.1332257</v>
      </c>
      <c r="CB10" s="3">
        <v>0.60910169999999997</v>
      </c>
      <c r="CC10" s="3">
        <v>0.68856870000000003</v>
      </c>
      <c r="CD10" s="2">
        <v>13.04659</v>
      </c>
      <c r="CE10" s="3">
        <v>846.96820000000002</v>
      </c>
      <c r="CF10" s="3">
        <v>885.14980000000003</v>
      </c>
      <c r="CG10" s="2">
        <v>4.5080299999999998</v>
      </c>
      <c r="CH10" s="3">
        <v>31.748819999999998</v>
      </c>
      <c r="CI10" s="2">
        <v>21.264340000000001</v>
      </c>
      <c r="CJ10" s="3">
        <v>8575.5159999999996</v>
      </c>
      <c r="CK10" s="3">
        <v>8865.8389999999999</v>
      </c>
      <c r="CL10" s="2">
        <v>3.3854959999999998</v>
      </c>
      <c r="CM10" s="3">
        <v>31.143229999999999</v>
      </c>
      <c r="CN10" s="3">
        <v>34.976869999999998</v>
      </c>
      <c r="CO10" s="3">
        <v>35.213070000000002</v>
      </c>
      <c r="CP10" s="2">
        <v>15.980270000000001</v>
      </c>
      <c r="CQ10" s="2">
        <v>3.2682540000000002</v>
      </c>
      <c r="CR10" s="2">
        <v>2.5755409999999999</v>
      </c>
      <c r="CS10" s="2">
        <v>12.309710000000001</v>
      </c>
      <c r="CT10" s="2">
        <v>30.7531</v>
      </c>
      <c r="CU10" s="3">
        <v>0.1149491</v>
      </c>
      <c r="CV10" s="2" t="e">
        <v>#N/A</v>
      </c>
      <c r="CW10" s="2">
        <v>4.1459029999999997</v>
      </c>
      <c r="CX10" s="2">
        <v>-1.54762</v>
      </c>
      <c r="CY10" s="2">
        <v>12.84848</v>
      </c>
    </row>
    <row r="11" spans="1:103" ht="15" customHeight="1" x14ac:dyDescent="0.2">
      <c r="A11" s="1">
        <f t="shared" si="0"/>
        <v>5</v>
      </c>
      <c r="B11" s="1" t="s">
        <v>20</v>
      </c>
      <c r="C11" s="1" t="s">
        <v>19</v>
      </c>
      <c r="D11" s="1" t="s">
        <v>21</v>
      </c>
      <c r="E11" s="1" t="s">
        <v>22</v>
      </c>
      <c r="F11" s="2">
        <v>4218.6620000000003</v>
      </c>
      <c r="G11" s="2">
        <v>35.635300000000001</v>
      </c>
      <c r="H11" s="2">
        <v>1503.3330000000001</v>
      </c>
      <c r="I11" s="3">
        <v>78.099999999999994</v>
      </c>
      <c r="J11" s="3">
        <v>0</v>
      </c>
      <c r="K11" s="2">
        <v>1.434059</v>
      </c>
      <c r="L11" s="2">
        <v>1.3892450000000001</v>
      </c>
      <c r="M11" s="2">
        <v>1.549296</v>
      </c>
      <c r="N11" s="2">
        <v>2.0486559999999998</v>
      </c>
      <c r="O11" s="2">
        <v>24.40625</v>
      </c>
      <c r="P11" s="2">
        <v>25.522880000000001</v>
      </c>
      <c r="Q11" s="2">
        <v>20.338539999999998</v>
      </c>
      <c r="R11" s="2">
        <v>15.496029999999999</v>
      </c>
      <c r="S11" s="2">
        <v>13.466419999999999</v>
      </c>
      <c r="T11" s="2">
        <v>17.069590000000002</v>
      </c>
      <c r="U11" s="2">
        <v>14.47808</v>
      </c>
      <c r="V11" s="2">
        <v>11.292059999999999</v>
      </c>
      <c r="W11" s="2">
        <v>7.6344089999999998</v>
      </c>
      <c r="X11" s="2">
        <v>6.2790600000000003</v>
      </c>
      <c r="Y11" s="2">
        <v>5.0241499999999997</v>
      </c>
      <c r="Z11" s="2">
        <v>4.4450770000000004</v>
      </c>
      <c r="AA11" s="2">
        <v>28.245930000000001</v>
      </c>
      <c r="AB11" s="2">
        <v>21.64002</v>
      </c>
      <c r="AC11" s="2">
        <v>18.090060000000001</v>
      </c>
      <c r="AD11" s="2">
        <v>12.071099999999999</v>
      </c>
      <c r="AE11" s="2">
        <v>3.5765910000000001</v>
      </c>
      <c r="AF11" s="2">
        <v>4.1195180000000002</v>
      </c>
      <c r="AG11" s="2">
        <v>5.6101770000000002</v>
      </c>
      <c r="AH11" s="2">
        <v>3.5455510000000001</v>
      </c>
      <c r="AI11" s="2">
        <v>4.0010050000000001</v>
      </c>
      <c r="AJ11" s="2">
        <v>5.2708659999999998</v>
      </c>
      <c r="AK11" s="3" t="e">
        <v>#N/A</v>
      </c>
      <c r="AL11" s="3" t="e">
        <v>#N/A</v>
      </c>
      <c r="AM11" s="2">
        <v>29.445129999999999</v>
      </c>
      <c r="AN11" s="2">
        <v>30.024509999999999</v>
      </c>
      <c r="AO11" s="2">
        <v>31.9053</v>
      </c>
      <c r="AP11" s="2">
        <v>32.742530000000002</v>
      </c>
      <c r="AQ11" s="2">
        <v>0.1531218</v>
      </c>
      <c r="AR11" s="2">
        <v>-0.14943629999999999</v>
      </c>
      <c r="AS11" s="2">
        <v>-0.4288516</v>
      </c>
      <c r="AT11" s="2">
        <v>-0.72692299999999999</v>
      </c>
      <c r="AU11" s="1" t="s">
        <v>5</v>
      </c>
      <c r="AV11" s="3">
        <v>1.5</v>
      </c>
      <c r="AW11" s="3">
        <v>70.400000000000006</v>
      </c>
      <c r="AX11" s="2">
        <v>-9.8591510000000007</v>
      </c>
      <c r="AY11" s="2">
        <v>24.601700000000001</v>
      </c>
      <c r="AZ11" s="2">
        <v>0</v>
      </c>
      <c r="BA11" s="2">
        <v>95.445440000000005</v>
      </c>
      <c r="BB11" s="2">
        <v>29.734220000000001</v>
      </c>
      <c r="BC11" s="3">
        <v>37</v>
      </c>
      <c r="BD11" s="2">
        <v>111.08110000000001</v>
      </c>
      <c r="BE11" s="3">
        <v>79.900000000000006</v>
      </c>
      <c r="BF11" s="2">
        <v>-2.2528169999999998</v>
      </c>
      <c r="BG11" s="2">
        <v>36.9375</v>
      </c>
      <c r="BH11" s="2">
        <v>35.9176</v>
      </c>
      <c r="BI11" s="2">
        <v>35.854140000000001</v>
      </c>
      <c r="BJ11" s="2">
        <v>38.182580000000002</v>
      </c>
      <c r="BK11" s="2">
        <v>9</v>
      </c>
      <c r="BL11" s="2">
        <v>9</v>
      </c>
      <c r="BM11" s="4">
        <v>10</v>
      </c>
      <c r="BN11" s="4">
        <v>1</v>
      </c>
      <c r="BO11" s="4">
        <v>0</v>
      </c>
      <c r="BP11" s="4">
        <v>7</v>
      </c>
      <c r="BQ11" s="2">
        <v>12.5</v>
      </c>
      <c r="BR11" s="4">
        <v>6</v>
      </c>
      <c r="BS11" s="4">
        <v>1</v>
      </c>
      <c r="BT11" s="4">
        <v>10</v>
      </c>
      <c r="BU11" s="2">
        <v>60</v>
      </c>
      <c r="BV11" s="2">
        <v>9.0275999999999996</v>
      </c>
      <c r="BW11" s="2">
        <v>54.016159999999999</v>
      </c>
      <c r="BX11" s="3">
        <v>0.1014176</v>
      </c>
      <c r="BY11" s="3">
        <v>0.18775430000000001</v>
      </c>
      <c r="BZ11" s="2">
        <v>0.43861899999999998</v>
      </c>
      <c r="CA11" s="3">
        <v>0.1886996</v>
      </c>
      <c r="CB11" s="3">
        <v>2.9637370000000001</v>
      </c>
      <c r="CC11" s="3">
        <v>3.1160869999999998</v>
      </c>
      <c r="CD11" s="2">
        <v>5.1404709999999998</v>
      </c>
      <c r="CE11" s="3">
        <v>200.02500000000001</v>
      </c>
      <c r="CF11" s="3">
        <v>210.21039999999999</v>
      </c>
      <c r="CG11" s="2">
        <v>5.0920839999999998</v>
      </c>
      <c r="CH11" s="3">
        <v>62.05</v>
      </c>
      <c r="CI11" s="2">
        <v>13.45689</v>
      </c>
      <c r="CJ11" s="3">
        <v>800.74</v>
      </c>
      <c r="CK11" s="3">
        <v>813.97209999999995</v>
      </c>
      <c r="CL11" s="2">
        <v>1.6524909999999999</v>
      </c>
      <c r="CM11" s="3">
        <v>54.25553</v>
      </c>
      <c r="CN11" s="3">
        <v>67.853920000000002</v>
      </c>
      <c r="CO11" s="3">
        <v>72.565380000000005</v>
      </c>
      <c r="CP11" s="2">
        <v>43.948459999999997</v>
      </c>
      <c r="CQ11" s="2">
        <v>15.100199999999999</v>
      </c>
      <c r="CR11" s="2">
        <v>7.6270699999999998</v>
      </c>
      <c r="CS11" s="2">
        <v>25.063610000000001</v>
      </c>
      <c r="CT11" s="2">
        <v>5.1516529999999996</v>
      </c>
      <c r="CU11" s="3">
        <v>0.1221158</v>
      </c>
      <c r="CV11" s="2" t="e">
        <v>#N/A</v>
      </c>
      <c r="CW11" s="2">
        <v>5.0983900000000002</v>
      </c>
      <c r="CX11" s="2">
        <v>7.7419359999999999</v>
      </c>
      <c r="CY11" s="2">
        <v>12.88889</v>
      </c>
    </row>
    <row r="12" spans="1:103" ht="15" customHeight="1" x14ac:dyDescent="0.2">
      <c r="A12" s="1">
        <f t="shared" si="0"/>
        <v>6</v>
      </c>
      <c r="B12" s="1" t="s">
        <v>24</v>
      </c>
      <c r="C12" s="1" t="s">
        <v>23</v>
      </c>
      <c r="D12" s="1" t="s">
        <v>8</v>
      </c>
      <c r="E12" s="1" t="s">
        <v>9</v>
      </c>
      <c r="F12" s="2">
        <v>64069.86</v>
      </c>
      <c r="G12" s="2">
        <v>98.761700000000005</v>
      </c>
      <c r="H12" s="2">
        <v>63276.480000000003</v>
      </c>
      <c r="I12" s="3">
        <v>4.0484999999999998</v>
      </c>
      <c r="J12" s="3">
        <v>0</v>
      </c>
      <c r="K12" s="2">
        <v>4.1990860000000003</v>
      </c>
      <c r="L12" s="2">
        <v>4.6930959999999997</v>
      </c>
      <c r="M12" s="2">
        <v>4.9648019999999997</v>
      </c>
      <c r="N12" s="2">
        <v>5.5358029999999996</v>
      </c>
      <c r="O12" s="2">
        <v>6.2284620000000004</v>
      </c>
      <c r="P12" s="2">
        <v>5.8023189999999998</v>
      </c>
      <c r="Q12" s="2">
        <v>5.4709459999999996</v>
      </c>
      <c r="R12" s="2">
        <v>5.1560699999999997</v>
      </c>
      <c r="S12" s="2" t="e">
        <v>#N/A</v>
      </c>
      <c r="T12" s="2" t="e">
        <v>#N/A</v>
      </c>
      <c r="U12" s="2" t="e">
        <v>#N/A</v>
      </c>
      <c r="V12" s="2" t="e">
        <v>#N/A</v>
      </c>
      <c r="W12" s="2">
        <v>0.67399339999999996</v>
      </c>
      <c r="X12" s="2">
        <v>0.62544750000000005</v>
      </c>
      <c r="Y12" s="2">
        <v>0.57838389999999995</v>
      </c>
      <c r="Z12" s="2">
        <v>0.52844919999999995</v>
      </c>
      <c r="AA12" s="2" t="e">
        <v>#N/A</v>
      </c>
      <c r="AB12" s="2" t="e">
        <v>#N/A</v>
      </c>
      <c r="AC12" s="2" t="e">
        <v>#N/A</v>
      </c>
      <c r="AD12" s="2" t="e">
        <v>#N/A</v>
      </c>
      <c r="AE12" s="2" t="e">
        <v>#N/A</v>
      </c>
      <c r="AF12" s="2" t="e">
        <v>#N/A</v>
      </c>
      <c r="AG12" s="2" t="e">
        <v>#N/A</v>
      </c>
      <c r="AH12" s="2" t="e">
        <v>#N/A</v>
      </c>
      <c r="AI12" s="2" t="e">
        <v>#N/A</v>
      </c>
      <c r="AJ12" s="2" t="e">
        <v>#N/A</v>
      </c>
      <c r="AK12" s="3">
        <v>0.9119507</v>
      </c>
      <c r="AL12" s="3">
        <v>0.86272879999999996</v>
      </c>
      <c r="AM12" s="2" t="e">
        <v>#N/A</v>
      </c>
      <c r="AN12" s="2" t="e">
        <v>#N/A</v>
      </c>
      <c r="AO12" s="2" t="e">
        <v>#N/A</v>
      </c>
      <c r="AP12" s="2" t="e">
        <v>#N/A</v>
      </c>
      <c r="AQ12" s="2" t="e">
        <v>#N/A</v>
      </c>
      <c r="AR12" s="2" t="e">
        <v>#N/A</v>
      </c>
      <c r="AS12" s="2" t="e">
        <v>#N/A</v>
      </c>
      <c r="AT12" s="2" t="e">
        <v>#N/A</v>
      </c>
      <c r="AU12" s="1" t="s">
        <v>5</v>
      </c>
      <c r="AV12" s="3">
        <v>1.428571</v>
      </c>
      <c r="AW12" s="3">
        <v>5.0999999999999996</v>
      </c>
      <c r="AX12" s="2">
        <v>25.972580000000001</v>
      </c>
      <c r="AY12" s="2">
        <v>10.77927</v>
      </c>
      <c r="AZ12" s="2">
        <v>6.3446230000000003</v>
      </c>
      <c r="BA12" s="2">
        <v>17.501090000000001</v>
      </c>
      <c r="BB12" s="2">
        <v>7.117343</v>
      </c>
      <c r="BC12" s="3">
        <v>2.9420000000000002</v>
      </c>
      <c r="BD12" s="2">
        <v>37.610469999999999</v>
      </c>
      <c r="BE12" s="3">
        <v>4.1040000000000001</v>
      </c>
      <c r="BF12" s="2">
        <v>-1.3523400000000001</v>
      </c>
      <c r="BG12" s="2">
        <v>27.01266</v>
      </c>
      <c r="BH12" s="2">
        <v>31.091249999999999</v>
      </c>
      <c r="BI12" s="2">
        <v>31.853449999999999</v>
      </c>
      <c r="BJ12" s="2">
        <v>33.909300000000002</v>
      </c>
      <c r="BK12" s="2">
        <v>26</v>
      </c>
      <c r="BL12" s="2">
        <v>17</v>
      </c>
      <c r="BM12" s="4">
        <v>28</v>
      </c>
      <c r="BN12" s="4">
        <v>0</v>
      </c>
      <c r="BO12" s="4">
        <v>1</v>
      </c>
      <c r="BP12" s="4">
        <v>27</v>
      </c>
      <c r="BQ12" s="2">
        <v>0</v>
      </c>
      <c r="BR12" s="4">
        <v>18</v>
      </c>
      <c r="BS12" s="4">
        <v>1</v>
      </c>
      <c r="BT12" s="4">
        <v>28</v>
      </c>
      <c r="BU12" s="2">
        <v>64.285709999999995</v>
      </c>
      <c r="BV12" s="2">
        <v>7.5773400000000004</v>
      </c>
      <c r="BW12" s="2">
        <v>15825.58</v>
      </c>
      <c r="BX12" s="3">
        <v>38.738790000000002</v>
      </c>
      <c r="BY12" s="3">
        <v>0.2447859</v>
      </c>
      <c r="BZ12" s="2">
        <v>1.28274</v>
      </c>
      <c r="CA12" s="3">
        <v>0.2457925</v>
      </c>
      <c r="CB12" s="3">
        <v>0.67690600000000001</v>
      </c>
      <c r="CC12" s="3">
        <v>0.6997082</v>
      </c>
      <c r="CD12" s="2">
        <v>3.3685800000000001</v>
      </c>
      <c r="CE12" s="3">
        <v>33185.040000000001</v>
      </c>
      <c r="CF12" s="3">
        <v>33628.9</v>
      </c>
      <c r="CG12" s="2">
        <v>1.3375280000000001</v>
      </c>
      <c r="CH12" s="3">
        <v>4.8722979999999998</v>
      </c>
      <c r="CI12" s="2">
        <v>4.6733979999999997</v>
      </c>
      <c r="CJ12" s="3">
        <v>59818.36</v>
      </c>
      <c r="CK12" s="3">
        <v>59816.93</v>
      </c>
      <c r="CL12" s="2">
        <v>-2.3901460000000001E-3</v>
      </c>
      <c r="CM12" s="3">
        <v>3.6166680000000002</v>
      </c>
      <c r="CN12" s="3">
        <v>3.7934610000000002</v>
      </c>
      <c r="CO12" s="3">
        <v>3.8361149999999999</v>
      </c>
      <c r="CP12" s="2">
        <v>11.940049999999999</v>
      </c>
      <c r="CQ12" s="2">
        <v>6.7231300000000003</v>
      </c>
      <c r="CR12" s="2">
        <v>5.5364490000000002</v>
      </c>
      <c r="CS12" s="2">
        <v>4.8882719999999997</v>
      </c>
      <c r="CT12" s="2">
        <v>121.33839999999999</v>
      </c>
      <c r="CU12" s="3">
        <v>0.18938459999999999</v>
      </c>
      <c r="CV12" s="2">
        <v>17.243500000000001</v>
      </c>
      <c r="CW12" s="2">
        <v>0.31278309999999998</v>
      </c>
      <c r="CX12" s="2">
        <v>0.61995480000000003</v>
      </c>
      <c r="CY12" s="2">
        <v>13.51515</v>
      </c>
    </row>
    <row r="13" spans="1:103" ht="15" customHeight="1" x14ac:dyDescent="0.2">
      <c r="A13" s="1">
        <f t="shared" si="0"/>
        <v>7</v>
      </c>
      <c r="B13" s="1" t="s">
        <v>26</v>
      </c>
      <c r="C13" s="1" t="s">
        <v>25</v>
      </c>
      <c r="D13" s="1" t="s">
        <v>8</v>
      </c>
      <c r="E13" s="1" t="s">
        <v>27</v>
      </c>
      <c r="F13" s="2">
        <v>32919.360000000001</v>
      </c>
      <c r="G13" s="2">
        <v>53.741199999999999</v>
      </c>
      <c r="H13" s="2">
        <v>17691.259999999998</v>
      </c>
      <c r="I13" s="3">
        <v>4.3879999999999999</v>
      </c>
      <c r="J13" s="3">
        <v>0</v>
      </c>
      <c r="K13" s="2">
        <v>8.8878760000000003</v>
      </c>
      <c r="L13" s="2">
        <v>9.3436640000000004</v>
      </c>
      <c r="M13" s="2">
        <v>8.8294630000000005</v>
      </c>
      <c r="N13" s="2">
        <v>8.9227039999999995</v>
      </c>
      <c r="O13" s="2">
        <v>6.8562500000000002</v>
      </c>
      <c r="P13" s="2">
        <v>6.5492530000000002</v>
      </c>
      <c r="Q13" s="2">
        <v>7.0789099999999996</v>
      </c>
      <c r="R13" s="2">
        <v>6.9842820000000003</v>
      </c>
      <c r="S13" s="2" t="e">
        <v>#N/A</v>
      </c>
      <c r="T13" s="2" t="e">
        <v>#N/A</v>
      </c>
      <c r="U13" s="2" t="e">
        <v>#N/A</v>
      </c>
      <c r="V13" s="2" t="e">
        <v>#N/A</v>
      </c>
      <c r="W13" s="2">
        <v>0.90467520000000001</v>
      </c>
      <c r="X13" s="2">
        <v>0.84687319999999999</v>
      </c>
      <c r="Y13" s="2">
        <v>0.80698259999999999</v>
      </c>
      <c r="Z13" s="2">
        <v>0.76686359999999998</v>
      </c>
      <c r="AA13" s="2" t="e">
        <v>#N/A</v>
      </c>
      <c r="AB13" s="2" t="e">
        <v>#N/A</v>
      </c>
      <c r="AC13" s="2" t="e">
        <v>#N/A</v>
      </c>
      <c r="AD13" s="2" t="e">
        <v>#N/A</v>
      </c>
      <c r="AE13" s="2" t="e">
        <v>#N/A</v>
      </c>
      <c r="AF13" s="2" t="e">
        <v>#N/A</v>
      </c>
      <c r="AG13" s="2" t="e">
        <v>#N/A</v>
      </c>
      <c r="AH13" s="2" t="e">
        <v>#N/A</v>
      </c>
      <c r="AI13" s="2" t="e">
        <v>#N/A</v>
      </c>
      <c r="AJ13" s="2" t="e">
        <v>#N/A</v>
      </c>
      <c r="AK13" s="3">
        <v>1.166563</v>
      </c>
      <c r="AL13" s="3">
        <v>1.2522390000000001</v>
      </c>
      <c r="AM13" s="2" t="e">
        <v>#N/A</v>
      </c>
      <c r="AN13" s="2" t="e">
        <v>#N/A</v>
      </c>
      <c r="AO13" s="2" t="e">
        <v>#N/A</v>
      </c>
      <c r="AP13" s="2" t="e">
        <v>#N/A</v>
      </c>
      <c r="AQ13" s="2" t="e">
        <v>#N/A</v>
      </c>
      <c r="AR13" s="2" t="e">
        <v>#N/A</v>
      </c>
      <c r="AS13" s="2" t="e">
        <v>#N/A</v>
      </c>
      <c r="AT13" s="2" t="e">
        <v>#N/A</v>
      </c>
      <c r="AU13" s="1" t="s">
        <v>5</v>
      </c>
      <c r="AV13" s="3">
        <v>1.4</v>
      </c>
      <c r="AW13" s="3">
        <v>5.2</v>
      </c>
      <c r="AX13" s="2">
        <v>18.505009999999999</v>
      </c>
      <c r="AY13" s="2">
        <v>12.93084</v>
      </c>
      <c r="AZ13" s="2">
        <v>5.3523969999999998</v>
      </c>
      <c r="BA13" s="2">
        <v>12.62834</v>
      </c>
      <c r="BB13" s="2">
        <v>17.767040000000001</v>
      </c>
      <c r="BC13" s="3">
        <v>3.1230000000000002</v>
      </c>
      <c r="BD13" s="2">
        <v>40.505940000000002</v>
      </c>
      <c r="BE13" s="3">
        <v>4.4850000000000003</v>
      </c>
      <c r="BF13" s="2">
        <v>-2.162766</v>
      </c>
      <c r="BG13" s="2">
        <v>62.968119999999999</v>
      </c>
      <c r="BH13" s="2">
        <v>62.243020000000001</v>
      </c>
      <c r="BI13" s="2">
        <v>63.224319999999999</v>
      </c>
      <c r="BJ13" s="2">
        <v>64.934250000000006</v>
      </c>
      <c r="BK13" s="2">
        <v>24</v>
      </c>
      <c r="BL13" s="2">
        <v>12</v>
      </c>
      <c r="BM13" s="4">
        <v>25</v>
      </c>
      <c r="BN13" s="4">
        <v>0</v>
      </c>
      <c r="BO13" s="4">
        <v>0</v>
      </c>
      <c r="BP13" s="4">
        <v>24</v>
      </c>
      <c r="BQ13" s="2">
        <v>0</v>
      </c>
      <c r="BR13" s="4">
        <v>17</v>
      </c>
      <c r="BS13" s="4">
        <v>1</v>
      </c>
      <c r="BT13" s="4">
        <v>25</v>
      </c>
      <c r="BU13" s="2">
        <v>68</v>
      </c>
      <c r="BV13" s="2">
        <v>6.9422199999999998</v>
      </c>
      <c r="BW13" s="2">
        <v>7502.1319999999996</v>
      </c>
      <c r="BX13" s="3">
        <v>12.139939999999999</v>
      </c>
      <c r="BY13" s="3">
        <v>0.16181989999999999</v>
      </c>
      <c r="BZ13" s="2">
        <v>0.53949000000000003</v>
      </c>
      <c r="CA13" s="3">
        <v>0.1622092</v>
      </c>
      <c r="CB13" s="3">
        <v>0.63169189999999997</v>
      </c>
      <c r="CC13" s="3">
        <v>0.66344110000000001</v>
      </c>
      <c r="CD13" s="2">
        <v>5.0260420000000003</v>
      </c>
      <c r="CE13" s="3">
        <v>8307.68</v>
      </c>
      <c r="CF13" s="3">
        <v>8651.3150000000005</v>
      </c>
      <c r="CG13" s="2">
        <v>4.1363599999999998</v>
      </c>
      <c r="CH13" s="3">
        <v>5.2324999999999999</v>
      </c>
      <c r="CI13" s="2">
        <v>-0.62112210000000001</v>
      </c>
      <c r="CJ13" s="3">
        <v>14422.32</v>
      </c>
      <c r="CK13" s="3">
        <v>14634.41</v>
      </c>
      <c r="CL13" s="2">
        <v>1.4706129999999999</v>
      </c>
      <c r="CM13" s="3">
        <v>3.8525179999999999</v>
      </c>
      <c r="CN13" s="3">
        <v>4.0439809999999996</v>
      </c>
      <c r="CO13" s="3">
        <v>4.173692</v>
      </c>
      <c r="CP13" s="2">
        <v>13.89954</v>
      </c>
      <c r="CQ13" s="2">
        <v>8.5069420000000004</v>
      </c>
      <c r="CR13" s="2">
        <v>5.1347259999999997</v>
      </c>
      <c r="CS13" s="2">
        <v>4.9698229999999999</v>
      </c>
      <c r="CT13" s="2">
        <v>45.077590000000001</v>
      </c>
      <c r="CU13" s="3">
        <v>0.13693340000000001</v>
      </c>
      <c r="CV13" s="2">
        <v>-3.1429360000000002</v>
      </c>
      <c r="CW13" s="2">
        <v>11.424329999999999</v>
      </c>
      <c r="CX13" s="2">
        <v>-0.16492209999999999</v>
      </c>
      <c r="CY13" s="2">
        <v>13.535349999999999</v>
      </c>
    </row>
    <row r="14" spans="1:103" ht="15" customHeight="1" x14ac:dyDescent="0.2">
      <c r="A14" s="1">
        <f t="shared" si="0"/>
        <v>8</v>
      </c>
      <c r="B14" s="1" t="s">
        <v>29</v>
      </c>
      <c r="C14" s="1" t="s">
        <v>28</v>
      </c>
      <c r="D14" s="1" t="s">
        <v>17</v>
      </c>
      <c r="E14" s="1" t="s">
        <v>18</v>
      </c>
      <c r="F14" s="2">
        <v>2168.9319999999998</v>
      </c>
      <c r="G14" s="2">
        <v>60.363100000000003</v>
      </c>
      <c r="H14" s="2">
        <v>1309.2349999999999</v>
      </c>
      <c r="I14" s="3">
        <v>3.1179999999999999</v>
      </c>
      <c r="J14" s="3">
        <v>0</v>
      </c>
      <c r="K14" s="2">
        <v>4.4900580000000003</v>
      </c>
      <c r="L14" s="2">
        <v>4.8107759999999997</v>
      </c>
      <c r="M14" s="2">
        <v>4.8107759999999997</v>
      </c>
      <c r="N14" s="2">
        <v>5.131494</v>
      </c>
      <c r="O14" s="2">
        <v>13.62548</v>
      </c>
      <c r="P14" s="2">
        <v>12.991669999999999</v>
      </c>
      <c r="Q14" s="2">
        <v>11.54815</v>
      </c>
      <c r="R14" s="2">
        <v>11.09609</v>
      </c>
      <c r="S14" s="2">
        <v>6.6431680000000002</v>
      </c>
      <c r="T14" s="2">
        <v>6.9110529999999999</v>
      </c>
      <c r="U14" s="2">
        <v>7.2687150000000003</v>
      </c>
      <c r="V14" s="2">
        <v>7.0567960000000003</v>
      </c>
      <c r="W14" s="2">
        <v>2.9043969999999999</v>
      </c>
      <c r="X14" s="2">
        <v>2.4062060000000001</v>
      </c>
      <c r="Y14" s="2">
        <v>1.8286800000000001</v>
      </c>
      <c r="Z14" s="2">
        <v>2.3268659999999999</v>
      </c>
      <c r="AA14" s="2">
        <v>44.712249999999997</v>
      </c>
      <c r="AB14" s="2">
        <v>7.251163</v>
      </c>
      <c r="AC14" s="2">
        <v>5.8498130000000002</v>
      </c>
      <c r="AD14" s="2">
        <v>7.4238099999999996</v>
      </c>
      <c r="AE14" s="2">
        <v>2.3690090000000001</v>
      </c>
      <c r="AF14" s="2">
        <v>0.85664870000000004</v>
      </c>
      <c r="AG14" s="2">
        <v>4.1386609999999999</v>
      </c>
      <c r="AH14" s="2">
        <v>11.02847</v>
      </c>
      <c r="AI14" s="2">
        <v>4.2417189999999998</v>
      </c>
      <c r="AJ14" s="2">
        <v>20.563120000000001</v>
      </c>
      <c r="AK14" s="3" t="e">
        <v>#N/A</v>
      </c>
      <c r="AL14" s="3" t="e">
        <v>#N/A</v>
      </c>
      <c r="AM14" s="2">
        <v>31.731819999999999</v>
      </c>
      <c r="AN14" s="2">
        <v>31.311620000000001</v>
      </c>
      <c r="AO14" s="2">
        <v>31.293019999999999</v>
      </c>
      <c r="AP14" s="2">
        <v>32.672229999999999</v>
      </c>
      <c r="AQ14" s="2">
        <v>5.1735740000000003</v>
      </c>
      <c r="AR14" s="2">
        <v>5.4264989999999997</v>
      </c>
      <c r="AS14" s="2">
        <v>5.8007400000000002</v>
      </c>
      <c r="AT14" s="2">
        <v>5.636501</v>
      </c>
      <c r="AU14" s="1" t="s">
        <v>5</v>
      </c>
      <c r="AV14" s="3">
        <v>1.0769230000000001</v>
      </c>
      <c r="AW14" s="3">
        <v>4</v>
      </c>
      <c r="AX14" s="2">
        <v>28.28736</v>
      </c>
      <c r="AY14" s="2">
        <v>18.521149999999999</v>
      </c>
      <c r="AZ14" s="2" t="e">
        <v>#N/A</v>
      </c>
      <c r="BA14" s="2">
        <v>6.4890739999999996</v>
      </c>
      <c r="BB14" s="2">
        <v>-0.25591249999999999</v>
      </c>
      <c r="BC14" s="3">
        <v>2.6040000000000001</v>
      </c>
      <c r="BD14" s="2">
        <v>19.738859999999999</v>
      </c>
      <c r="BE14" s="3">
        <v>3.3279999999999998</v>
      </c>
      <c r="BF14" s="2">
        <v>-6.3101000000000003</v>
      </c>
      <c r="BG14" s="2">
        <v>58.873370000000001</v>
      </c>
      <c r="BH14" s="2">
        <v>63.289099999999998</v>
      </c>
      <c r="BI14" s="2">
        <v>58.220410000000001</v>
      </c>
      <c r="BJ14" s="2">
        <v>58.188090000000003</v>
      </c>
      <c r="BK14" s="2">
        <v>10</v>
      </c>
      <c r="BL14" s="2">
        <v>9</v>
      </c>
      <c r="BM14" s="4">
        <v>13</v>
      </c>
      <c r="BN14" s="4">
        <v>0</v>
      </c>
      <c r="BO14" s="4">
        <v>0</v>
      </c>
      <c r="BP14" s="4">
        <v>13</v>
      </c>
      <c r="BQ14" s="2">
        <v>0</v>
      </c>
      <c r="BR14" s="4">
        <v>13</v>
      </c>
      <c r="BS14" s="4">
        <v>0</v>
      </c>
      <c r="BT14" s="4">
        <v>13</v>
      </c>
      <c r="BU14" s="2">
        <v>100</v>
      </c>
      <c r="BV14" s="2">
        <v>7.4438500000000003</v>
      </c>
      <c r="BW14" s="2">
        <v>695.61649999999997</v>
      </c>
      <c r="BX14" s="3">
        <v>2.0148380000000001</v>
      </c>
      <c r="BY14" s="3">
        <v>0.28964780000000001</v>
      </c>
      <c r="BZ14" s="2">
        <v>1.2541</v>
      </c>
      <c r="CA14" s="3">
        <v>0.29018480000000002</v>
      </c>
      <c r="CB14" s="3">
        <v>0.20812649999999999</v>
      </c>
      <c r="CC14" s="3">
        <v>0.2286473</v>
      </c>
      <c r="CD14" s="2">
        <v>9.8597889999999992</v>
      </c>
      <c r="CE14" s="3">
        <v>1222.7539999999999</v>
      </c>
      <c r="CF14" s="3">
        <v>1252.114</v>
      </c>
      <c r="CG14" s="2">
        <v>2.4011490000000002</v>
      </c>
      <c r="CH14" s="3">
        <v>3.8109999999999999</v>
      </c>
      <c r="CI14" s="2">
        <v>4.9593210000000001</v>
      </c>
      <c r="CJ14" s="3">
        <v>4845.3519999999999</v>
      </c>
      <c r="CK14" s="3">
        <v>4832.8270000000002</v>
      </c>
      <c r="CL14" s="2">
        <v>-0.25849339999999998</v>
      </c>
      <c r="CM14" s="3">
        <v>2.9906459999999999</v>
      </c>
      <c r="CN14" s="3">
        <v>3.0976859999999999</v>
      </c>
      <c r="CO14" s="3">
        <v>3.0650770000000001</v>
      </c>
      <c r="CP14" s="2">
        <v>4.258394</v>
      </c>
      <c r="CQ14" s="2">
        <v>0.65578219999999998</v>
      </c>
      <c r="CR14" s="2">
        <v>1.726639</v>
      </c>
      <c r="CS14" s="2">
        <v>3.5791520000000001</v>
      </c>
      <c r="CT14" s="2">
        <v>6.3446870000000004</v>
      </c>
      <c r="CU14" s="3">
        <v>0.2925258</v>
      </c>
      <c r="CV14" s="2" t="e">
        <v>#N/A</v>
      </c>
      <c r="CW14" s="2" t="e">
        <v>#N/A</v>
      </c>
      <c r="CX14" s="2" t="e">
        <v>#N/A</v>
      </c>
      <c r="CY14" s="2">
        <v>14.59596</v>
      </c>
    </row>
    <row r="15" spans="1:103" ht="15" customHeight="1" x14ac:dyDescent="0.2">
      <c r="A15" s="1">
        <f t="shared" si="0"/>
        <v>9</v>
      </c>
      <c r="B15" s="1" t="s">
        <v>31</v>
      </c>
      <c r="C15" s="1" t="s">
        <v>30</v>
      </c>
      <c r="D15" s="1" t="s">
        <v>32</v>
      </c>
      <c r="E15" s="1" t="s">
        <v>33</v>
      </c>
      <c r="F15" s="2">
        <v>22350.17</v>
      </c>
      <c r="G15" s="2">
        <v>85.188599999999994</v>
      </c>
      <c r="H15" s="2">
        <v>19039.8</v>
      </c>
      <c r="I15" s="3">
        <v>3.87</v>
      </c>
      <c r="J15" s="3">
        <v>0</v>
      </c>
      <c r="K15" s="2">
        <v>7.7519390000000001</v>
      </c>
      <c r="L15" s="2">
        <v>7.7519390000000001</v>
      </c>
      <c r="M15" s="2">
        <v>7.7519390000000001</v>
      </c>
      <c r="N15" s="2">
        <v>7.7519390000000001</v>
      </c>
      <c r="O15" s="2" t="e">
        <v>#N/A</v>
      </c>
      <c r="P15" s="2">
        <v>11.727270000000001</v>
      </c>
      <c r="Q15" s="2">
        <v>11.382350000000001</v>
      </c>
      <c r="R15" s="2">
        <v>11.727270000000001</v>
      </c>
      <c r="S15" s="2">
        <v>4.8239409999999996</v>
      </c>
      <c r="T15" s="2">
        <v>4.2604369999999996</v>
      </c>
      <c r="U15" s="2">
        <v>4.2556859999999999</v>
      </c>
      <c r="V15" s="2">
        <v>3.99987</v>
      </c>
      <c r="W15" s="2">
        <v>0.99230770000000001</v>
      </c>
      <c r="X15" s="2">
        <v>0.89446709999999996</v>
      </c>
      <c r="Y15" s="2">
        <v>0.88154319999999997</v>
      </c>
      <c r="Z15" s="2">
        <v>0.86383929999999998</v>
      </c>
      <c r="AA15" s="2">
        <v>3.289822</v>
      </c>
      <c r="AB15" s="2">
        <v>2.1179589999999999</v>
      </c>
      <c r="AC15" s="2">
        <v>2.1086849999999999</v>
      </c>
      <c r="AD15" s="2">
        <v>2.668965</v>
      </c>
      <c r="AE15" s="2">
        <v>6.5876049999999999</v>
      </c>
      <c r="AF15" s="2">
        <v>6.6864689999999998</v>
      </c>
      <c r="AG15" s="2">
        <v>7.7382689999999998</v>
      </c>
      <c r="AH15" s="2">
        <v>16.64048</v>
      </c>
      <c r="AI15" s="2">
        <v>17.172910000000002</v>
      </c>
      <c r="AJ15" s="2">
        <v>18.648630000000001</v>
      </c>
      <c r="AK15" s="3">
        <v>0.58796530000000002</v>
      </c>
      <c r="AL15" s="3">
        <v>0.53283449999999999</v>
      </c>
      <c r="AM15" s="2">
        <v>28.0183</v>
      </c>
      <c r="AN15" s="2">
        <v>32.28022</v>
      </c>
      <c r="AO15" s="2">
        <v>32.630789999999998</v>
      </c>
      <c r="AP15" s="2">
        <v>32.444749999999999</v>
      </c>
      <c r="AQ15" s="2">
        <v>3.0320459999999998</v>
      </c>
      <c r="AR15" s="2">
        <v>2.5738219999999998</v>
      </c>
      <c r="AS15" s="2">
        <v>2.5986859999999998</v>
      </c>
      <c r="AT15" s="2">
        <v>2.3401190000000001</v>
      </c>
      <c r="AU15" s="1" t="s">
        <v>34</v>
      </c>
      <c r="AV15" s="3">
        <v>1.7</v>
      </c>
      <c r="AW15" s="3">
        <v>4.3499999999999996</v>
      </c>
      <c r="AX15" s="2">
        <v>12.40311</v>
      </c>
      <c r="AY15" s="2">
        <v>7.6272390000000003</v>
      </c>
      <c r="AZ15" s="2">
        <v>18.12865</v>
      </c>
      <c r="BA15" s="2">
        <v>1.5481469999999999</v>
      </c>
      <c r="BB15" s="2">
        <v>9.5076450000000001</v>
      </c>
      <c r="BC15" s="3">
        <v>3.4860000000000002</v>
      </c>
      <c r="BD15" s="2">
        <v>11.01549</v>
      </c>
      <c r="BE15" s="3">
        <v>4.1470000000000002</v>
      </c>
      <c r="BF15" s="2">
        <v>-6.6795289999999996</v>
      </c>
      <c r="BG15" s="2" t="e">
        <v>#N/A</v>
      </c>
      <c r="BH15" s="2">
        <v>82.934079999999994</v>
      </c>
      <c r="BI15" s="2">
        <v>75.348410000000001</v>
      </c>
      <c r="BJ15" s="2">
        <v>89.259690000000006</v>
      </c>
      <c r="BK15" s="2">
        <v>20</v>
      </c>
      <c r="BL15" s="2">
        <v>17</v>
      </c>
      <c r="BM15" s="4">
        <v>25</v>
      </c>
      <c r="BN15" s="4">
        <v>2</v>
      </c>
      <c r="BO15" s="4">
        <v>0</v>
      </c>
      <c r="BP15" s="4">
        <v>23</v>
      </c>
      <c r="BQ15" s="2">
        <v>8</v>
      </c>
      <c r="BR15" s="4">
        <v>11</v>
      </c>
      <c r="BS15" s="4">
        <v>3</v>
      </c>
      <c r="BT15" s="4">
        <v>25</v>
      </c>
      <c r="BU15" s="2">
        <v>44</v>
      </c>
      <c r="BV15" s="2">
        <v>6.4696199999999999</v>
      </c>
      <c r="BW15" s="2">
        <v>5775.2380000000003</v>
      </c>
      <c r="BX15" s="3">
        <v>16.067620000000002</v>
      </c>
      <c r="BY15" s="3">
        <v>0.27821580000000001</v>
      </c>
      <c r="BZ15" s="2">
        <v>0.53753099999999998</v>
      </c>
      <c r="CA15" s="3">
        <v>0.27808929999999998</v>
      </c>
      <c r="CB15" s="3">
        <v>0.33256140000000001</v>
      </c>
      <c r="CC15" s="3">
        <v>0.36307279999999997</v>
      </c>
      <c r="CD15" s="2">
        <v>9.1746569999999998</v>
      </c>
      <c r="CE15" s="3">
        <v>4267.6229999999996</v>
      </c>
      <c r="CF15" s="3">
        <v>4415.1909999999998</v>
      </c>
      <c r="CG15" s="2">
        <v>3.457856</v>
      </c>
      <c r="CH15" s="3">
        <v>4.2052630000000004</v>
      </c>
      <c r="CI15" s="2">
        <v>3.4417990000000001</v>
      </c>
      <c r="CJ15" s="3">
        <v>41287.79</v>
      </c>
      <c r="CK15" s="3">
        <v>41069.08</v>
      </c>
      <c r="CL15" s="2">
        <v>-0.52972439999999998</v>
      </c>
      <c r="CM15" s="3">
        <v>3.7446100000000002</v>
      </c>
      <c r="CN15" s="3">
        <v>3.7422149999999998</v>
      </c>
      <c r="CO15" s="3">
        <v>3.741269</v>
      </c>
      <c r="CP15" s="2">
        <v>3.3485290000000001</v>
      </c>
      <c r="CQ15" s="2">
        <v>3.4146899999999998</v>
      </c>
      <c r="CR15" s="2">
        <v>3.4408210000000001</v>
      </c>
      <c r="CS15" s="2">
        <v>-6.3967700000000002E-2</v>
      </c>
      <c r="CT15" s="2">
        <v>53.86909</v>
      </c>
      <c r="CU15" s="3">
        <v>0.24102319999999999</v>
      </c>
      <c r="CV15" s="2">
        <v>-487.07369999999997</v>
      </c>
      <c r="CW15" s="2">
        <v>-0.90722239999999998</v>
      </c>
      <c r="CX15" s="2">
        <v>-208.4015</v>
      </c>
      <c r="CY15" s="2">
        <v>14.616160000000001</v>
      </c>
    </row>
    <row r="16" spans="1:103" ht="15" customHeight="1" x14ac:dyDescent="0.2">
      <c r="A16" s="1">
        <f t="shared" si="0"/>
        <v>10</v>
      </c>
      <c r="B16" s="1" t="s">
        <v>36</v>
      </c>
      <c r="C16" s="1" t="s">
        <v>35</v>
      </c>
      <c r="D16" s="1" t="s">
        <v>8</v>
      </c>
      <c r="E16" s="1" t="s">
        <v>9</v>
      </c>
      <c r="F16" s="2">
        <v>7327.9790000000003</v>
      </c>
      <c r="G16" s="2">
        <v>96.462299999999999</v>
      </c>
      <c r="H16" s="2">
        <v>7068.7370000000001</v>
      </c>
      <c r="I16" s="3">
        <v>1.347</v>
      </c>
      <c r="J16" s="3">
        <v>0</v>
      </c>
      <c r="K16" s="2">
        <v>4.4543429999999997</v>
      </c>
      <c r="L16" s="2">
        <v>6.3103189999999998</v>
      </c>
      <c r="M16" s="2">
        <v>5.5679290000000004</v>
      </c>
      <c r="N16" s="2">
        <v>6.2721980000000004</v>
      </c>
      <c r="O16" s="2">
        <v>5.856522</v>
      </c>
      <c r="P16" s="2">
        <v>5.6124999999999998</v>
      </c>
      <c r="Q16" s="2">
        <v>6.1251819999999997</v>
      </c>
      <c r="R16" s="2">
        <v>6.7350000000000003</v>
      </c>
      <c r="S16" s="2" t="e">
        <v>#N/A</v>
      </c>
      <c r="T16" s="2" t="e">
        <v>#N/A</v>
      </c>
      <c r="U16" s="2" t="e">
        <v>#N/A</v>
      </c>
      <c r="V16" s="2" t="e">
        <v>#N/A</v>
      </c>
      <c r="W16" s="2">
        <v>0.53879999999999995</v>
      </c>
      <c r="X16" s="2">
        <v>0.48127110000000001</v>
      </c>
      <c r="Y16" s="2">
        <v>0.45637909999999998</v>
      </c>
      <c r="Z16" s="2">
        <v>0.4345137</v>
      </c>
      <c r="AA16" s="2" t="e">
        <v>#N/A</v>
      </c>
      <c r="AB16" s="2" t="e">
        <v>#N/A</v>
      </c>
      <c r="AC16" s="2" t="e">
        <v>#N/A</v>
      </c>
      <c r="AD16" s="2" t="e">
        <v>#N/A</v>
      </c>
      <c r="AE16" s="2" t="e">
        <v>#N/A</v>
      </c>
      <c r="AF16" s="2" t="e">
        <v>#N/A</v>
      </c>
      <c r="AG16" s="2" t="e">
        <v>#N/A</v>
      </c>
      <c r="AH16" s="2" t="e">
        <v>#N/A</v>
      </c>
      <c r="AI16" s="2" t="e">
        <v>#N/A</v>
      </c>
      <c r="AJ16" s="2" t="e">
        <v>#N/A</v>
      </c>
      <c r="AK16" s="3">
        <v>3.7244009999999999</v>
      </c>
      <c r="AL16" s="3">
        <v>4.0154379999999996</v>
      </c>
      <c r="AM16" s="2" t="e">
        <v>#N/A</v>
      </c>
      <c r="AN16" s="2" t="e">
        <v>#N/A</v>
      </c>
      <c r="AO16" s="2" t="e">
        <v>#N/A</v>
      </c>
      <c r="AP16" s="2" t="e">
        <v>#N/A</v>
      </c>
      <c r="AQ16" s="2" t="e">
        <v>#N/A</v>
      </c>
      <c r="AR16" s="2" t="e">
        <v>#N/A</v>
      </c>
      <c r="AS16" s="2" t="e">
        <v>#N/A</v>
      </c>
      <c r="AT16" s="2" t="e">
        <v>#N/A</v>
      </c>
      <c r="AU16" s="1" t="s">
        <v>10</v>
      </c>
      <c r="AV16" s="3">
        <v>1.5</v>
      </c>
      <c r="AW16" s="3">
        <v>1.59</v>
      </c>
      <c r="AX16" s="2">
        <v>18.040099999999999</v>
      </c>
      <c r="AY16" s="2">
        <v>8.5749860000000009</v>
      </c>
      <c r="AZ16" s="2">
        <v>1.527879</v>
      </c>
      <c r="BA16" s="2">
        <v>18.26163</v>
      </c>
      <c r="BB16" s="2">
        <v>21.024249999999999</v>
      </c>
      <c r="BC16" s="3">
        <v>0.87339999999999995</v>
      </c>
      <c r="BD16" s="2">
        <v>54.224870000000003</v>
      </c>
      <c r="BE16" s="3">
        <v>1.3680000000000001</v>
      </c>
      <c r="BF16" s="2">
        <v>-1.535088</v>
      </c>
      <c r="BG16" s="2">
        <v>30.765540000000001</v>
      </c>
      <c r="BH16" s="2">
        <v>39.885599999999997</v>
      </c>
      <c r="BI16" s="2">
        <v>40.905230000000003</v>
      </c>
      <c r="BJ16" s="2">
        <v>41.86027</v>
      </c>
      <c r="BK16" s="2">
        <v>20</v>
      </c>
      <c r="BL16" s="2">
        <v>13</v>
      </c>
      <c r="BM16" s="4">
        <v>21</v>
      </c>
      <c r="BN16" s="4">
        <v>2</v>
      </c>
      <c r="BO16" s="4">
        <v>3</v>
      </c>
      <c r="BP16" s="4">
        <v>16</v>
      </c>
      <c r="BQ16" s="2">
        <v>9.523809</v>
      </c>
      <c r="BR16" s="4">
        <v>11</v>
      </c>
      <c r="BS16" s="4">
        <v>0</v>
      </c>
      <c r="BT16" s="4">
        <v>21</v>
      </c>
      <c r="BU16" s="2">
        <v>52.380949999999999</v>
      </c>
      <c r="BV16" s="2">
        <v>11.957000000000001</v>
      </c>
      <c r="BW16" s="2">
        <v>5440.2219999999998</v>
      </c>
      <c r="BX16" s="3">
        <v>26.660789999999999</v>
      </c>
      <c r="BY16" s="3">
        <v>0.49006810000000001</v>
      </c>
      <c r="BZ16" s="2">
        <v>1.5005599999999999</v>
      </c>
      <c r="CA16" s="3">
        <v>0.49347439999999998</v>
      </c>
      <c r="CB16" s="3">
        <v>0.22429879999999999</v>
      </c>
      <c r="CC16" s="3">
        <v>0.23671310000000001</v>
      </c>
      <c r="CD16" s="2">
        <v>5.5347559999999998</v>
      </c>
      <c r="CE16" s="3">
        <v>2947.6379999999999</v>
      </c>
      <c r="CF16" s="3">
        <v>2891.1219999999998</v>
      </c>
      <c r="CG16" s="2">
        <v>-1.9173439999999999</v>
      </c>
      <c r="CH16" s="3">
        <v>1.6177269999999999</v>
      </c>
      <c r="CI16" s="2">
        <v>-1.7139610000000001</v>
      </c>
      <c r="CJ16" s="3">
        <v>6013.5649999999996</v>
      </c>
      <c r="CK16" s="3">
        <v>5961.7579999999998</v>
      </c>
      <c r="CL16" s="2">
        <v>-0.86151359999999999</v>
      </c>
      <c r="CM16" s="3">
        <v>1.1442190000000001</v>
      </c>
      <c r="CN16" s="3">
        <v>1.196696</v>
      </c>
      <c r="CO16" s="3">
        <v>1.223231</v>
      </c>
      <c r="CP16" s="2">
        <v>17.72221</v>
      </c>
      <c r="CQ16" s="2">
        <v>12.559900000000001</v>
      </c>
      <c r="CR16" s="2">
        <v>10.118220000000001</v>
      </c>
      <c r="CS16" s="2">
        <v>4.5862790000000002</v>
      </c>
      <c r="CT16" s="2">
        <v>29.853729999999999</v>
      </c>
      <c r="CU16" s="3">
        <v>0.40739379999999997</v>
      </c>
      <c r="CV16" s="2">
        <v>21.621390000000002</v>
      </c>
      <c r="CW16" s="2">
        <v>6.2431429999999999</v>
      </c>
      <c r="CX16" s="2">
        <v>-9.8970249999999993</v>
      </c>
      <c r="CY16" s="2">
        <v>15.575760000000001</v>
      </c>
    </row>
    <row r="17" spans="1:103" ht="15" customHeight="1" x14ac:dyDescent="0.2">
      <c r="A17" s="1">
        <f t="shared" si="0"/>
        <v>11</v>
      </c>
      <c r="B17" s="1" t="s">
        <v>38</v>
      </c>
      <c r="C17" s="1" t="s">
        <v>37</v>
      </c>
      <c r="D17" s="1" t="s">
        <v>17</v>
      </c>
      <c r="E17" s="1" t="s">
        <v>18</v>
      </c>
      <c r="F17" s="2">
        <v>11159.96</v>
      </c>
      <c r="G17" s="2">
        <v>74.051599999999993</v>
      </c>
      <c r="H17" s="2">
        <v>8264.1309999999994</v>
      </c>
      <c r="I17" s="3">
        <v>40.119999999999997</v>
      </c>
      <c r="J17" s="3">
        <v>0</v>
      </c>
      <c r="K17" s="2">
        <v>4.9850450000000004</v>
      </c>
      <c r="L17" s="2">
        <v>5.1971579999999999</v>
      </c>
      <c r="M17" s="2">
        <v>5.3528169999999999</v>
      </c>
      <c r="N17" s="2">
        <v>5.832503</v>
      </c>
      <c r="O17" s="2">
        <v>13.373329999999999</v>
      </c>
      <c r="P17" s="2">
        <v>16.716670000000001</v>
      </c>
      <c r="Q17" s="2">
        <v>14.328569999999999</v>
      </c>
      <c r="R17" s="2">
        <v>12.421049999999999</v>
      </c>
      <c r="S17" s="2">
        <v>6.0429839999999997</v>
      </c>
      <c r="T17" s="2">
        <v>5.8270920000000004</v>
      </c>
      <c r="U17" s="2">
        <v>5.3095850000000002</v>
      </c>
      <c r="V17" s="2">
        <v>4.9547090000000003</v>
      </c>
      <c r="W17" s="2">
        <v>2.0095160000000001</v>
      </c>
      <c r="X17" s="2">
        <v>2.0469390000000001</v>
      </c>
      <c r="Y17" s="2">
        <v>1.973438</v>
      </c>
      <c r="Z17" s="2">
        <v>1.8660460000000001</v>
      </c>
      <c r="AA17" s="2">
        <v>9.8939579999999996</v>
      </c>
      <c r="AB17" s="2">
        <v>10.029999999999999</v>
      </c>
      <c r="AC17" s="2">
        <v>9.5071100000000008</v>
      </c>
      <c r="AD17" s="2">
        <v>9.5980860000000003</v>
      </c>
      <c r="AE17" s="2">
        <v>8.2251309999999993</v>
      </c>
      <c r="AF17" s="2">
        <v>9.328856</v>
      </c>
      <c r="AG17" s="2">
        <v>12.75436</v>
      </c>
      <c r="AH17" s="2">
        <v>8.5700559999999992</v>
      </c>
      <c r="AI17" s="2">
        <v>9.4759790000000006</v>
      </c>
      <c r="AJ17" s="2">
        <v>12.88236</v>
      </c>
      <c r="AK17" s="3">
        <v>8.3007019999999994</v>
      </c>
      <c r="AL17" s="3">
        <v>7.460731</v>
      </c>
      <c r="AM17" s="2">
        <v>5.3189799999999998</v>
      </c>
      <c r="AN17" s="2">
        <v>5.4254959999999999</v>
      </c>
      <c r="AO17" s="2">
        <v>5.6311059999999999</v>
      </c>
      <c r="AP17" s="2">
        <v>5.8240749999999997</v>
      </c>
      <c r="AQ17" s="2">
        <v>0.1662373</v>
      </c>
      <c r="AR17" s="2">
        <v>0.23452770000000001</v>
      </c>
      <c r="AS17" s="2">
        <v>8.2435599999999998E-2</v>
      </c>
      <c r="AT17" s="2">
        <v>4.923077E-2</v>
      </c>
      <c r="AU17" s="1" t="s">
        <v>34</v>
      </c>
      <c r="AV17" s="3">
        <v>1.964286</v>
      </c>
      <c r="AW17" s="3">
        <v>37.4</v>
      </c>
      <c r="AX17" s="2">
        <v>-6.7796529999999997</v>
      </c>
      <c r="AY17" s="2">
        <v>12.244899999999999</v>
      </c>
      <c r="AZ17" s="2">
        <v>2</v>
      </c>
      <c r="BA17" s="2">
        <v>39.742260000000002</v>
      </c>
      <c r="BB17" s="2">
        <v>-9.9605319999999997E-2</v>
      </c>
      <c r="BC17" s="3">
        <v>27.5</v>
      </c>
      <c r="BD17" s="2">
        <v>45.890900000000002</v>
      </c>
      <c r="BE17" s="3">
        <v>40.840000000000003</v>
      </c>
      <c r="BF17" s="2">
        <v>-1.76298</v>
      </c>
      <c r="BG17" s="2">
        <v>67.796670000000006</v>
      </c>
      <c r="BH17" s="2">
        <v>86.850409999999997</v>
      </c>
      <c r="BI17" s="2">
        <v>80.905159999999995</v>
      </c>
      <c r="BJ17" s="2">
        <v>73.748140000000006</v>
      </c>
      <c r="BK17" s="2">
        <v>13</v>
      </c>
      <c r="BL17" s="2">
        <v>12</v>
      </c>
      <c r="BM17" s="4">
        <v>14</v>
      </c>
      <c r="BN17" s="4">
        <v>0</v>
      </c>
      <c r="BO17" s="4">
        <v>2</v>
      </c>
      <c r="BP17" s="4">
        <v>12</v>
      </c>
      <c r="BQ17" s="2">
        <v>0</v>
      </c>
      <c r="BR17" s="4">
        <v>4</v>
      </c>
      <c r="BS17" s="4">
        <v>4</v>
      </c>
      <c r="BT17" s="4">
        <v>14</v>
      </c>
      <c r="BU17" s="2">
        <v>28.571429999999999</v>
      </c>
      <c r="BV17" s="2">
        <v>6.3391999999999999</v>
      </c>
      <c r="BW17" s="2">
        <v>278.16460000000001</v>
      </c>
      <c r="BX17" s="3">
        <v>0.49799529999999997</v>
      </c>
      <c r="BY17" s="3">
        <v>0.17902899999999999</v>
      </c>
      <c r="BZ17" s="2">
        <v>0.71314100000000002</v>
      </c>
      <c r="CA17" s="3">
        <v>0.1795399</v>
      </c>
      <c r="CB17" s="3">
        <v>2.271223</v>
      </c>
      <c r="CC17" s="3">
        <v>2.4166629999999998</v>
      </c>
      <c r="CD17" s="2">
        <v>6.4035890000000002</v>
      </c>
      <c r="CE17" s="3">
        <v>1291.825</v>
      </c>
      <c r="CF17" s="3">
        <v>1329.2570000000001</v>
      </c>
      <c r="CG17" s="2">
        <v>2.897608</v>
      </c>
      <c r="CH17" s="3">
        <v>34.655000000000001</v>
      </c>
      <c r="CI17" s="2">
        <v>7.9209449999999997</v>
      </c>
      <c r="CJ17" s="3">
        <v>36925.69</v>
      </c>
      <c r="CK17" s="3">
        <v>37053.949999999997</v>
      </c>
      <c r="CL17" s="2">
        <v>0.34734009999999998</v>
      </c>
      <c r="CM17" s="3">
        <v>34.69473</v>
      </c>
      <c r="CN17" s="3">
        <v>38.074120000000001</v>
      </c>
      <c r="CO17" s="3">
        <v>37.529620000000001</v>
      </c>
      <c r="CP17" s="2">
        <v>15.63716</v>
      </c>
      <c r="CQ17" s="2">
        <v>5.373418</v>
      </c>
      <c r="CR17" s="2">
        <v>6.9022300000000003</v>
      </c>
      <c r="CS17" s="2">
        <v>9.7403530000000007</v>
      </c>
      <c r="CT17" s="2">
        <v>22.205410000000001</v>
      </c>
      <c r="CU17" s="3">
        <v>0.19897390000000001</v>
      </c>
      <c r="CV17" s="2" t="e">
        <v>#N/A</v>
      </c>
      <c r="CW17" s="2">
        <v>7.4196140000000002</v>
      </c>
      <c r="CX17" s="2">
        <v>18.16667</v>
      </c>
      <c r="CY17" s="2">
        <v>15.85859</v>
      </c>
    </row>
    <row r="18" spans="1:103" ht="15" customHeight="1" x14ac:dyDescent="0.2">
      <c r="A18" s="1">
        <f t="shared" si="0"/>
        <v>12</v>
      </c>
      <c r="B18" s="1" t="s">
        <v>40</v>
      </c>
      <c r="C18" s="1" t="s">
        <v>39</v>
      </c>
      <c r="D18" s="1" t="s">
        <v>41</v>
      </c>
      <c r="E18" s="1" t="s">
        <v>42</v>
      </c>
      <c r="F18" s="2">
        <v>139501.29999999999</v>
      </c>
      <c r="G18" s="2">
        <v>40.584499999999998</v>
      </c>
      <c r="H18" s="2">
        <v>56615.92</v>
      </c>
      <c r="I18" s="3">
        <v>44.76</v>
      </c>
      <c r="J18" s="3">
        <v>0</v>
      </c>
      <c r="K18" s="2">
        <v>3.440572</v>
      </c>
      <c r="L18" s="2">
        <v>3.7980339999999999</v>
      </c>
      <c r="M18" s="2">
        <v>4.0996430000000004</v>
      </c>
      <c r="N18" s="2">
        <v>4.4906170000000003</v>
      </c>
      <c r="O18" s="2">
        <v>25.887799999999999</v>
      </c>
      <c r="P18" s="2">
        <v>23.55789</v>
      </c>
      <c r="Q18" s="2">
        <v>21.897169999999999</v>
      </c>
      <c r="R18" s="2">
        <v>20.144010000000002</v>
      </c>
      <c r="S18" s="2">
        <v>11.31813</v>
      </c>
      <c r="T18" s="2">
        <v>12.02472</v>
      </c>
      <c r="U18" s="2">
        <v>11.13396</v>
      </c>
      <c r="V18" s="2">
        <v>10.377940000000001</v>
      </c>
      <c r="W18" s="2">
        <v>7.4724539999999999</v>
      </c>
      <c r="X18" s="2">
        <v>7.043272</v>
      </c>
      <c r="Y18" s="2">
        <v>6.6610889999999996</v>
      </c>
      <c r="Z18" s="2">
        <v>6.4357179999999996</v>
      </c>
      <c r="AA18" s="2">
        <v>19.982140000000001</v>
      </c>
      <c r="AB18" s="2">
        <v>15.705260000000001</v>
      </c>
      <c r="AC18" s="2">
        <v>16.70149</v>
      </c>
      <c r="AD18" s="2">
        <v>15.48789</v>
      </c>
      <c r="AE18" s="2">
        <v>4.480359</v>
      </c>
      <c r="AF18" s="2">
        <v>4.9440619999999997</v>
      </c>
      <c r="AG18" s="2">
        <v>5.500292</v>
      </c>
      <c r="AH18" s="2">
        <v>4.1064379999999998</v>
      </c>
      <c r="AI18" s="2">
        <v>4.5112449999999997</v>
      </c>
      <c r="AJ18" s="2">
        <v>5.0146940000000004</v>
      </c>
      <c r="AK18" s="3">
        <v>2.5934029999999999</v>
      </c>
      <c r="AL18" s="3">
        <v>2.4040379999999999</v>
      </c>
      <c r="AM18" s="2">
        <v>27.437329999999999</v>
      </c>
      <c r="AN18" s="2">
        <v>27.530940000000001</v>
      </c>
      <c r="AO18" s="2">
        <v>27.553170000000001</v>
      </c>
      <c r="AP18" s="2">
        <v>27.53105</v>
      </c>
      <c r="AQ18" s="2">
        <v>-1.1579699999999999</v>
      </c>
      <c r="AR18" s="2">
        <v>-1.0949390000000001</v>
      </c>
      <c r="AS18" s="2">
        <v>-1.068211</v>
      </c>
      <c r="AT18" s="2">
        <v>-1.004948</v>
      </c>
      <c r="AU18" s="1" t="s">
        <v>43</v>
      </c>
      <c r="AV18" s="3">
        <v>1.517857</v>
      </c>
      <c r="AW18" s="3">
        <v>44</v>
      </c>
      <c r="AX18" s="2">
        <v>-1.69794</v>
      </c>
      <c r="AY18" s="2">
        <v>29.89772</v>
      </c>
      <c r="AZ18" s="2">
        <v>9.2968119999999992</v>
      </c>
      <c r="BA18" s="2">
        <v>53.445320000000002</v>
      </c>
      <c r="BB18" s="2">
        <v>13.517620000000001</v>
      </c>
      <c r="BC18" s="3">
        <v>27.45</v>
      </c>
      <c r="BD18" s="2">
        <v>63.060090000000002</v>
      </c>
      <c r="BE18" s="3">
        <v>45.25</v>
      </c>
      <c r="BF18" s="2">
        <v>-1.0828789999999999</v>
      </c>
      <c r="BG18" s="2">
        <v>89.732129999999998</v>
      </c>
      <c r="BH18" s="2">
        <v>91.298760000000001</v>
      </c>
      <c r="BI18" s="2">
        <v>89.84957</v>
      </c>
      <c r="BJ18" s="2">
        <v>82.652590000000004</v>
      </c>
      <c r="BK18" s="2">
        <v>26</v>
      </c>
      <c r="BL18" s="2">
        <v>25</v>
      </c>
      <c r="BM18" s="4">
        <v>28</v>
      </c>
      <c r="BN18" s="4">
        <v>1</v>
      </c>
      <c r="BO18" s="4">
        <v>2</v>
      </c>
      <c r="BP18" s="4">
        <v>26</v>
      </c>
      <c r="BQ18" s="2">
        <v>3.4482759999999999</v>
      </c>
      <c r="BR18" s="4">
        <v>17</v>
      </c>
      <c r="BS18" s="4">
        <v>2</v>
      </c>
      <c r="BT18" s="4">
        <v>28</v>
      </c>
      <c r="BU18" s="2">
        <v>60.714289999999998</v>
      </c>
      <c r="BV18" s="2">
        <v>7.5937099999999997</v>
      </c>
      <c r="BW18" s="2">
        <v>3116.652</v>
      </c>
      <c r="BX18" s="3">
        <v>2.8274059999999999</v>
      </c>
      <c r="BY18" s="3">
        <v>9.0719320000000006E-2</v>
      </c>
      <c r="BZ18" s="2">
        <v>1.20255</v>
      </c>
      <c r="CA18" s="3">
        <v>9.0799560000000001E-2</v>
      </c>
      <c r="CB18" s="3">
        <v>1.872711</v>
      </c>
      <c r="CC18" s="3">
        <v>1.8564620000000001</v>
      </c>
      <c r="CD18" s="2">
        <v>-0.86765890000000001</v>
      </c>
      <c r="CE18" s="3">
        <v>7355.6080000000002</v>
      </c>
      <c r="CF18" s="3">
        <v>7433.5460000000003</v>
      </c>
      <c r="CG18" s="2">
        <v>1.0595680000000001</v>
      </c>
      <c r="CH18" s="3">
        <v>40.430030000000002</v>
      </c>
      <c r="CI18" s="2">
        <v>8.8299990000000008</v>
      </c>
      <c r="CJ18" s="3">
        <v>38535.019999999997</v>
      </c>
      <c r="CK18" s="3">
        <v>38612.19</v>
      </c>
      <c r="CL18" s="2">
        <v>0.2002478</v>
      </c>
      <c r="CM18" s="3">
        <v>36.435960000000001</v>
      </c>
      <c r="CN18" s="3">
        <v>39.750790000000002</v>
      </c>
      <c r="CO18" s="3">
        <v>40.694229999999997</v>
      </c>
      <c r="CP18" s="2">
        <v>22.845669999999998</v>
      </c>
      <c r="CQ18" s="2">
        <v>12.60154</v>
      </c>
      <c r="CR18" s="2">
        <v>9.9910259999999997</v>
      </c>
      <c r="CS18" s="2">
        <v>9.097683</v>
      </c>
      <c r="CT18" s="2">
        <v>67.075879999999998</v>
      </c>
      <c r="CU18" s="3">
        <v>4.8082609999999998E-2</v>
      </c>
      <c r="CV18" s="2">
        <v>-0.37169259999999998</v>
      </c>
      <c r="CW18" s="2">
        <v>-0.1114047</v>
      </c>
      <c r="CX18" s="2">
        <v>1.5999209999999999</v>
      </c>
      <c r="CY18" s="2">
        <v>16.0505</v>
      </c>
    </row>
    <row r="19" spans="1:103" ht="15" customHeight="1" x14ac:dyDescent="0.2">
      <c r="A19" s="1">
        <f t="shared" si="0"/>
        <v>13</v>
      </c>
      <c r="B19" s="1" t="s">
        <v>45</v>
      </c>
      <c r="C19" s="1" t="s">
        <v>44</v>
      </c>
      <c r="D19" s="1" t="s">
        <v>13</v>
      </c>
      <c r="E19" s="1" t="s">
        <v>46</v>
      </c>
      <c r="F19" s="2">
        <v>8574.5159999999996</v>
      </c>
      <c r="G19" s="2" t="e">
        <v>#N/A</v>
      </c>
      <c r="H19" s="2" t="e">
        <v>#N/A</v>
      </c>
      <c r="I19" s="3">
        <v>1.744</v>
      </c>
      <c r="J19" s="3">
        <v>0</v>
      </c>
      <c r="K19" s="2">
        <v>0</v>
      </c>
      <c r="L19" s="2">
        <v>1.1467890000000001</v>
      </c>
      <c r="M19" s="2">
        <v>4.8245420000000001</v>
      </c>
      <c r="N19" s="2">
        <v>5.7339450000000003</v>
      </c>
      <c r="O19" s="2">
        <v>3.4466399999999999</v>
      </c>
      <c r="P19" s="2">
        <v>4.0558139999999998</v>
      </c>
      <c r="Q19" s="2">
        <v>3.679325</v>
      </c>
      <c r="R19" s="2">
        <v>3.5591840000000001</v>
      </c>
      <c r="S19" s="2">
        <v>3.2383579999999998</v>
      </c>
      <c r="T19" s="2">
        <v>3.0836160000000001</v>
      </c>
      <c r="U19" s="2">
        <v>2.7364139999999999</v>
      </c>
      <c r="V19" s="2">
        <v>2.527784</v>
      </c>
      <c r="W19" s="2">
        <v>2.6428729999999998</v>
      </c>
      <c r="X19" s="2">
        <v>1.453333</v>
      </c>
      <c r="Y19" s="2">
        <v>1.0319529999999999</v>
      </c>
      <c r="Z19" s="2">
        <v>0.98332629999999999</v>
      </c>
      <c r="AA19" s="2">
        <v>1.83287</v>
      </c>
      <c r="AB19" s="2">
        <v>1.9050940000000001</v>
      </c>
      <c r="AC19" s="2">
        <v>1.8066759999999999</v>
      </c>
      <c r="AD19" s="2">
        <v>1.6471800000000001</v>
      </c>
      <c r="AE19" s="2">
        <v>5.7567560000000002</v>
      </c>
      <c r="AF19" s="2">
        <v>6.4856179999999997</v>
      </c>
      <c r="AG19" s="2">
        <v>8.4354650000000007</v>
      </c>
      <c r="AH19" s="2">
        <v>11.54922</v>
      </c>
      <c r="AI19" s="2">
        <v>12.66708</v>
      </c>
      <c r="AJ19" s="2">
        <v>16.06962</v>
      </c>
      <c r="AK19" s="3">
        <v>5.3091619999999999E-2</v>
      </c>
      <c r="AL19" s="3">
        <v>4.6892299999999998E-2</v>
      </c>
      <c r="AM19" s="2">
        <v>18.911490000000001</v>
      </c>
      <c r="AN19" s="2">
        <v>17.91414</v>
      </c>
      <c r="AO19" s="2">
        <v>19.046790000000001</v>
      </c>
      <c r="AP19" s="2">
        <v>18.796019999999999</v>
      </c>
      <c r="AQ19" s="2">
        <v>1.6597850000000001</v>
      </c>
      <c r="AR19" s="2">
        <v>1.5477240000000001</v>
      </c>
      <c r="AS19" s="2">
        <v>1.336373</v>
      </c>
      <c r="AT19" s="2">
        <v>1.201808</v>
      </c>
      <c r="AU19" s="1" t="s">
        <v>10</v>
      </c>
      <c r="AV19" s="3">
        <v>1.517857</v>
      </c>
      <c r="AW19" s="3">
        <v>2.4235060000000002</v>
      </c>
      <c r="AX19" s="2">
        <v>38.962519999999998</v>
      </c>
      <c r="AY19" s="2">
        <v>35.833329999999997</v>
      </c>
      <c r="AZ19" s="2">
        <v>79.003889999999998</v>
      </c>
      <c r="BA19" s="2">
        <v>6.0504670000000003</v>
      </c>
      <c r="BB19" s="2">
        <v>-2.0774900000000001</v>
      </c>
      <c r="BC19" s="3">
        <v>1.4635</v>
      </c>
      <c r="BD19" s="2">
        <v>19.166370000000001</v>
      </c>
      <c r="BE19" s="3">
        <v>2.02</v>
      </c>
      <c r="BF19" s="2">
        <v>-13.66337</v>
      </c>
      <c r="BG19" s="2">
        <v>0</v>
      </c>
      <c r="BH19" s="2">
        <v>9.1420980000000007</v>
      </c>
      <c r="BI19" s="2">
        <v>14.118370000000001</v>
      </c>
      <c r="BJ19" s="2">
        <v>18.55752</v>
      </c>
      <c r="BK19" s="2">
        <v>24</v>
      </c>
      <c r="BL19" s="2">
        <v>23</v>
      </c>
      <c r="BM19" s="4">
        <v>28</v>
      </c>
      <c r="BN19" s="4">
        <v>1</v>
      </c>
      <c r="BO19" s="4">
        <v>6</v>
      </c>
      <c r="BP19" s="4">
        <v>19</v>
      </c>
      <c r="BQ19" s="2">
        <v>3.8461539999999999</v>
      </c>
      <c r="BR19" s="4">
        <v>18</v>
      </c>
      <c r="BS19" s="4">
        <v>2</v>
      </c>
      <c r="BT19" s="4">
        <v>28</v>
      </c>
      <c r="BU19" s="2">
        <v>64.285709999999995</v>
      </c>
      <c r="BV19" s="2">
        <v>12.0932</v>
      </c>
      <c r="BW19" s="2">
        <v>4916.5810000000001</v>
      </c>
      <c r="BX19" s="3">
        <v>9.2783329999999999</v>
      </c>
      <c r="BY19" s="3">
        <v>0.1887152</v>
      </c>
      <c r="BZ19" s="2">
        <v>1.9141600000000001</v>
      </c>
      <c r="CA19" s="3">
        <v>0.18937470000000001</v>
      </c>
      <c r="CB19" s="3">
        <v>0.3885614</v>
      </c>
      <c r="CC19" s="3">
        <v>0.41578809999999999</v>
      </c>
      <c r="CD19" s="2">
        <v>7.0070620000000003</v>
      </c>
      <c r="CE19" s="3">
        <v>3256.6889999999999</v>
      </c>
      <c r="CF19" s="3">
        <v>3340.8789999999999</v>
      </c>
      <c r="CG19" s="2">
        <v>2.585137</v>
      </c>
      <c r="CH19" s="3">
        <v>2.4125399999999999</v>
      </c>
      <c r="CI19" s="2">
        <v>0.45455689999999999</v>
      </c>
      <c r="CJ19" s="3">
        <v>30263.72</v>
      </c>
      <c r="CK19" s="3">
        <v>30946.77</v>
      </c>
      <c r="CL19" s="2">
        <v>2.2569889999999999</v>
      </c>
      <c r="CM19" s="3">
        <v>1.793485</v>
      </c>
      <c r="CN19" s="3">
        <v>1.7380389999999999</v>
      </c>
      <c r="CO19" s="3">
        <v>1.7433650000000001</v>
      </c>
      <c r="CP19" s="2">
        <v>-2.7591649999999999</v>
      </c>
      <c r="CQ19" s="2">
        <v>0.34295320000000001</v>
      </c>
      <c r="CR19" s="2">
        <v>3.6394599999999999E-2</v>
      </c>
      <c r="CS19" s="2">
        <v>-3.09152</v>
      </c>
      <c r="CT19" s="2">
        <v>16.063800000000001</v>
      </c>
      <c r="CU19" s="3">
        <v>0.1873435</v>
      </c>
      <c r="CV19" s="2">
        <v>-1.866891E-2</v>
      </c>
      <c r="CW19" s="2">
        <v>0.43181009999999997</v>
      </c>
      <c r="CX19" s="2">
        <v>-4.7622710000000001</v>
      </c>
      <c r="CY19" s="2">
        <v>16.105260000000001</v>
      </c>
    </row>
    <row r="20" spans="1:103" ht="15" customHeight="1" x14ac:dyDescent="0.2">
      <c r="A20" s="1">
        <f t="shared" si="0"/>
        <v>14</v>
      </c>
      <c r="B20" s="1" t="s">
        <v>48</v>
      </c>
      <c r="C20" s="1" t="s">
        <v>47</v>
      </c>
      <c r="D20" s="1" t="s">
        <v>49</v>
      </c>
      <c r="E20" s="1" t="s">
        <v>50</v>
      </c>
      <c r="F20" s="2">
        <v>1536.1880000000001</v>
      </c>
      <c r="G20" s="2">
        <v>44.979199999999999</v>
      </c>
      <c r="H20" s="2">
        <v>690.96510000000001</v>
      </c>
      <c r="I20" s="3">
        <v>6.97</v>
      </c>
      <c r="J20" s="3">
        <v>-5.9604639999999998E-6</v>
      </c>
      <c r="K20" s="2">
        <v>0</v>
      </c>
      <c r="L20" s="2">
        <v>0</v>
      </c>
      <c r="M20" s="2">
        <v>0</v>
      </c>
      <c r="N20" s="2">
        <v>0</v>
      </c>
      <c r="O20" s="2">
        <v>13.15094</v>
      </c>
      <c r="P20" s="2">
        <v>13.94</v>
      </c>
      <c r="Q20" s="2">
        <v>13.028040000000001</v>
      </c>
      <c r="R20" s="2">
        <v>10.481199999999999</v>
      </c>
      <c r="S20" s="2">
        <v>8.0167090000000005</v>
      </c>
      <c r="T20" s="2">
        <v>7.9173850000000003</v>
      </c>
      <c r="U20" s="2">
        <v>7.1753900000000002</v>
      </c>
      <c r="V20" s="2">
        <v>6.7477359999999997</v>
      </c>
      <c r="W20" s="2">
        <v>2.9914160000000001</v>
      </c>
      <c r="X20" s="2">
        <v>2.4804270000000002</v>
      </c>
      <c r="Y20" s="2">
        <v>2.0993979999999999</v>
      </c>
      <c r="Z20" s="2">
        <v>1.7871790000000001</v>
      </c>
      <c r="AA20" s="2">
        <v>5.1551479999999996</v>
      </c>
      <c r="AB20" s="2">
        <v>6.6147419999999997</v>
      </c>
      <c r="AC20" s="2">
        <v>5.8492930000000003</v>
      </c>
      <c r="AD20" s="2">
        <v>5.4022509999999997</v>
      </c>
      <c r="AE20" s="2">
        <v>5.2957049999999999</v>
      </c>
      <c r="AF20" s="2">
        <v>5.051482</v>
      </c>
      <c r="AG20" s="2">
        <v>5.9112</v>
      </c>
      <c r="AH20" s="2">
        <v>13.48305</v>
      </c>
      <c r="AI20" s="2">
        <v>12.315390000000001</v>
      </c>
      <c r="AJ20" s="2">
        <v>13.813409999999999</v>
      </c>
      <c r="AK20" s="3">
        <v>1.1293960000000001</v>
      </c>
      <c r="AL20" s="3">
        <v>0.95917220000000003</v>
      </c>
      <c r="AM20" s="2">
        <v>25.349340000000002</v>
      </c>
      <c r="AN20" s="2">
        <v>25.551400000000001</v>
      </c>
      <c r="AO20" s="2">
        <v>25.7455</v>
      </c>
      <c r="AP20" s="2">
        <v>24.855080000000001</v>
      </c>
      <c r="AQ20" s="2">
        <v>5.3348310000000003</v>
      </c>
      <c r="AR20" s="2">
        <v>4.8076930000000004</v>
      </c>
      <c r="AS20" s="2">
        <v>4.2322139999999999</v>
      </c>
      <c r="AT20" s="2">
        <v>3.8601649999999998</v>
      </c>
      <c r="AU20" s="1" t="s">
        <v>34</v>
      </c>
      <c r="AV20" s="3">
        <v>1.6153850000000001</v>
      </c>
      <c r="AW20" s="3">
        <v>7.124085</v>
      </c>
      <c r="AX20" s="2">
        <v>2.2107009999999998</v>
      </c>
      <c r="AY20" s="2">
        <v>17.793589999999998</v>
      </c>
      <c r="AZ20" s="2">
        <v>12.351139999999999</v>
      </c>
      <c r="BA20" s="2">
        <v>12.60097</v>
      </c>
      <c r="BB20" s="2">
        <v>16.946300000000001</v>
      </c>
      <c r="BC20" s="3">
        <v>5.0650000000000004</v>
      </c>
      <c r="BD20" s="2">
        <v>37.611049999999999</v>
      </c>
      <c r="BE20" s="3">
        <v>7.05</v>
      </c>
      <c r="BF20" s="2">
        <v>-1.1347590000000001</v>
      </c>
      <c r="BG20" s="2">
        <v>2.96496</v>
      </c>
      <c r="BH20" s="2">
        <v>7.8239809999999999</v>
      </c>
      <c r="BI20" s="2">
        <v>7.94611</v>
      </c>
      <c r="BJ20" s="2">
        <v>9.5527859999999993</v>
      </c>
      <c r="BK20" s="2">
        <v>11</v>
      </c>
      <c r="BL20" s="2">
        <v>11</v>
      </c>
      <c r="BM20" s="4">
        <v>13</v>
      </c>
      <c r="BN20" s="4">
        <v>1</v>
      </c>
      <c r="BO20" s="4">
        <v>0</v>
      </c>
      <c r="BP20" s="4">
        <v>12</v>
      </c>
      <c r="BQ20" s="2">
        <v>7.6923079999999997</v>
      </c>
      <c r="BR20" s="4">
        <v>5</v>
      </c>
      <c r="BS20" s="4">
        <v>0</v>
      </c>
      <c r="BT20" s="4">
        <v>13</v>
      </c>
      <c r="BU20" s="2">
        <v>38.461539999999999</v>
      </c>
      <c r="BV20" s="2">
        <v>10.2715</v>
      </c>
      <c r="BW20" s="2">
        <v>220.4</v>
      </c>
      <c r="BX20" s="3">
        <v>0.64526289999999997</v>
      </c>
      <c r="BY20" s="3">
        <v>0.292769</v>
      </c>
      <c r="BZ20" s="2">
        <v>1.4974700000000001</v>
      </c>
      <c r="CA20" s="3">
        <v>0.29366249999999999</v>
      </c>
      <c r="CB20" s="3">
        <v>0.46734589999999998</v>
      </c>
      <c r="CC20" s="3">
        <v>0.49966539999999998</v>
      </c>
      <c r="CD20" s="2">
        <v>6.9155569999999997</v>
      </c>
      <c r="CE20" s="3">
        <v>216.92850000000001</v>
      </c>
      <c r="CF20" s="3">
        <v>237.37780000000001</v>
      </c>
      <c r="CG20" s="2">
        <v>9.4267249999999994</v>
      </c>
      <c r="CH20" s="3">
        <v>6.9807689999999996</v>
      </c>
      <c r="CI20" s="2">
        <v>2.05301</v>
      </c>
      <c r="CJ20" s="3">
        <v>1863.88</v>
      </c>
      <c r="CK20" s="3">
        <v>1932.816</v>
      </c>
      <c r="CL20" s="2">
        <v>3.698528</v>
      </c>
      <c r="CM20" s="3">
        <v>6.0738300000000001</v>
      </c>
      <c r="CN20" s="3">
        <v>6.36</v>
      </c>
      <c r="CO20" s="3">
        <v>6.6100009999999996</v>
      </c>
      <c r="CP20" s="2">
        <v>14.75461</v>
      </c>
      <c r="CQ20" s="2">
        <v>9.5911980000000003</v>
      </c>
      <c r="CR20" s="2">
        <v>5.4462789999999996</v>
      </c>
      <c r="CS20" s="2">
        <v>4.7115210000000003</v>
      </c>
      <c r="CT20" s="2">
        <v>3.2209989999999999</v>
      </c>
      <c r="CU20" s="3">
        <v>0.20967479999999999</v>
      </c>
      <c r="CV20" s="2" t="e">
        <v>#N/A</v>
      </c>
      <c r="CW20" s="2">
        <v>4.1532809999999998</v>
      </c>
      <c r="CX20" s="2">
        <v>-29.411770000000001</v>
      </c>
      <c r="CY20" s="2">
        <v>16.181819999999998</v>
      </c>
    </row>
    <row r="21" spans="1:103" ht="15" customHeight="1" x14ac:dyDescent="0.2">
      <c r="A21" s="1">
        <f t="shared" si="0"/>
        <v>15</v>
      </c>
      <c r="B21" s="1" t="s">
        <v>52</v>
      </c>
      <c r="C21" s="1" t="s">
        <v>51</v>
      </c>
      <c r="D21" s="1" t="s">
        <v>8</v>
      </c>
      <c r="E21" s="1" t="s">
        <v>9</v>
      </c>
      <c r="F21" s="2">
        <v>5765.3280000000004</v>
      </c>
      <c r="G21" s="2">
        <v>70.796599999999998</v>
      </c>
      <c r="H21" s="2">
        <v>4081.6559999999999</v>
      </c>
      <c r="I21" s="3">
        <v>6.4139999999999997</v>
      </c>
      <c r="J21" s="3">
        <v>0</v>
      </c>
      <c r="K21" s="2">
        <v>7.3230009999999996</v>
      </c>
      <c r="L21" s="2">
        <v>7.4424609999999998</v>
      </c>
      <c r="M21" s="2">
        <v>6.8599940000000004</v>
      </c>
      <c r="N21" s="2">
        <v>7.0159029999999998</v>
      </c>
      <c r="O21" s="2">
        <v>7.0483510000000003</v>
      </c>
      <c r="P21" s="2">
        <v>6.8553249999999997</v>
      </c>
      <c r="Q21" s="2">
        <v>7.5714899999999998</v>
      </c>
      <c r="R21" s="2">
        <v>7.4581390000000001</v>
      </c>
      <c r="S21" s="2" t="e">
        <v>#N/A</v>
      </c>
      <c r="T21" s="2" t="e">
        <v>#N/A</v>
      </c>
      <c r="U21" s="2" t="e">
        <v>#N/A</v>
      </c>
      <c r="V21" s="2" t="e">
        <v>#N/A</v>
      </c>
      <c r="W21" s="2">
        <v>1.0834459999999999</v>
      </c>
      <c r="X21" s="2">
        <v>1.006907</v>
      </c>
      <c r="Y21" s="2">
        <v>0.95022229999999996</v>
      </c>
      <c r="Z21" s="2">
        <v>0.9013314</v>
      </c>
      <c r="AA21" s="2" t="e">
        <v>#N/A</v>
      </c>
      <c r="AB21" s="2" t="e">
        <v>#N/A</v>
      </c>
      <c r="AC21" s="2" t="e">
        <v>#N/A</v>
      </c>
      <c r="AD21" s="2" t="e">
        <v>#N/A</v>
      </c>
      <c r="AE21" s="2" t="e">
        <v>#N/A</v>
      </c>
      <c r="AF21" s="2" t="e">
        <v>#N/A</v>
      </c>
      <c r="AG21" s="2" t="e">
        <v>#N/A</v>
      </c>
      <c r="AH21" s="2" t="e">
        <v>#N/A</v>
      </c>
      <c r="AI21" s="2" t="e">
        <v>#N/A</v>
      </c>
      <c r="AJ21" s="2" t="e">
        <v>#N/A</v>
      </c>
      <c r="AK21" s="3">
        <v>2.5359829999999999</v>
      </c>
      <c r="AL21" s="3">
        <v>2.7771400000000002</v>
      </c>
      <c r="AM21" s="2" t="e">
        <v>#N/A</v>
      </c>
      <c r="AN21" s="2" t="e">
        <v>#N/A</v>
      </c>
      <c r="AO21" s="2" t="e">
        <v>#N/A</v>
      </c>
      <c r="AP21" s="2" t="e">
        <v>#N/A</v>
      </c>
      <c r="AQ21" s="2" t="e">
        <v>#N/A</v>
      </c>
      <c r="AR21" s="2" t="e">
        <v>#N/A</v>
      </c>
      <c r="AS21" s="2" t="e">
        <v>#N/A</v>
      </c>
      <c r="AT21" s="2" t="e">
        <v>#N/A</v>
      </c>
      <c r="AU21" s="1" t="s">
        <v>5</v>
      </c>
      <c r="AV21" s="3">
        <v>1.5476190000000001</v>
      </c>
      <c r="AW21" s="3">
        <v>7.6</v>
      </c>
      <c r="AX21" s="2">
        <v>18.4908</v>
      </c>
      <c r="AY21" s="2">
        <v>14.68796</v>
      </c>
      <c r="AZ21" s="2">
        <v>0.63958499999999996</v>
      </c>
      <c r="BA21" s="2">
        <v>5.1820279999999999</v>
      </c>
      <c r="BB21" s="2">
        <v>10.66253</v>
      </c>
      <c r="BC21" s="3">
        <v>4.9960000000000004</v>
      </c>
      <c r="BD21" s="2">
        <v>28.382709999999999</v>
      </c>
      <c r="BE21" s="3">
        <v>6.532</v>
      </c>
      <c r="BF21" s="2">
        <v>-1.806492</v>
      </c>
      <c r="BG21" s="2">
        <v>50.686030000000002</v>
      </c>
      <c r="BH21" s="2">
        <v>50.687690000000003</v>
      </c>
      <c r="BI21" s="2">
        <v>51.158700000000003</v>
      </c>
      <c r="BJ21" s="2">
        <v>51.076479999999997</v>
      </c>
      <c r="BK21" s="2">
        <v>21</v>
      </c>
      <c r="BL21" s="2">
        <v>13</v>
      </c>
      <c r="BM21" s="4">
        <v>21</v>
      </c>
      <c r="BN21" s="4">
        <v>0</v>
      </c>
      <c r="BO21" s="4">
        <v>2</v>
      </c>
      <c r="BP21" s="4">
        <v>17</v>
      </c>
      <c r="BQ21" s="2">
        <v>0</v>
      </c>
      <c r="BR21" s="4">
        <v>12</v>
      </c>
      <c r="BS21" s="4">
        <v>3</v>
      </c>
      <c r="BT21" s="4">
        <v>21</v>
      </c>
      <c r="BU21" s="2">
        <v>57.142859999999999</v>
      </c>
      <c r="BV21" s="2">
        <v>7.6723100000000004</v>
      </c>
      <c r="BW21" s="2">
        <v>898.86609999999996</v>
      </c>
      <c r="BX21" s="3">
        <v>3.0634549999999998</v>
      </c>
      <c r="BY21" s="3">
        <v>0.34081319999999998</v>
      </c>
      <c r="BZ21" s="2">
        <v>0.443888</v>
      </c>
      <c r="CA21" s="3">
        <v>0.34211510000000001</v>
      </c>
      <c r="CB21" s="3">
        <v>0.92834720000000004</v>
      </c>
      <c r="CC21" s="3">
        <v>0.94363799999999998</v>
      </c>
      <c r="CD21" s="2">
        <v>1.6470910000000001</v>
      </c>
      <c r="CE21" s="3">
        <v>1683.636</v>
      </c>
      <c r="CF21" s="3">
        <v>1717.7909999999999</v>
      </c>
      <c r="CG21" s="2">
        <v>2.0286559999999998</v>
      </c>
      <c r="CH21" s="3">
        <v>8.0975000000000001</v>
      </c>
      <c r="CI21" s="2">
        <v>-6.1438740000000003</v>
      </c>
      <c r="CJ21" s="3">
        <v>2717.1559999999999</v>
      </c>
      <c r="CK21" s="3">
        <v>2757.7280000000001</v>
      </c>
      <c r="CL21" s="2">
        <v>1.4931680000000001</v>
      </c>
      <c r="CM21" s="3">
        <v>5.9665059999999999</v>
      </c>
      <c r="CN21" s="3">
        <v>5.907019</v>
      </c>
      <c r="CO21" s="3">
        <v>5.9337689999999998</v>
      </c>
      <c r="CP21" s="2">
        <v>7.5000879999999999</v>
      </c>
      <c r="CQ21" s="2">
        <v>8.582687</v>
      </c>
      <c r="CR21" s="2">
        <v>8.0931899999999999</v>
      </c>
      <c r="CS21" s="2">
        <v>-0.99701879999999998</v>
      </c>
      <c r="CT21" s="2">
        <v>21.012080000000001</v>
      </c>
      <c r="CU21" s="3">
        <v>0.364456</v>
      </c>
      <c r="CV21" s="2">
        <v>-15.71416</v>
      </c>
      <c r="CW21" s="2">
        <v>-3.8888219999999998</v>
      </c>
      <c r="CX21" s="2">
        <v>-8.8951650000000004</v>
      </c>
      <c r="CY21" s="2">
        <v>16.202020000000001</v>
      </c>
    </row>
    <row r="22" spans="1:103" ht="15" customHeight="1" x14ac:dyDescent="0.2">
      <c r="A22" s="1">
        <f t="shared" si="0"/>
        <v>16</v>
      </c>
      <c r="B22" s="1" t="s">
        <v>54</v>
      </c>
      <c r="C22" s="1" t="s">
        <v>53</v>
      </c>
      <c r="D22" s="1" t="s">
        <v>55</v>
      </c>
      <c r="E22" s="1" t="s">
        <v>56</v>
      </c>
      <c r="F22" s="2">
        <v>18382.68</v>
      </c>
      <c r="G22" s="2">
        <v>97.836699999999993</v>
      </c>
      <c r="H22" s="2">
        <v>17985.009999999998</v>
      </c>
      <c r="I22" s="3">
        <v>15.1</v>
      </c>
      <c r="J22" s="3">
        <v>0</v>
      </c>
      <c r="K22" s="2">
        <v>5.1986749999999997</v>
      </c>
      <c r="L22" s="2">
        <v>5.9602639999999996</v>
      </c>
      <c r="M22" s="2">
        <v>6.5562909999999999</v>
      </c>
      <c r="N22" s="2">
        <v>7.2516550000000004</v>
      </c>
      <c r="O22" s="2">
        <v>3.9841690000000001</v>
      </c>
      <c r="P22" s="2">
        <v>5.008292</v>
      </c>
      <c r="Q22" s="2">
        <v>5.5719560000000001</v>
      </c>
      <c r="R22" s="2">
        <v>4.8553059999999997</v>
      </c>
      <c r="S22" s="2">
        <v>1.9853799999999999</v>
      </c>
      <c r="T22" s="2">
        <v>2.4022830000000002</v>
      </c>
      <c r="U22" s="2">
        <v>2.6145179999999999</v>
      </c>
      <c r="V22" s="2">
        <v>2.5927539999999998</v>
      </c>
      <c r="W22" s="2">
        <v>0.70199909999999999</v>
      </c>
      <c r="X22" s="2">
        <v>0.63199749999999999</v>
      </c>
      <c r="Y22" s="2">
        <v>0.57132050000000001</v>
      </c>
      <c r="Z22" s="2">
        <v>0.52051020000000003</v>
      </c>
      <c r="AA22" s="2">
        <v>2.8927200000000002</v>
      </c>
      <c r="AB22" s="2">
        <v>2.7060930000000001</v>
      </c>
      <c r="AC22" s="2">
        <v>2.4713590000000001</v>
      </c>
      <c r="AD22" s="2">
        <v>2.1856629999999999</v>
      </c>
      <c r="AE22" s="2">
        <v>7.9491800000000001</v>
      </c>
      <c r="AF22" s="2">
        <v>7.3001930000000002</v>
      </c>
      <c r="AG22" s="2">
        <v>6.571968</v>
      </c>
      <c r="AH22" s="2">
        <v>9.3975950000000008</v>
      </c>
      <c r="AI22" s="2">
        <v>8.8545339999999992</v>
      </c>
      <c r="AJ22" s="2">
        <v>8.2007150000000006</v>
      </c>
      <c r="AK22" s="3" t="e">
        <v>#N/A</v>
      </c>
      <c r="AL22" s="3" t="e">
        <v>#N/A</v>
      </c>
      <c r="AM22" s="2">
        <v>15.94886</v>
      </c>
      <c r="AN22" s="2">
        <v>15.38921</v>
      </c>
      <c r="AO22" s="2">
        <v>15.03656</v>
      </c>
      <c r="AP22" s="2">
        <v>16.001909999999999</v>
      </c>
      <c r="AQ22" s="2">
        <v>0.2352552</v>
      </c>
      <c r="AR22" s="2">
        <v>0.370255</v>
      </c>
      <c r="AS22" s="2">
        <v>0.45895730000000001</v>
      </c>
      <c r="AT22" s="2">
        <v>0.51494779999999996</v>
      </c>
      <c r="AU22" s="1" t="s">
        <v>5</v>
      </c>
      <c r="AV22" s="3">
        <v>1.362069</v>
      </c>
      <c r="AW22" s="3">
        <v>17.475000000000001</v>
      </c>
      <c r="AX22" s="2">
        <v>15.72847</v>
      </c>
      <c r="AY22" s="2">
        <v>12.619020000000001</v>
      </c>
      <c r="AZ22" s="2">
        <v>-1.960345</v>
      </c>
      <c r="BA22" s="2">
        <v>4.9339769999999996</v>
      </c>
      <c r="BB22" s="2">
        <v>12.267659999999999</v>
      </c>
      <c r="BC22" s="3">
        <v>12.455</v>
      </c>
      <c r="BD22" s="2">
        <v>21.236460000000001</v>
      </c>
      <c r="BE22" s="3">
        <v>15.87</v>
      </c>
      <c r="BF22" s="2">
        <v>-4.8519189999999996</v>
      </c>
      <c r="BG22" s="2">
        <v>20.976050000000001</v>
      </c>
      <c r="BH22" s="2">
        <v>30.43009</v>
      </c>
      <c r="BI22" s="2">
        <v>36.089350000000003</v>
      </c>
      <c r="BJ22" s="2">
        <v>35.183779999999999</v>
      </c>
      <c r="BK22" s="2">
        <v>24</v>
      </c>
      <c r="BL22" s="2">
        <v>22</v>
      </c>
      <c r="BM22" s="4">
        <v>29</v>
      </c>
      <c r="BN22" s="4">
        <v>0</v>
      </c>
      <c r="BO22" s="4">
        <v>2</v>
      </c>
      <c r="BP22" s="4">
        <v>26</v>
      </c>
      <c r="BQ22" s="2">
        <v>0</v>
      </c>
      <c r="BR22" s="4">
        <v>20</v>
      </c>
      <c r="BS22" s="4">
        <v>1</v>
      </c>
      <c r="BT22" s="4">
        <v>29</v>
      </c>
      <c r="BU22" s="2">
        <v>68.965519999999998</v>
      </c>
      <c r="BV22" s="2">
        <v>8.1935800000000008</v>
      </c>
      <c r="BW22" s="2">
        <v>1217.396</v>
      </c>
      <c r="BX22" s="3">
        <v>5.0913360000000001</v>
      </c>
      <c r="BY22" s="3">
        <v>0.41821520000000001</v>
      </c>
      <c r="BZ22" s="2">
        <v>0.795991</v>
      </c>
      <c r="CA22" s="3">
        <v>0.41880030000000001</v>
      </c>
      <c r="CB22" s="3">
        <v>2.892455</v>
      </c>
      <c r="CC22" s="3">
        <v>2.9365260000000002</v>
      </c>
      <c r="CD22" s="2">
        <v>1.5236499999999999</v>
      </c>
      <c r="CE22" s="3">
        <v>6239.3140000000003</v>
      </c>
      <c r="CF22" s="3">
        <v>6117.14</v>
      </c>
      <c r="CG22" s="2">
        <v>-1.9581440000000001</v>
      </c>
      <c r="CH22" s="3">
        <v>17.565200000000001</v>
      </c>
      <c r="CI22" s="2">
        <v>-0.51351789999999997</v>
      </c>
      <c r="CJ22" s="3">
        <v>61181.91</v>
      </c>
      <c r="CK22" s="3">
        <v>59430.23</v>
      </c>
      <c r="CL22" s="2">
        <v>-2.863067</v>
      </c>
      <c r="CM22" s="3">
        <v>13.94731</v>
      </c>
      <c r="CN22" s="3">
        <v>13.83039</v>
      </c>
      <c r="CO22" s="3">
        <v>14.30231</v>
      </c>
      <c r="CP22" s="2">
        <v>8.2645780000000002</v>
      </c>
      <c r="CQ22" s="2">
        <v>9.1798669999999998</v>
      </c>
      <c r="CR22" s="2">
        <v>5.5773739999999998</v>
      </c>
      <c r="CS22" s="2">
        <v>-0.83832739999999994</v>
      </c>
      <c r="CT22" s="2">
        <v>74.572710000000001</v>
      </c>
      <c r="CU22" s="3">
        <v>0.40566829999999998</v>
      </c>
      <c r="CV22" s="2">
        <v>15.033329999999999</v>
      </c>
      <c r="CW22" s="2">
        <v>-15.547890000000001</v>
      </c>
      <c r="CX22" s="2">
        <v>4.7688870000000003</v>
      </c>
      <c r="CY22" s="2">
        <v>16.606059999999999</v>
      </c>
    </row>
    <row r="23" spans="1:103" ht="15" customHeight="1" x14ac:dyDescent="0.2">
      <c r="A23" s="1">
        <f t="shared" si="0"/>
        <v>17</v>
      </c>
      <c r="B23" s="1" t="s">
        <v>58</v>
      </c>
      <c r="C23" s="1" t="s">
        <v>57</v>
      </c>
      <c r="D23" s="1" t="s">
        <v>13</v>
      </c>
      <c r="E23" s="1" t="s">
        <v>59</v>
      </c>
      <c r="F23" s="2">
        <v>3337.335</v>
      </c>
      <c r="G23" s="2">
        <v>44.114199999999997</v>
      </c>
      <c r="H23" s="2">
        <v>1472.239</v>
      </c>
      <c r="I23" s="3">
        <v>25.14</v>
      </c>
      <c r="J23" s="3">
        <v>0</v>
      </c>
      <c r="K23" s="2">
        <v>7.3587910000000001</v>
      </c>
      <c r="L23" s="2">
        <v>7.696898</v>
      </c>
      <c r="M23" s="2">
        <v>7.8361179999999999</v>
      </c>
      <c r="N23" s="2">
        <v>7.915673</v>
      </c>
      <c r="O23" s="2">
        <v>10.26122</v>
      </c>
      <c r="P23" s="2">
        <v>10.14124</v>
      </c>
      <c r="Q23" s="2">
        <v>10.21951</v>
      </c>
      <c r="R23" s="2">
        <v>9.8976369999999996</v>
      </c>
      <c r="S23" s="2">
        <v>4.0517260000000004</v>
      </c>
      <c r="T23" s="2">
        <v>4.668005</v>
      </c>
      <c r="U23" s="2">
        <v>2.593534</v>
      </c>
      <c r="V23" s="2">
        <v>4.08169</v>
      </c>
      <c r="W23" s="2">
        <v>5.649438</v>
      </c>
      <c r="X23" s="2">
        <v>5.4446000000000003</v>
      </c>
      <c r="Y23" s="2">
        <v>5.3173579999999996</v>
      </c>
      <c r="Z23" s="2">
        <v>4.9488190000000003</v>
      </c>
      <c r="AA23" s="2">
        <v>9.1252259999999996</v>
      </c>
      <c r="AB23" s="2">
        <v>8.4080270000000006</v>
      </c>
      <c r="AC23" s="2">
        <v>8.6243560000000006</v>
      </c>
      <c r="AD23" s="2">
        <v>8.3800000000000008</v>
      </c>
      <c r="AE23" s="2">
        <v>15.57203</v>
      </c>
      <c r="AF23" s="2">
        <v>27.61261</v>
      </c>
      <c r="AG23" s="2">
        <v>15.752090000000001</v>
      </c>
      <c r="AH23" s="2">
        <v>10.06147</v>
      </c>
      <c r="AI23" s="2">
        <v>10.171329999999999</v>
      </c>
      <c r="AJ23" s="2">
        <v>9.7482980000000001</v>
      </c>
      <c r="AK23" s="3" t="e">
        <v>#N/A</v>
      </c>
      <c r="AL23" s="3" t="e">
        <v>#N/A</v>
      </c>
      <c r="AM23" s="2">
        <v>27.96912</v>
      </c>
      <c r="AN23" s="2">
        <v>26.790230000000001</v>
      </c>
      <c r="AO23" s="2">
        <v>27.00855</v>
      </c>
      <c r="AP23" s="2">
        <v>27.77168</v>
      </c>
      <c r="AQ23" s="2">
        <v>-2.8478919999999999</v>
      </c>
      <c r="AR23" s="2">
        <v>-2.556613</v>
      </c>
      <c r="AS23" s="2">
        <v>-4.4472579999999997</v>
      </c>
      <c r="AT23" s="2">
        <v>-2.5138340000000001</v>
      </c>
      <c r="AU23" s="1" t="s">
        <v>5</v>
      </c>
      <c r="AV23" s="3">
        <v>1.0833330000000001</v>
      </c>
      <c r="AW23" s="3">
        <v>30.6</v>
      </c>
      <c r="AX23" s="2">
        <v>21.71838</v>
      </c>
      <c r="AY23" s="2">
        <v>53.687739999999998</v>
      </c>
      <c r="AZ23" s="2" t="e">
        <v>#N/A</v>
      </c>
      <c r="BA23" s="2">
        <v>12.735429999999999</v>
      </c>
      <c r="BB23" s="2">
        <v>2.6960730000000002</v>
      </c>
      <c r="BC23" s="3">
        <v>22</v>
      </c>
      <c r="BD23" s="2">
        <v>14.272729999999999</v>
      </c>
      <c r="BE23" s="3">
        <v>27.72</v>
      </c>
      <c r="BF23" s="2">
        <v>-9.3073610000000002</v>
      </c>
      <c r="BG23" s="2">
        <v>75.253309999999999</v>
      </c>
      <c r="BH23" s="2">
        <v>81.086749999999995</v>
      </c>
      <c r="BI23" s="2">
        <v>81.129710000000003</v>
      </c>
      <c r="BJ23" s="2">
        <v>80.756309999999999</v>
      </c>
      <c r="BK23" s="2">
        <v>10</v>
      </c>
      <c r="BL23" s="2">
        <v>10</v>
      </c>
      <c r="BM23" s="4">
        <v>12</v>
      </c>
      <c r="BN23" s="4">
        <v>1</v>
      </c>
      <c r="BO23" s="4">
        <v>0</v>
      </c>
      <c r="BP23" s="4">
        <v>12</v>
      </c>
      <c r="BQ23" s="2">
        <v>7.6923079999999997</v>
      </c>
      <c r="BR23" s="4">
        <v>12</v>
      </c>
      <c r="BS23" s="4">
        <v>0</v>
      </c>
      <c r="BT23" s="4">
        <v>12</v>
      </c>
      <c r="BU23" s="2">
        <v>100</v>
      </c>
      <c r="BV23" s="2">
        <v>5.4186300000000003</v>
      </c>
      <c r="BW23" s="2">
        <v>132.75</v>
      </c>
      <c r="BX23" s="3">
        <v>0.16867879999999999</v>
      </c>
      <c r="BY23" s="3">
        <v>0.12706500000000001</v>
      </c>
      <c r="BZ23" s="2">
        <v>0.64256400000000002</v>
      </c>
      <c r="CA23" s="3">
        <v>0.12738060000000001</v>
      </c>
      <c r="CB23" s="3">
        <v>2.3500390000000002</v>
      </c>
      <c r="CC23" s="3">
        <v>2.4033090000000001</v>
      </c>
      <c r="CD23" s="2">
        <v>2.2667649999999999</v>
      </c>
      <c r="CE23" s="3">
        <v>347.58390000000003</v>
      </c>
      <c r="CF23" s="3">
        <v>344.08159999999998</v>
      </c>
      <c r="CG23" s="2">
        <v>-1.007611</v>
      </c>
      <c r="CH23" s="3">
        <v>29.814</v>
      </c>
      <c r="CI23" s="2">
        <v>2.6363490000000001</v>
      </c>
      <c r="CJ23" s="3">
        <v>1718.5440000000001</v>
      </c>
      <c r="CK23" s="3">
        <v>1719.075</v>
      </c>
      <c r="CL23" s="2">
        <v>3.0922890000000001E-2</v>
      </c>
      <c r="CM23" s="3">
        <v>24.62866</v>
      </c>
      <c r="CN23" s="3">
        <v>25.793330000000001</v>
      </c>
      <c r="CO23" s="3">
        <v>25.87923</v>
      </c>
      <c r="CP23" s="2">
        <v>2.0761850000000002</v>
      </c>
      <c r="CQ23" s="2">
        <v>-2.532953</v>
      </c>
      <c r="CR23" s="2">
        <v>-2.8564690000000001</v>
      </c>
      <c r="CS23" s="2">
        <v>4.7289130000000004</v>
      </c>
      <c r="CT23" s="2">
        <v>4.9168620000000001</v>
      </c>
      <c r="CU23" s="3">
        <v>0.14732899999999999</v>
      </c>
      <c r="CV23" s="2" t="e">
        <v>#N/A</v>
      </c>
      <c r="CW23" s="2">
        <v>1.0438909999999999</v>
      </c>
      <c r="CX23" s="2">
        <v>2.0642200000000002</v>
      </c>
      <c r="CY23" s="2">
        <v>17.0505</v>
      </c>
    </row>
    <row r="24" spans="1:103" ht="15" customHeight="1" x14ac:dyDescent="0.2">
      <c r="A24" s="1">
        <f t="shared" si="0"/>
        <v>18</v>
      </c>
      <c r="B24" s="1" t="s">
        <v>61</v>
      </c>
      <c r="C24" s="1" t="s">
        <v>60</v>
      </c>
      <c r="D24" s="1" t="s">
        <v>32</v>
      </c>
      <c r="E24" s="1" t="s">
        <v>33</v>
      </c>
      <c r="F24" s="2">
        <v>22981.64</v>
      </c>
      <c r="G24" s="2">
        <v>77.839699999999993</v>
      </c>
      <c r="H24" s="2">
        <v>17888.84</v>
      </c>
      <c r="I24" s="3">
        <v>32.53</v>
      </c>
      <c r="J24" s="3">
        <v>0</v>
      </c>
      <c r="K24" s="2">
        <v>0.1844451</v>
      </c>
      <c r="L24" s="2">
        <v>0.1844451</v>
      </c>
      <c r="M24" s="2">
        <v>0.21518599999999999</v>
      </c>
      <c r="N24" s="2">
        <v>2.182601</v>
      </c>
      <c r="O24" s="2" t="e">
        <v>#N/A</v>
      </c>
      <c r="P24" s="2" t="e">
        <v>#N/A</v>
      </c>
      <c r="Q24" s="2" t="e">
        <v>#N/A</v>
      </c>
      <c r="R24" s="2">
        <v>271.08330000000001</v>
      </c>
      <c r="S24" s="2">
        <v>15.058149999999999</v>
      </c>
      <c r="T24" s="2">
        <v>13.196020000000001</v>
      </c>
      <c r="U24" s="2">
        <v>12.214320000000001</v>
      </c>
      <c r="V24" s="2">
        <v>11.42797</v>
      </c>
      <c r="W24" s="2">
        <v>1.6487579999999999</v>
      </c>
      <c r="X24" s="2">
        <v>1.6716340000000001</v>
      </c>
      <c r="Y24" s="2">
        <v>1.6746460000000001</v>
      </c>
      <c r="Z24" s="2">
        <v>1.7211639999999999</v>
      </c>
      <c r="AA24" s="2">
        <v>14.696910000000001</v>
      </c>
      <c r="AB24" s="2">
        <v>12.48143</v>
      </c>
      <c r="AC24" s="2">
        <v>11.10239</v>
      </c>
      <c r="AD24" s="2">
        <v>10.409599999999999</v>
      </c>
      <c r="AE24" s="2">
        <v>1.556616</v>
      </c>
      <c r="AF24" s="2">
        <v>2.0532979999999998</v>
      </c>
      <c r="AG24" s="2">
        <v>2.0676860000000001</v>
      </c>
      <c r="AH24" s="2">
        <v>2.8664369999999999</v>
      </c>
      <c r="AI24" s="2">
        <v>3.747465</v>
      </c>
      <c r="AJ24" s="2">
        <v>3.7612139999999998</v>
      </c>
      <c r="AK24" s="3" t="e">
        <v>#N/A</v>
      </c>
      <c r="AL24" s="3" t="e">
        <v>#N/A</v>
      </c>
      <c r="AM24" s="2">
        <v>74.28586</v>
      </c>
      <c r="AN24" s="2">
        <v>75.211070000000007</v>
      </c>
      <c r="AO24" s="2">
        <v>76.857119999999995</v>
      </c>
      <c r="AP24" s="2">
        <v>77.778139999999993</v>
      </c>
      <c r="AQ24" s="2">
        <v>6.6828459999999996</v>
      </c>
      <c r="AR24" s="2">
        <v>6.0299339999999999</v>
      </c>
      <c r="AS24" s="2">
        <v>5.5218939999999996</v>
      </c>
      <c r="AT24" s="2">
        <v>5.1455669999999998</v>
      </c>
      <c r="AU24" s="1" t="s">
        <v>5</v>
      </c>
      <c r="AV24" s="3">
        <v>1.362069</v>
      </c>
      <c r="AW24" s="3">
        <v>42</v>
      </c>
      <c r="AX24" s="2">
        <v>29.111599999999999</v>
      </c>
      <c r="AY24" s="2">
        <v>-1.0890649999999999</v>
      </c>
      <c r="AZ24" s="2">
        <v>128.08860000000001</v>
      </c>
      <c r="BA24" s="2">
        <v>-9.2861180000000001</v>
      </c>
      <c r="BB24" s="2">
        <v>-8.7773439999999994</v>
      </c>
      <c r="BC24" s="3">
        <v>26.02</v>
      </c>
      <c r="BD24" s="2">
        <v>25.019210000000001</v>
      </c>
      <c r="BE24" s="3">
        <v>38.94</v>
      </c>
      <c r="BF24" s="2">
        <v>-16.461220000000001</v>
      </c>
      <c r="BG24" s="2" t="e">
        <v>#N/A</v>
      </c>
      <c r="BH24" s="2" t="e">
        <v>#N/A</v>
      </c>
      <c r="BI24" s="2" t="e">
        <v>#N/A</v>
      </c>
      <c r="BJ24" s="2">
        <v>498.84969999999998</v>
      </c>
      <c r="BK24" s="2">
        <v>23</v>
      </c>
      <c r="BL24" s="2">
        <v>22</v>
      </c>
      <c r="BM24" s="4">
        <v>29</v>
      </c>
      <c r="BN24" s="4">
        <v>1</v>
      </c>
      <c r="BO24" s="4">
        <v>0</v>
      </c>
      <c r="BP24" s="4">
        <v>28</v>
      </c>
      <c r="BQ24" s="2">
        <v>3.4482759999999999</v>
      </c>
      <c r="BR24" s="4">
        <v>20</v>
      </c>
      <c r="BS24" s="4">
        <v>1</v>
      </c>
      <c r="BT24" s="4">
        <v>29</v>
      </c>
      <c r="BU24" s="2">
        <v>68.965519999999998</v>
      </c>
      <c r="BV24" s="2">
        <v>9.5198699999999992</v>
      </c>
      <c r="BW24" s="2">
        <v>706.47540000000004</v>
      </c>
      <c r="BX24" s="3">
        <v>1.1841699999999999</v>
      </c>
      <c r="BY24" s="3">
        <v>0.1676166</v>
      </c>
      <c r="BZ24" s="2">
        <v>1.28139</v>
      </c>
      <c r="CA24" s="3">
        <v>0.16762969999999999</v>
      </c>
      <c r="CB24" s="3">
        <v>-0.19307379999999999</v>
      </c>
      <c r="CC24" s="3">
        <v>-0.2315131</v>
      </c>
      <c r="CD24" s="2">
        <v>19.909140000000001</v>
      </c>
      <c r="CE24" s="3">
        <v>558.7364</v>
      </c>
      <c r="CF24" s="3">
        <v>555.83230000000003</v>
      </c>
      <c r="CG24" s="2">
        <v>-0.51975249999999995</v>
      </c>
      <c r="CH24" s="3">
        <v>43.215949999999999</v>
      </c>
      <c r="CI24" s="2">
        <v>-2.8136489999999998</v>
      </c>
      <c r="CJ24" s="3">
        <v>4287.9830000000002</v>
      </c>
      <c r="CK24" s="3">
        <v>4238.5450000000001</v>
      </c>
      <c r="CL24" s="2">
        <v>-1.152933</v>
      </c>
      <c r="CM24" s="3">
        <v>34.256950000000003</v>
      </c>
      <c r="CN24" s="3">
        <v>34.212940000000003</v>
      </c>
      <c r="CO24" s="3">
        <v>33.630769999999998</v>
      </c>
      <c r="CP24" s="2">
        <v>-5.0411820000000001</v>
      </c>
      <c r="CQ24" s="2">
        <v>-4.919028</v>
      </c>
      <c r="CR24" s="2">
        <v>-3.2731119999999998</v>
      </c>
      <c r="CS24" s="2">
        <v>-0.1284719</v>
      </c>
      <c r="CT24" s="2">
        <v>38.646270000000001</v>
      </c>
      <c r="CU24" s="3">
        <v>0.16816149999999999</v>
      </c>
      <c r="CV24" s="2">
        <v>-150.66249999999999</v>
      </c>
      <c r="CW24" s="2">
        <v>3.069671</v>
      </c>
      <c r="CX24" s="2">
        <v>-34.607930000000003</v>
      </c>
      <c r="CY24" s="2">
        <v>17.74747</v>
      </c>
    </row>
    <row r="25" spans="1:103" ht="15" customHeight="1" x14ac:dyDescent="0.2">
      <c r="A25" s="1">
        <f t="shared" si="0"/>
        <v>19</v>
      </c>
      <c r="B25" s="1" t="s">
        <v>63</v>
      </c>
      <c r="C25" s="1" t="s">
        <v>62</v>
      </c>
      <c r="D25" s="1" t="s">
        <v>64</v>
      </c>
      <c r="E25" s="1" t="s">
        <v>65</v>
      </c>
      <c r="F25" s="2">
        <v>3475.299</v>
      </c>
      <c r="G25" s="2">
        <v>80.185299999999998</v>
      </c>
      <c r="H25" s="2">
        <v>2786.6790000000001</v>
      </c>
      <c r="I25" s="3">
        <v>13.265000000000001</v>
      </c>
      <c r="J25" s="3">
        <v>0</v>
      </c>
      <c r="K25" s="2">
        <v>13.117229999999999</v>
      </c>
      <c r="L25" s="2">
        <v>7.5386350000000002</v>
      </c>
      <c r="M25" s="2">
        <v>7.5386350000000002</v>
      </c>
      <c r="N25" s="2">
        <v>7.5386350000000002</v>
      </c>
      <c r="O25" s="2">
        <v>10.375439999999999</v>
      </c>
      <c r="P25" s="2">
        <v>13.39899</v>
      </c>
      <c r="Q25" s="2">
        <v>15.33526</v>
      </c>
      <c r="R25" s="2">
        <v>15.42442</v>
      </c>
      <c r="S25" s="2">
        <v>9.6876569999999997</v>
      </c>
      <c r="T25" s="2">
        <v>9.4157240000000009</v>
      </c>
      <c r="U25" s="2">
        <v>10.17272</v>
      </c>
      <c r="V25" s="2">
        <v>10.829940000000001</v>
      </c>
      <c r="W25" s="2">
        <v>1.163597</v>
      </c>
      <c r="X25" s="2">
        <v>1.2188479999999999</v>
      </c>
      <c r="Y25" s="2">
        <v>1.2502359999999999</v>
      </c>
      <c r="Z25" s="2">
        <v>1.2675590000000001</v>
      </c>
      <c r="AA25" s="2">
        <v>6.0325920000000002</v>
      </c>
      <c r="AB25" s="2">
        <v>6.3870940000000003</v>
      </c>
      <c r="AC25" s="2">
        <v>6.8924919999999998</v>
      </c>
      <c r="AD25" s="2">
        <v>7.3762999999999996</v>
      </c>
      <c r="AE25" s="2">
        <v>5.0554079999999999</v>
      </c>
      <c r="AF25" s="2">
        <v>4.1416380000000004</v>
      </c>
      <c r="AG25" s="2">
        <v>2.915689</v>
      </c>
      <c r="AH25" s="2">
        <v>10.190390000000001</v>
      </c>
      <c r="AI25" s="2">
        <v>8.4988919999999997</v>
      </c>
      <c r="AJ25" s="2">
        <v>6.0967419999999999</v>
      </c>
      <c r="AK25" s="3" t="e">
        <v>#N/A</v>
      </c>
      <c r="AL25" s="3" t="e">
        <v>#N/A</v>
      </c>
      <c r="AM25" s="2">
        <v>84.852109999999996</v>
      </c>
      <c r="AN25" s="2">
        <v>83.035709999999995</v>
      </c>
      <c r="AO25" s="2">
        <v>82.865719999999996</v>
      </c>
      <c r="AP25" s="2">
        <v>83.979969999999994</v>
      </c>
      <c r="AQ25" s="2">
        <v>4.5623480000000001</v>
      </c>
      <c r="AR25" s="2">
        <v>4.744624</v>
      </c>
      <c r="AS25" s="2">
        <v>5.2153999999999998</v>
      </c>
      <c r="AT25" s="2">
        <v>5.6506619999999996</v>
      </c>
      <c r="AU25" s="1" t="s">
        <v>34</v>
      </c>
      <c r="AV25" s="3">
        <v>2.1428569999999998</v>
      </c>
      <c r="AW25" s="3">
        <v>16.7</v>
      </c>
      <c r="AX25" s="2">
        <v>25.895209999999999</v>
      </c>
      <c r="AY25" s="2">
        <v>9.0965659999999993</v>
      </c>
      <c r="AZ25" s="2">
        <v>1</v>
      </c>
      <c r="BA25" s="2">
        <v>-23.123729999999998</v>
      </c>
      <c r="BB25" s="2">
        <v>-13.10186</v>
      </c>
      <c r="BC25" s="3">
        <v>12.914999999999999</v>
      </c>
      <c r="BD25" s="2">
        <v>2.710032</v>
      </c>
      <c r="BE25" s="3">
        <v>18.55</v>
      </c>
      <c r="BF25" s="2">
        <v>-28.490559999999999</v>
      </c>
      <c r="BG25" s="2">
        <v>140.01859999999999</v>
      </c>
      <c r="BH25" s="2">
        <v>133.42420000000001</v>
      </c>
      <c r="BI25" s="2">
        <v>150.08770000000001</v>
      </c>
      <c r="BJ25" s="2">
        <v>145.69220000000001</v>
      </c>
      <c r="BK25" s="2">
        <v>19</v>
      </c>
      <c r="BL25" s="2">
        <v>18</v>
      </c>
      <c r="BM25" s="4">
        <v>21</v>
      </c>
      <c r="BN25" s="4">
        <v>1</v>
      </c>
      <c r="BO25" s="4">
        <v>0</v>
      </c>
      <c r="BP25" s="4">
        <v>17</v>
      </c>
      <c r="BQ25" s="2">
        <v>5.5555560000000002</v>
      </c>
      <c r="BR25" s="4">
        <v>5</v>
      </c>
      <c r="BS25" s="4">
        <v>9</v>
      </c>
      <c r="BT25" s="4">
        <v>21</v>
      </c>
      <c r="BU25" s="2">
        <v>23.809519999999999</v>
      </c>
      <c r="BV25" s="2">
        <v>5.46793</v>
      </c>
      <c r="BW25" s="2">
        <v>261.99009999999998</v>
      </c>
      <c r="BX25" s="3">
        <v>0.85323179999999998</v>
      </c>
      <c r="BY25" s="3">
        <v>0.3256733</v>
      </c>
      <c r="BZ25" s="2">
        <v>0.54700300000000002</v>
      </c>
      <c r="CA25" s="3">
        <v>0.32596310000000001</v>
      </c>
      <c r="CB25" s="3">
        <v>0.93473300000000004</v>
      </c>
      <c r="CC25" s="3">
        <v>0.9834965</v>
      </c>
      <c r="CD25" s="2">
        <v>5.2168369999999999</v>
      </c>
      <c r="CE25" s="3">
        <v>396.62220000000002</v>
      </c>
      <c r="CF25" s="3">
        <v>417.72859999999997</v>
      </c>
      <c r="CG25" s="2">
        <v>5.3215380000000003</v>
      </c>
      <c r="CH25" s="3">
        <v>16.627369999999999</v>
      </c>
      <c r="CI25" s="2">
        <v>0.4368186</v>
      </c>
      <c r="CJ25" s="3">
        <v>894.17359999999996</v>
      </c>
      <c r="CK25" s="3">
        <v>896.77480000000003</v>
      </c>
      <c r="CL25" s="2">
        <v>0.2908945</v>
      </c>
      <c r="CM25" s="3">
        <v>15.833080000000001</v>
      </c>
      <c r="CN25" s="3">
        <v>14.588329999999999</v>
      </c>
      <c r="CO25" s="3">
        <v>13.887499999999999</v>
      </c>
      <c r="CP25" s="2">
        <v>-16.2197</v>
      </c>
      <c r="CQ25" s="2">
        <v>-9.0711709999999997</v>
      </c>
      <c r="CR25" s="2">
        <v>-4.4824479999999998</v>
      </c>
      <c r="CS25" s="2">
        <v>-7.8616739999999998</v>
      </c>
      <c r="CT25" s="2">
        <v>16.569649999999999</v>
      </c>
      <c r="CU25" s="3">
        <v>0.47678359999999997</v>
      </c>
      <c r="CV25" s="2">
        <v>17.726130000000001</v>
      </c>
      <c r="CW25" s="2">
        <v>-5.1007889999999998</v>
      </c>
      <c r="CX25" s="2">
        <v>-0.14051430000000001</v>
      </c>
      <c r="CY25" s="2">
        <v>17.959599999999998</v>
      </c>
    </row>
    <row r="26" spans="1:103" ht="15" customHeight="1" x14ac:dyDescent="0.2">
      <c r="A26" s="1">
        <f t="shared" si="0"/>
        <v>20</v>
      </c>
      <c r="B26" s="1" t="s">
        <v>67</v>
      </c>
      <c r="C26" s="1" t="s">
        <v>66</v>
      </c>
      <c r="D26" s="1" t="s">
        <v>17</v>
      </c>
      <c r="E26" s="1" t="s">
        <v>18</v>
      </c>
      <c r="F26" s="2">
        <v>8210.8889999999992</v>
      </c>
      <c r="G26" s="2">
        <v>69.720699999999994</v>
      </c>
      <c r="H26" s="2">
        <v>5724.6890000000003</v>
      </c>
      <c r="I26" s="3">
        <v>15.175000000000001</v>
      </c>
      <c r="J26" s="3">
        <v>0</v>
      </c>
      <c r="K26" s="2">
        <v>6.5897860000000001</v>
      </c>
      <c r="L26" s="2">
        <v>5.2718290000000003</v>
      </c>
      <c r="M26" s="2">
        <v>5.2718290000000003</v>
      </c>
      <c r="N26" s="2">
        <v>5.337726</v>
      </c>
      <c r="O26" s="2">
        <v>11.94882</v>
      </c>
      <c r="P26" s="2">
        <v>16.336300000000001</v>
      </c>
      <c r="Q26" s="2">
        <v>15.97368</v>
      </c>
      <c r="R26" s="2">
        <v>13.911199999999999</v>
      </c>
      <c r="S26" s="2">
        <v>8.7045779999999997</v>
      </c>
      <c r="T26" s="2">
        <v>10.488379999999999</v>
      </c>
      <c r="U26" s="2">
        <v>10.46303</v>
      </c>
      <c r="V26" s="2">
        <v>9.8737779999999997</v>
      </c>
      <c r="W26" s="2">
        <v>1.5177860000000001</v>
      </c>
      <c r="X26" s="2">
        <v>1.5267949999999999</v>
      </c>
      <c r="Y26" s="2">
        <v>1.5114540000000001</v>
      </c>
      <c r="Z26" s="2">
        <v>1.4819340000000001</v>
      </c>
      <c r="AA26" s="2">
        <v>13.733739999999999</v>
      </c>
      <c r="AB26" s="2">
        <v>8.0648140000000001</v>
      </c>
      <c r="AC26" s="2">
        <v>7.6636670000000002</v>
      </c>
      <c r="AD26" s="2">
        <v>7.2630689999999998</v>
      </c>
      <c r="AE26" s="2">
        <v>-0.90444999999999998</v>
      </c>
      <c r="AF26" s="2">
        <v>0.18853890000000001</v>
      </c>
      <c r="AG26" s="2">
        <v>0.49770740000000002</v>
      </c>
      <c r="AH26" s="2">
        <v>-1.551596</v>
      </c>
      <c r="AI26" s="2">
        <v>0.33577469999999998</v>
      </c>
      <c r="AJ26" s="2">
        <v>0.92107649999999996</v>
      </c>
      <c r="AK26" s="3" t="e">
        <v>#N/A</v>
      </c>
      <c r="AL26" s="3" t="e">
        <v>#N/A</v>
      </c>
      <c r="AM26" s="2">
        <v>73.05847</v>
      </c>
      <c r="AN26" s="2">
        <v>70.758700000000005</v>
      </c>
      <c r="AO26" s="2">
        <v>71.015749999999997</v>
      </c>
      <c r="AP26" s="2">
        <v>72.970960000000005</v>
      </c>
      <c r="AQ26" s="2">
        <v>3.3547739999999999</v>
      </c>
      <c r="AR26" s="2">
        <v>4.3745349999999998</v>
      </c>
      <c r="AS26" s="2">
        <v>4.587993</v>
      </c>
      <c r="AT26" s="2">
        <v>4.5384419999999999</v>
      </c>
      <c r="AU26" s="1" t="s">
        <v>34</v>
      </c>
      <c r="AV26" s="3">
        <v>1.857143</v>
      </c>
      <c r="AW26" s="3">
        <v>16.88</v>
      </c>
      <c r="AX26" s="2">
        <v>11.235580000000001</v>
      </c>
      <c r="AY26" s="2">
        <v>9.3460289999999997</v>
      </c>
      <c r="AZ26" s="2">
        <v>-8.4141679999999996E-3</v>
      </c>
      <c r="BA26" s="2">
        <v>-3.6201949999999998</v>
      </c>
      <c r="BB26" s="2">
        <v>1.7773270000000001</v>
      </c>
      <c r="BC26" s="3">
        <v>14.36</v>
      </c>
      <c r="BD26" s="2">
        <v>5.6754949999999997</v>
      </c>
      <c r="BE26" s="3">
        <v>16.78</v>
      </c>
      <c r="BF26" s="2">
        <v>-9.5649599999999992</v>
      </c>
      <c r="BG26" s="2">
        <v>76.622510000000005</v>
      </c>
      <c r="BH26" s="2">
        <v>87.480760000000004</v>
      </c>
      <c r="BI26" s="2">
        <v>85.3048</v>
      </c>
      <c r="BJ26" s="2">
        <v>78.028559999999999</v>
      </c>
      <c r="BK26" s="2">
        <v>16</v>
      </c>
      <c r="BL26" s="2">
        <v>15</v>
      </c>
      <c r="BM26" s="4">
        <v>21</v>
      </c>
      <c r="BN26" s="4">
        <v>3</v>
      </c>
      <c r="BO26" s="4">
        <v>1</v>
      </c>
      <c r="BP26" s="4">
        <v>15</v>
      </c>
      <c r="BQ26" s="2">
        <v>15.78947</v>
      </c>
      <c r="BR26" s="4">
        <v>7</v>
      </c>
      <c r="BS26" s="4">
        <v>4</v>
      </c>
      <c r="BT26" s="4">
        <v>21</v>
      </c>
      <c r="BU26" s="2">
        <v>33.33334</v>
      </c>
      <c r="BV26" s="2">
        <v>4.6790700000000003</v>
      </c>
      <c r="BW26" s="2">
        <v>541.08000000000004</v>
      </c>
      <c r="BX26" s="3">
        <v>1.132071</v>
      </c>
      <c r="BY26" s="3">
        <v>0.2092243</v>
      </c>
      <c r="BZ26" s="2">
        <v>0.46975899999999998</v>
      </c>
      <c r="CA26" s="3">
        <v>0.2095352</v>
      </c>
      <c r="CB26" s="3">
        <v>0.93563770000000002</v>
      </c>
      <c r="CC26" s="3">
        <v>0.92346839999999997</v>
      </c>
      <c r="CD26" s="2">
        <v>-1.3006450000000001</v>
      </c>
      <c r="CE26" s="3">
        <v>812.86019999999996</v>
      </c>
      <c r="CF26" s="3">
        <v>798.4316</v>
      </c>
      <c r="CG26" s="2">
        <v>-1.7750319999999999</v>
      </c>
      <c r="CH26" s="3">
        <v>16.49333</v>
      </c>
      <c r="CI26" s="2">
        <v>2.3443700000000001</v>
      </c>
      <c r="CJ26" s="3">
        <v>1919.02</v>
      </c>
      <c r="CK26" s="3">
        <v>1919.038</v>
      </c>
      <c r="CL26" s="2">
        <v>9.5367430000000005E-4</v>
      </c>
      <c r="CM26" s="3">
        <v>15.09013</v>
      </c>
      <c r="CN26" s="3">
        <v>14.951280000000001</v>
      </c>
      <c r="CO26" s="3">
        <v>14.883649999999999</v>
      </c>
      <c r="CP26" s="2">
        <v>0.56244130000000003</v>
      </c>
      <c r="CQ26" s="2">
        <v>1.496351</v>
      </c>
      <c r="CR26" s="2">
        <v>1.9575</v>
      </c>
      <c r="CS26" s="2">
        <v>-0.92014669999999998</v>
      </c>
      <c r="CT26" s="2">
        <v>16.63006</v>
      </c>
      <c r="CU26" s="3">
        <v>0.20253660000000001</v>
      </c>
      <c r="CV26" s="2">
        <v>15.693569999999999</v>
      </c>
      <c r="CW26" s="2">
        <v>-8.3552180000000007</v>
      </c>
      <c r="CX26" s="2">
        <v>2.3948900000000002</v>
      </c>
      <c r="CY26" s="2">
        <v>18.797979999999999</v>
      </c>
    </row>
    <row r="27" spans="1:103" ht="15" customHeight="1" x14ac:dyDescent="0.2">
      <c r="A27" s="1">
        <f t="shared" si="0"/>
        <v>21</v>
      </c>
      <c r="B27" s="1" t="s">
        <v>69</v>
      </c>
      <c r="C27" s="1" t="s">
        <v>68</v>
      </c>
      <c r="D27" s="1" t="s">
        <v>8</v>
      </c>
      <c r="E27" s="1" t="s">
        <v>70</v>
      </c>
      <c r="F27" s="2">
        <v>4328.9380000000001</v>
      </c>
      <c r="G27" s="2">
        <v>66.606499999999997</v>
      </c>
      <c r="H27" s="2">
        <v>2883.3539999999998</v>
      </c>
      <c r="I27" s="3">
        <v>9.2149999999999999</v>
      </c>
      <c r="J27" s="3">
        <v>0</v>
      </c>
      <c r="K27" s="2">
        <v>4.7748229999999996</v>
      </c>
      <c r="L27" s="2">
        <v>4.8833419999999998</v>
      </c>
      <c r="M27" s="2">
        <v>5.371677</v>
      </c>
      <c r="N27" s="2">
        <v>5.6972319999999996</v>
      </c>
      <c r="O27" s="2">
        <v>15.10656</v>
      </c>
      <c r="P27" s="2">
        <v>15.618639999999999</v>
      </c>
      <c r="Q27" s="2">
        <v>13.753729999999999</v>
      </c>
      <c r="R27" s="2">
        <v>12.4527</v>
      </c>
      <c r="S27" s="2">
        <v>24.530449999999998</v>
      </c>
      <c r="T27" s="2">
        <v>22.432549999999999</v>
      </c>
      <c r="U27" s="2">
        <v>20.693169999999999</v>
      </c>
      <c r="V27" s="2">
        <v>19.068639999999998</v>
      </c>
      <c r="W27" s="2">
        <v>0.70289860000000004</v>
      </c>
      <c r="X27" s="2">
        <v>0.71229540000000002</v>
      </c>
      <c r="Y27" s="2">
        <v>0.70076050000000001</v>
      </c>
      <c r="Z27" s="2">
        <v>0.71935990000000005</v>
      </c>
      <c r="AA27" s="2">
        <v>18.07648</v>
      </c>
      <c r="AB27" s="2">
        <v>15.995469999999999</v>
      </c>
      <c r="AC27" s="2">
        <v>13.558529999999999</v>
      </c>
      <c r="AD27" s="2">
        <v>13.164289999999999</v>
      </c>
      <c r="AE27" s="2">
        <v>2.5077289999999999</v>
      </c>
      <c r="AF27" s="2">
        <v>2.3173339999999998</v>
      </c>
      <c r="AG27" s="2">
        <v>2.5152299999999999</v>
      </c>
      <c r="AH27" s="2">
        <v>4.9893179999999999</v>
      </c>
      <c r="AI27" s="2">
        <v>4.6413919999999997</v>
      </c>
      <c r="AJ27" s="2">
        <v>5.074363</v>
      </c>
      <c r="AK27" s="3">
        <v>2.0895380000000001</v>
      </c>
      <c r="AL27" s="3">
        <v>1.850711</v>
      </c>
      <c r="AM27" s="2">
        <v>75.365350000000007</v>
      </c>
      <c r="AN27" s="2">
        <v>74.769229999999993</v>
      </c>
      <c r="AO27" s="2">
        <v>74.517489999999995</v>
      </c>
      <c r="AP27" s="2">
        <v>75.966669999999993</v>
      </c>
      <c r="AQ27" s="2">
        <v>11.43933</v>
      </c>
      <c r="AR27" s="2">
        <v>11.15751</v>
      </c>
      <c r="AS27" s="2">
        <v>10.36158</v>
      </c>
      <c r="AT27" s="2">
        <v>9.6168119999999995</v>
      </c>
      <c r="AU27" s="1" t="s">
        <v>5</v>
      </c>
      <c r="AV27" s="3">
        <v>1.318182</v>
      </c>
      <c r="AW27" s="3">
        <v>10.6</v>
      </c>
      <c r="AX27" s="2">
        <v>15.02985</v>
      </c>
      <c r="AY27" s="2">
        <v>4.5605450000000003</v>
      </c>
      <c r="AZ27" s="2">
        <v>7.3291469999999999</v>
      </c>
      <c r="BA27" s="2">
        <v>9.1178299999999997</v>
      </c>
      <c r="BB27" s="2">
        <v>-8.3996060000000003</v>
      </c>
      <c r="BC27" s="3">
        <v>7.4349999999999996</v>
      </c>
      <c r="BD27" s="2">
        <v>23.940829999999998</v>
      </c>
      <c r="BE27" s="3">
        <v>10.18</v>
      </c>
      <c r="BF27" s="2">
        <v>-9.479374</v>
      </c>
      <c r="BG27" s="2">
        <v>71.590900000000005</v>
      </c>
      <c r="BH27" s="2">
        <v>76.041399999999996</v>
      </c>
      <c r="BI27" s="2">
        <v>72.058520000000001</v>
      </c>
      <c r="BJ27" s="2">
        <v>74.183030000000002</v>
      </c>
      <c r="BK27" s="2">
        <v>19</v>
      </c>
      <c r="BL27" s="2">
        <v>12</v>
      </c>
      <c r="BM27" s="4">
        <v>22</v>
      </c>
      <c r="BN27" s="4">
        <v>1</v>
      </c>
      <c r="BO27" s="4">
        <v>3</v>
      </c>
      <c r="BP27" s="4">
        <v>19</v>
      </c>
      <c r="BQ27" s="2">
        <v>4.3478260000000004</v>
      </c>
      <c r="BR27" s="4">
        <v>16</v>
      </c>
      <c r="BS27" s="4">
        <v>0</v>
      </c>
      <c r="BT27" s="4">
        <v>22</v>
      </c>
      <c r="BU27" s="2">
        <v>72.727270000000004</v>
      </c>
      <c r="BV27" s="2">
        <v>7.3512199999999996</v>
      </c>
      <c r="BW27" s="2">
        <v>469.77080000000001</v>
      </c>
      <c r="BX27" s="3">
        <v>0.71512880000000001</v>
      </c>
      <c r="BY27" s="3">
        <v>0.15222930000000001</v>
      </c>
      <c r="BZ27" s="2">
        <v>0.91092899999999999</v>
      </c>
      <c r="CA27" s="3">
        <v>0.15297279999999999</v>
      </c>
      <c r="CB27" s="3">
        <v>0.63200990000000001</v>
      </c>
      <c r="CC27" s="3">
        <v>0.60171600000000003</v>
      </c>
      <c r="CD27" s="2">
        <v>-4.7932620000000004</v>
      </c>
      <c r="CE27" s="3">
        <v>387.21420000000001</v>
      </c>
      <c r="CF27" s="3">
        <v>353.58629999999999</v>
      </c>
      <c r="CG27" s="2">
        <v>-8.6845689999999998</v>
      </c>
      <c r="CH27" s="3">
        <v>10.308949999999999</v>
      </c>
      <c r="CI27" s="2">
        <v>2.823305</v>
      </c>
      <c r="CJ27" s="3">
        <v>513.76390000000004</v>
      </c>
      <c r="CK27" s="3">
        <v>505.18650000000002</v>
      </c>
      <c r="CL27" s="2">
        <v>-1.669532</v>
      </c>
      <c r="CM27" s="3">
        <v>8.6428849999999997</v>
      </c>
      <c r="CN27" s="3">
        <v>9.288824</v>
      </c>
      <c r="CO27" s="3">
        <v>9.1121149999999993</v>
      </c>
      <c r="CP27" s="2">
        <v>6.6194889999999997</v>
      </c>
      <c r="CQ27" s="2">
        <v>-0.79476239999999998</v>
      </c>
      <c r="CR27" s="2">
        <v>1.129103</v>
      </c>
      <c r="CS27" s="2">
        <v>7.4736479999999998</v>
      </c>
      <c r="CT27" s="2">
        <v>6.0367179999999996</v>
      </c>
      <c r="CU27" s="3">
        <v>0.1394503</v>
      </c>
      <c r="CV27" s="2" t="e">
        <v>#N/A</v>
      </c>
      <c r="CW27" s="2" t="e">
        <v>#N/A</v>
      </c>
      <c r="CX27" s="2" t="e">
        <v>#N/A</v>
      </c>
      <c r="CY27" s="2">
        <v>19.323229999999999</v>
      </c>
    </row>
    <row r="28" spans="1:103" ht="15" customHeight="1" x14ac:dyDescent="0.2">
      <c r="A28" s="1">
        <f t="shared" si="0"/>
        <v>22</v>
      </c>
      <c r="B28" s="1" t="s">
        <v>72</v>
      </c>
      <c r="C28" s="1" t="s">
        <v>71</v>
      </c>
      <c r="D28" s="1" t="s">
        <v>8</v>
      </c>
      <c r="E28" s="1" t="s">
        <v>9</v>
      </c>
      <c r="F28" s="2">
        <v>2665.453</v>
      </c>
      <c r="G28" s="2">
        <v>42.757100000000001</v>
      </c>
      <c r="H28" s="2">
        <v>1139.67</v>
      </c>
      <c r="I28" s="3">
        <v>1.004</v>
      </c>
      <c r="J28" s="3">
        <v>0</v>
      </c>
      <c r="K28" s="2">
        <v>4.9800800000000001</v>
      </c>
      <c r="L28" s="2">
        <v>8.9641450000000003</v>
      </c>
      <c r="M28" s="2">
        <v>8.3155380000000001</v>
      </c>
      <c r="N28" s="2">
        <v>8.9641450000000003</v>
      </c>
      <c r="O28" s="2">
        <v>10.948090000000001</v>
      </c>
      <c r="P28" s="2">
        <v>5.5777770000000002</v>
      </c>
      <c r="Q28" s="2">
        <v>6.360932</v>
      </c>
      <c r="R28" s="2">
        <v>6.2875230000000002</v>
      </c>
      <c r="S28" s="2" t="e">
        <v>#N/A</v>
      </c>
      <c r="T28" s="2" t="e">
        <v>#N/A</v>
      </c>
      <c r="U28" s="2" t="e">
        <v>#N/A</v>
      </c>
      <c r="V28" s="2" t="e">
        <v>#N/A</v>
      </c>
      <c r="W28" s="2">
        <v>0.40160000000000001</v>
      </c>
      <c r="X28" s="2">
        <v>0.38615379999999999</v>
      </c>
      <c r="Y28" s="2">
        <v>0.37185180000000001</v>
      </c>
      <c r="Z28" s="2">
        <v>0.36376809999999998</v>
      </c>
      <c r="AA28" s="2" t="e">
        <v>#N/A</v>
      </c>
      <c r="AB28" s="2" t="e">
        <v>#N/A</v>
      </c>
      <c r="AC28" s="2" t="e">
        <v>#N/A</v>
      </c>
      <c r="AD28" s="2" t="e">
        <v>#N/A</v>
      </c>
      <c r="AE28" s="2" t="e">
        <v>#N/A</v>
      </c>
      <c r="AF28" s="2" t="e">
        <v>#N/A</v>
      </c>
      <c r="AG28" s="2" t="e">
        <v>#N/A</v>
      </c>
      <c r="AH28" s="2" t="e">
        <v>#N/A</v>
      </c>
      <c r="AI28" s="2" t="e">
        <v>#N/A</v>
      </c>
      <c r="AJ28" s="2" t="e">
        <v>#N/A</v>
      </c>
      <c r="AK28" s="3">
        <v>0.21732019999999999</v>
      </c>
      <c r="AL28" s="3">
        <v>0.24370339999999999</v>
      </c>
      <c r="AM28" s="2" t="e">
        <v>#N/A</v>
      </c>
      <c r="AN28" s="2" t="e">
        <v>#N/A</v>
      </c>
      <c r="AO28" s="2" t="e">
        <v>#N/A</v>
      </c>
      <c r="AP28" s="2" t="e">
        <v>#N/A</v>
      </c>
      <c r="AQ28" s="2" t="e">
        <v>#N/A</v>
      </c>
      <c r="AR28" s="2" t="e">
        <v>#N/A</v>
      </c>
      <c r="AS28" s="2" t="e">
        <v>#N/A</v>
      </c>
      <c r="AT28" s="2" t="e">
        <v>#N/A</v>
      </c>
      <c r="AU28" s="1" t="s">
        <v>34</v>
      </c>
      <c r="AV28" s="3">
        <v>1.625</v>
      </c>
      <c r="AW28" s="3">
        <v>1.24</v>
      </c>
      <c r="AX28" s="2">
        <v>23.505990000000001</v>
      </c>
      <c r="AY28" s="2">
        <v>6.9230770000000001</v>
      </c>
      <c r="AZ28" s="2">
        <v>26.091920000000002</v>
      </c>
      <c r="BA28" s="2">
        <v>-7.8053290000000004</v>
      </c>
      <c r="BB28" s="2">
        <v>12.80899</v>
      </c>
      <c r="BC28" s="3">
        <v>0.83350000000000002</v>
      </c>
      <c r="BD28" s="2">
        <v>20.4559</v>
      </c>
      <c r="BE28" s="3">
        <v>1.105</v>
      </c>
      <c r="BF28" s="2">
        <v>-9.1402769999999993</v>
      </c>
      <c r="BG28" s="2">
        <v>52.977820000000001</v>
      </c>
      <c r="BH28" s="2">
        <v>50.4161</v>
      </c>
      <c r="BI28" s="2">
        <v>53.126779999999997</v>
      </c>
      <c r="BJ28" s="2">
        <v>53.405529999999999</v>
      </c>
      <c r="BK28" s="2">
        <v>16</v>
      </c>
      <c r="BL28" s="2">
        <v>12</v>
      </c>
      <c r="BM28" s="4">
        <v>16</v>
      </c>
      <c r="BN28" s="4">
        <v>1</v>
      </c>
      <c r="BO28" s="4">
        <v>2</v>
      </c>
      <c r="BP28" s="4">
        <v>13</v>
      </c>
      <c r="BQ28" s="2">
        <v>6.25</v>
      </c>
      <c r="BR28" s="4">
        <v>7</v>
      </c>
      <c r="BS28" s="4">
        <v>1</v>
      </c>
      <c r="BT28" s="4">
        <v>16</v>
      </c>
      <c r="BU28" s="2">
        <v>43.75</v>
      </c>
      <c r="BV28" s="2">
        <v>8.8046199999999999</v>
      </c>
      <c r="BW28" s="2">
        <v>2654.8330000000001</v>
      </c>
      <c r="BX28" s="3">
        <v>7.9962989999999996</v>
      </c>
      <c r="BY28" s="3">
        <v>0.30119780000000002</v>
      </c>
      <c r="BZ28" s="2">
        <v>0.803311</v>
      </c>
      <c r="CA28" s="3">
        <v>0.30267899999999998</v>
      </c>
      <c r="CB28" s="3">
        <v>0.16844680000000001</v>
      </c>
      <c r="CC28" s="3">
        <v>0.177063</v>
      </c>
      <c r="CD28" s="2">
        <v>5.115056</v>
      </c>
      <c r="CE28" s="3">
        <v>967.63170000000002</v>
      </c>
      <c r="CF28" s="3">
        <v>970.25829999999996</v>
      </c>
      <c r="CG28" s="2">
        <v>0.27145150000000001</v>
      </c>
      <c r="CH28" s="3">
        <v>1.3618749999999999</v>
      </c>
      <c r="CI28" s="2">
        <v>-8.9490649999999992</v>
      </c>
      <c r="CJ28" s="3">
        <v>1858.528</v>
      </c>
      <c r="CK28" s="3">
        <v>1878.895</v>
      </c>
      <c r="CL28" s="2">
        <v>1.0958429999999999</v>
      </c>
      <c r="CM28" s="3">
        <v>0.97361679999999995</v>
      </c>
      <c r="CN28" s="3">
        <v>0.93098020000000004</v>
      </c>
      <c r="CO28" s="3">
        <v>0.96698090000000003</v>
      </c>
      <c r="CP28" s="2">
        <v>3.1206489999999998</v>
      </c>
      <c r="CQ28" s="2">
        <v>7.8433159999999997</v>
      </c>
      <c r="CR28" s="2">
        <v>3.8283109999999998</v>
      </c>
      <c r="CS28" s="2">
        <v>-4.3791950000000002</v>
      </c>
      <c r="CT28" s="2">
        <v>6.8270999999999997</v>
      </c>
      <c r="CU28" s="3">
        <v>0.25613279999999999</v>
      </c>
      <c r="CV28" s="2">
        <v>-150</v>
      </c>
      <c r="CW28" s="2">
        <v>6.0121520000000004</v>
      </c>
      <c r="CX28" s="2">
        <v>13.399089999999999</v>
      </c>
      <c r="CY28" s="2">
        <v>19.343440000000001</v>
      </c>
    </row>
    <row r="29" spans="1:103" ht="15" customHeight="1" x14ac:dyDescent="0.2">
      <c r="A29" s="1">
        <f t="shared" si="0"/>
        <v>23</v>
      </c>
      <c r="B29" s="1" t="s">
        <v>74</v>
      </c>
      <c r="C29" s="1" t="s">
        <v>73</v>
      </c>
      <c r="D29" s="1" t="s">
        <v>75</v>
      </c>
      <c r="E29" s="1" t="s">
        <v>76</v>
      </c>
      <c r="F29" s="2">
        <v>20851.2</v>
      </c>
      <c r="G29" s="2" t="e">
        <v>#N/A</v>
      </c>
      <c r="H29" s="2" t="e">
        <v>#N/A</v>
      </c>
      <c r="I29" s="3">
        <v>24.45</v>
      </c>
      <c r="J29" s="3">
        <v>0</v>
      </c>
      <c r="K29" s="2">
        <v>1.9001950000000001</v>
      </c>
      <c r="L29" s="2">
        <v>1.8958790000000001</v>
      </c>
      <c r="M29" s="2">
        <v>2.0565500000000001</v>
      </c>
      <c r="N29" s="2">
        <v>2.3231099999999998</v>
      </c>
      <c r="O29" s="2">
        <v>24.140450000000001</v>
      </c>
      <c r="P29" s="2">
        <v>5.9926469999999998</v>
      </c>
      <c r="Q29" s="2">
        <v>5.0782309999999997</v>
      </c>
      <c r="R29" s="2">
        <v>4.6191779999999998</v>
      </c>
      <c r="S29" s="2">
        <v>3.5019710000000002</v>
      </c>
      <c r="T29" s="2">
        <v>3.664876</v>
      </c>
      <c r="U29" s="2">
        <v>3.2844799999999998</v>
      </c>
      <c r="V29" s="2">
        <v>2.9335680000000002</v>
      </c>
      <c r="W29" s="2">
        <v>0.41059669999999998</v>
      </c>
      <c r="X29" s="2">
        <v>0.37333690000000003</v>
      </c>
      <c r="Y29" s="2">
        <v>0.34039269999999999</v>
      </c>
      <c r="Z29" s="2">
        <v>0.32847539999999997</v>
      </c>
      <c r="AA29" s="2">
        <v>3.1993960000000001</v>
      </c>
      <c r="AB29" s="2">
        <v>3.4547780000000001</v>
      </c>
      <c r="AC29" s="2">
        <v>3.142217</v>
      </c>
      <c r="AD29" s="2">
        <v>2.7013020000000001</v>
      </c>
      <c r="AE29" s="2">
        <v>6.1974530000000003</v>
      </c>
      <c r="AF29" s="2">
        <v>6.1762889999999997</v>
      </c>
      <c r="AG29" s="2">
        <v>10.084809999999999</v>
      </c>
      <c r="AH29" s="2">
        <v>7.1500469999999998</v>
      </c>
      <c r="AI29" s="2">
        <v>6.9945360000000001</v>
      </c>
      <c r="AJ29" s="2">
        <v>10.98732</v>
      </c>
      <c r="AK29" s="3">
        <v>0.34984929999999997</v>
      </c>
      <c r="AL29" s="3">
        <v>0.294798</v>
      </c>
      <c r="AM29" s="2">
        <v>11.069940000000001</v>
      </c>
      <c r="AN29" s="2">
        <v>10.93064</v>
      </c>
      <c r="AO29" s="2">
        <v>11.97124</v>
      </c>
      <c r="AP29" s="2">
        <v>13.1907</v>
      </c>
      <c r="AQ29" s="2">
        <v>0.38416790000000001</v>
      </c>
      <c r="AR29" s="2">
        <v>0.48809730000000001</v>
      </c>
      <c r="AS29" s="2">
        <v>0.38409389999999999</v>
      </c>
      <c r="AT29" s="2">
        <v>0.24087720000000001</v>
      </c>
      <c r="AU29" s="1" t="s">
        <v>5</v>
      </c>
      <c r="AV29" s="3">
        <v>1.266667</v>
      </c>
      <c r="AW29" s="3">
        <v>31</v>
      </c>
      <c r="AX29" s="2">
        <v>26.789370000000002</v>
      </c>
      <c r="AY29" s="2">
        <v>6.2299160000000002</v>
      </c>
      <c r="AZ29" s="2">
        <v>17.313800000000001</v>
      </c>
      <c r="BA29" s="2">
        <v>-11.05856</v>
      </c>
      <c r="BB29" s="2">
        <v>-4.7340749999999998</v>
      </c>
      <c r="BC29" s="3">
        <v>19.920000000000002</v>
      </c>
      <c r="BD29" s="2">
        <v>22.740970000000001</v>
      </c>
      <c r="BE29" s="3">
        <v>27.934999999999999</v>
      </c>
      <c r="BF29" s="2">
        <v>-12.475379999999999</v>
      </c>
      <c r="BG29" s="2">
        <v>44.078890000000001</v>
      </c>
      <c r="BH29" s="2">
        <v>12.18967</v>
      </c>
      <c r="BI29" s="2">
        <v>10.989459999999999</v>
      </c>
      <c r="BJ29" s="2">
        <v>9.9951050000000006</v>
      </c>
      <c r="BK29" s="2">
        <v>13</v>
      </c>
      <c r="BL29" s="2">
        <v>11</v>
      </c>
      <c r="BM29" s="4">
        <v>15</v>
      </c>
      <c r="BN29" s="4">
        <v>2</v>
      </c>
      <c r="BO29" s="4">
        <v>0</v>
      </c>
      <c r="BP29" s="4">
        <v>15</v>
      </c>
      <c r="BQ29" s="2">
        <v>11.764710000000001</v>
      </c>
      <c r="BR29" s="4">
        <v>11</v>
      </c>
      <c r="BS29" s="4">
        <v>0</v>
      </c>
      <c r="BT29" s="4">
        <v>15</v>
      </c>
      <c r="BU29" s="2">
        <v>73.333340000000007</v>
      </c>
      <c r="BV29" s="2">
        <v>11.195600000000001</v>
      </c>
      <c r="BW29" s="2">
        <v>852.8098</v>
      </c>
      <c r="BX29" s="3">
        <v>0.2310123</v>
      </c>
      <c r="BY29" s="3">
        <v>2.7088370000000001E-2</v>
      </c>
      <c r="BZ29" s="2">
        <v>1.85463</v>
      </c>
      <c r="CA29" s="3">
        <v>2.7151060000000001E-2</v>
      </c>
      <c r="CB29" s="3">
        <v>3.8618459999999999</v>
      </c>
      <c r="CC29" s="3">
        <v>4.0365039999999999</v>
      </c>
      <c r="CD29" s="2">
        <v>4.5226689999999996</v>
      </c>
      <c r="CE29" s="3">
        <v>4301.9949999999999</v>
      </c>
      <c r="CF29" s="3">
        <v>4324.0889999999999</v>
      </c>
      <c r="CG29" s="2">
        <v>0.51356550000000001</v>
      </c>
      <c r="CH29" s="3">
        <v>31.082850000000001</v>
      </c>
      <c r="CI29" s="2">
        <v>-0.26655200000000001</v>
      </c>
      <c r="CJ29" s="3">
        <v>62074.14</v>
      </c>
      <c r="CK29" s="3">
        <v>59782.04</v>
      </c>
      <c r="CL29" s="2">
        <v>-3.69252</v>
      </c>
      <c r="CM29" s="3">
        <v>24.1035</v>
      </c>
      <c r="CN29" s="3">
        <v>24.792539999999999</v>
      </c>
      <c r="CO29" s="3">
        <v>24.606159999999999</v>
      </c>
      <c r="CP29" s="2">
        <v>1.4375329999999999</v>
      </c>
      <c r="CQ29" s="2">
        <v>-1.381618</v>
      </c>
      <c r="CR29" s="2">
        <v>-0.63462260000000004</v>
      </c>
      <c r="CS29" s="2">
        <v>2.8586510000000001</v>
      </c>
      <c r="CT29" s="2">
        <v>5.3082149999999997</v>
      </c>
      <c r="CU29" s="3">
        <v>2.54576E-2</v>
      </c>
      <c r="CV29" s="2">
        <v>-60.867530000000002</v>
      </c>
      <c r="CW29" s="2">
        <v>-4.6895049999999996</v>
      </c>
      <c r="CX29" s="2" t="e">
        <v>#N/A</v>
      </c>
      <c r="CY29" s="2">
        <v>19.642109999999999</v>
      </c>
    </row>
    <row r="30" spans="1:103" ht="15" customHeight="1" x14ac:dyDescent="0.2">
      <c r="A30" s="1">
        <f t="shared" si="0"/>
        <v>24</v>
      </c>
      <c r="B30" s="1" t="s">
        <v>78</v>
      </c>
      <c r="C30" s="1" t="s">
        <v>77</v>
      </c>
      <c r="D30" s="1" t="s">
        <v>75</v>
      </c>
      <c r="E30" s="1" t="s">
        <v>76</v>
      </c>
      <c r="F30" s="2">
        <v>2389.63</v>
      </c>
      <c r="G30" s="2">
        <v>67.235299999999995</v>
      </c>
      <c r="H30" s="2">
        <v>1606.675</v>
      </c>
      <c r="I30" s="3">
        <v>9.5839999999999996</v>
      </c>
      <c r="J30" s="3">
        <v>0</v>
      </c>
      <c r="K30" s="2">
        <v>6.4691159999999996</v>
      </c>
      <c r="L30" s="2">
        <v>6.4691159999999996</v>
      </c>
      <c r="M30" s="2">
        <v>6.4691159999999996</v>
      </c>
      <c r="N30" s="2">
        <v>6.4691159999999996</v>
      </c>
      <c r="O30" s="2">
        <v>10.417389999999999</v>
      </c>
      <c r="P30" s="2">
        <v>7.1522379999999997</v>
      </c>
      <c r="Q30" s="2">
        <v>6.3893329999999997</v>
      </c>
      <c r="R30" s="2">
        <v>7.268866</v>
      </c>
      <c r="S30" s="2">
        <v>4.2642540000000002</v>
      </c>
      <c r="T30" s="2">
        <v>4.0359129999999999</v>
      </c>
      <c r="U30" s="2">
        <v>3.5616210000000001</v>
      </c>
      <c r="V30" s="2">
        <v>3.862975</v>
      </c>
      <c r="W30" s="2">
        <v>0.99008260000000003</v>
      </c>
      <c r="X30" s="2">
        <v>0.93229569999999995</v>
      </c>
      <c r="Y30" s="2">
        <v>0.79295300000000002</v>
      </c>
      <c r="Z30" s="2">
        <v>0.81914529999999997</v>
      </c>
      <c r="AA30" s="2">
        <v>4.9632110000000003</v>
      </c>
      <c r="AB30" s="2">
        <v>5.1526880000000004</v>
      </c>
      <c r="AC30" s="2">
        <v>4.6299510000000001</v>
      </c>
      <c r="AD30" s="2">
        <v>4.297758</v>
      </c>
      <c r="AE30" s="2">
        <v>10.814220000000001</v>
      </c>
      <c r="AF30" s="2">
        <v>12.706810000000001</v>
      </c>
      <c r="AG30" s="2">
        <v>10.86706</v>
      </c>
      <c r="AH30" s="2">
        <v>12.017989999999999</v>
      </c>
      <c r="AI30" s="2">
        <v>13.560219999999999</v>
      </c>
      <c r="AJ30" s="2">
        <v>12.226789999999999</v>
      </c>
      <c r="AK30" s="3">
        <v>0.919377</v>
      </c>
      <c r="AL30" s="3">
        <v>0.79396350000000004</v>
      </c>
      <c r="AM30" s="2">
        <v>10.63862</v>
      </c>
      <c r="AN30" s="2">
        <v>10.16342</v>
      </c>
      <c r="AO30" s="2">
        <v>10.55424</v>
      </c>
      <c r="AP30" s="2">
        <v>9.9981430000000007</v>
      </c>
      <c r="AQ30" s="2">
        <v>0.4852091</v>
      </c>
      <c r="AR30" s="2">
        <v>0.40425529999999998</v>
      </c>
      <c r="AS30" s="2">
        <v>0.22414880000000001</v>
      </c>
      <c r="AT30" s="2">
        <v>0.42959770000000003</v>
      </c>
      <c r="AU30" s="1" t="s">
        <v>5</v>
      </c>
      <c r="AV30" s="3">
        <v>1.25</v>
      </c>
      <c r="AW30" s="3">
        <v>13.7</v>
      </c>
      <c r="AX30" s="2">
        <v>42.946579999999997</v>
      </c>
      <c r="AY30" s="2">
        <v>13.035019999999999</v>
      </c>
      <c r="AZ30" s="2">
        <v>7.9019750000000002</v>
      </c>
      <c r="BA30" s="2">
        <v>-1.1551199999999999</v>
      </c>
      <c r="BB30" s="2">
        <v>-10.05162</v>
      </c>
      <c r="BC30" s="3">
        <v>8.67</v>
      </c>
      <c r="BD30" s="2">
        <v>10.5421</v>
      </c>
      <c r="BE30" s="3">
        <v>10.81</v>
      </c>
      <c r="BF30" s="2">
        <v>-11.34136</v>
      </c>
      <c r="BG30" s="2">
        <v>52.652720000000002</v>
      </c>
      <c r="BH30" s="2">
        <v>45.934019999999997</v>
      </c>
      <c r="BI30" s="2">
        <v>45.275219999999997</v>
      </c>
      <c r="BJ30" s="2">
        <v>46.293819999999997</v>
      </c>
      <c r="BK30" s="2">
        <v>13</v>
      </c>
      <c r="BL30" s="2">
        <v>13</v>
      </c>
      <c r="BM30" s="4">
        <v>16</v>
      </c>
      <c r="BN30" s="4">
        <v>0</v>
      </c>
      <c r="BO30" s="4">
        <v>0</v>
      </c>
      <c r="BP30" s="4">
        <v>16</v>
      </c>
      <c r="BQ30" s="2">
        <v>0</v>
      </c>
      <c r="BR30" s="4">
        <v>14</v>
      </c>
      <c r="BS30" s="4">
        <v>1</v>
      </c>
      <c r="BT30" s="4">
        <v>16</v>
      </c>
      <c r="BU30" s="2">
        <v>87.5</v>
      </c>
      <c r="BV30" s="2">
        <v>9.0959599999999998</v>
      </c>
      <c r="BW30" s="2">
        <v>249.33539999999999</v>
      </c>
      <c r="BX30" s="3">
        <v>0.78840319999999997</v>
      </c>
      <c r="BY30" s="3">
        <v>0.31620189999999998</v>
      </c>
      <c r="BZ30" s="2">
        <v>1.4833799999999999</v>
      </c>
      <c r="CA30" s="3">
        <v>0.3177507</v>
      </c>
      <c r="CB30" s="3">
        <v>1.368968</v>
      </c>
      <c r="CC30" s="3">
        <v>1.319221</v>
      </c>
      <c r="CD30" s="2">
        <v>-3.6338870000000001</v>
      </c>
      <c r="CE30" s="3">
        <v>499.94490000000002</v>
      </c>
      <c r="CF30" s="3">
        <v>490.2355</v>
      </c>
      <c r="CG30" s="2">
        <v>-1.942086</v>
      </c>
      <c r="CH30" s="3">
        <v>13.53412</v>
      </c>
      <c r="CI30" s="2">
        <v>1.225662</v>
      </c>
      <c r="CJ30" s="3">
        <v>6633.5910000000003</v>
      </c>
      <c r="CK30" s="3">
        <v>6452.3770000000004</v>
      </c>
      <c r="CL30" s="2">
        <v>-2.7317520000000002</v>
      </c>
      <c r="CM30" s="3">
        <v>9.7488159999999997</v>
      </c>
      <c r="CN30" s="3">
        <v>10.05978</v>
      </c>
      <c r="CO30" s="3">
        <v>10.047689999999999</v>
      </c>
      <c r="CP30" s="2">
        <v>-1.690626</v>
      </c>
      <c r="CQ30" s="2">
        <v>-4.7295749999999996</v>
      </c>
      <c r="CR30" s="2">
        <v>-4.6149250000000004</v>
      </c>
      <c r="CS30" s="2">
        <v>3.1898140000000001</v>
      </c>
      <c r="CT30" s="2">
        <v>8.1753300000000007</v>
      </c>
      <c r="CU30" s="3">
        <v>0.3421169</v>
      </c>
      <c r="CV30" s="2">
        <v>-335.37990000000002</v>
      </c>
      <c r="CW30" s="2">
        <v>4.4646759999999999</v>
      </c>
      <c r="CX30" s="2">
        <v>-228.68090000000001</v>
      </c>
      <c r="CY30" s="2">
        <v>19.91919</v>
      </c>
    </row>
    <row r="31" spans="1:103" ht="15" customHeight="1" x14ac:dyDescent="0.2">
      <c r="A31" s="1">
        <f t="shared" si="0"/>
        <v>25</v>
      </c>
      <c r="B31" s="1" t="s">
        <v>80</v>
      </c>
      <c r="C31" s="1" t="s">
        <v>79</v>
      </c>
      <c r="D31" s="1" t="s">
        <v>81</v>
      </c>
      <c r="E31" s="1" t="s">
        <v>82</v>
      </c>
      <c r="F31" s="2">
        <v>4261.4229999999998</v>
      </c>
      <c r="G31" s="2">
        <v>43.299700000000001</v>
      </c>
      <c r="H31" s="2">
        <v>1845.183</v>
      </c>
      <c r="I31" s="3">
        <v>22.18</v>
      </c>
      <c r="J31" s="3">
        <v>0</v>
      </c>
      <c r="K31" s="2">
        <v>2.4797120000000001</v>
      </c>
      <c r="L31" s="2">
        <v>2.5698829999999999</v>
      </c>
      <c r="M31" s="2">
        <v>3.1305990000000001</v>
      </c>
      <c r="N31" s="2">
        <v>3.3814250000000001</v>
      </c>
      <c r="O31" s="2">
        <v>20.163640000000001</v>
      </c>
      <c r="P31" s="2">
        <v>23.03219</v>
      </c>
      <c r="Q31" s="2">
        <v>17.334900000000001</v>
      </c>
      <c r="R31" s="2">
        <v>15.207409999999999</v>
      </c>
      <c r="S31" s="2">
        <v>10.772209999999999</v>
      </c>
      <c r="T31" s="2">
        <v>11.57963</v>
      </c>
      <c r="U31" s="2">
        <v>10.30721</v>
      </c>
      <c r="V31" s="2">
        <v>9.3939059999999994</v>
      </c>
      <c r="W31" s="2">
        <v>2.678744</v>
      </c>
      <c r="X31" s="2">
        <v>2.556988</v>
      </c>
      <c r="Y31" s="2">
        <v>2.4373629999999999</v>
      </c>
      <c r="Z31" s="2">
        <v>2.376004</v>
      </c>
      <c r="AA31" s="2">
        <v>12.96054</v>
      </c>
      <c r="AB31" s="2">
        <v>14.28167</v>
      </c>
      <c r="AC31" s="2">
        <v>12.602259999999999</v>
      </c>
      <c r="AD31" s="2">
        <v>13.24822</v>
      </c>
      <c r="AE31" s="2">
        <v>4.1501260000000002</v>
      </c>
      <c r="AF31" s="2">
        <v>4.7340179999999998</v>
      </c>
      <c r="AG31" s="2">
        <v>5.7191340000000004</v>
      </c>
      <c r="AH31" s="2">
        <v>5.1931529999999997</v>
      </c>
      <c r="AI31" s="2">
        <v>5.7881220000000004</v>
      </c>
      <c r="AJ31" s="2">
        <v>6.8451310000000003</v>
      </c>
      <c r="AK31" s="3">
        <v>1.4776229999999999</v>
      </c>
      <c r="AL31" s="3">
        <v>1.2117309999999999</v>
      </c>
      <c r="AM31" s="2">
        <v>21.696729999999999</v>
      </c>
      <c r="AN31" s="2">
        <v>22.18112</v>
      </c>
      <c r="AO31" s="2">
        <v>23.25207</v>
      </c>
      <c r="AP31" s="2">
        <v>23.524699999999999</v>
      </c>
      <c r="AQ31" s="2">
        <v>2.6337079999999999</v>
      </c>
      <c r="AR31" s="2">
        <v>2.3257330000000001</v>
      </c>
      <c r="AS31" s="2">
        <v>1.8770979999999999</v>
      </c>
      <c r="AT31" s="2">
        <v>1.5452619999999999</v>
      </c>
      <c r="AU31" s="1" t="s">
        <v>34</v>
      </c>
      <c r="AV31" s="3">
        <v>1.875</v>
      </c>
      <c r="AW31" s="3">
        <v>22</v>
      </c>
      <c r="AX31" s="2">
        <v>-0.81154110000000002</v>
      </c>
      <c r="AY31" s="2">
        <v>11.101800000000001</v>
      </c>
      <c r="AZ31" s="2">
        <v>14.96284</v>
      </c>
      <c r="BA31" s="2">
        <v>33.13326</v>
      </c>
      <c r="BB31" s="2">
        <v>17.665780000000002</v>
      </c>
      <c r="BC31" s="3">
        <v>14.52</v>
      </c>
      <c r="BD31" s="2">
        <v>52.754820000000002</v>
      </c>
      <c r="BE31" s="3">
        <v>22.66</v>
      </c>
      <c r="BF31" s="2">
        <v>-2.1182660000000002</v>
      </c>
      <c r="BG31" s="2">
        <v>53.015549999999998</v>
      </c>
      <c r="BH31" s="2">
        <v>53.058199999999999</v>
      </c>
      <c r="BI31" s="2">
        <v>53.000950000000003</v>
      </c>
      <c r="BJ31" s="2">
        <v>51.406190000000002</v>
      </c>
      <c r="BK31" s="2">
        <v>15</v>
      </c>
      <c r="BL31" s="2">
        <v>14</v>
      </c>
      <c r="BM31" s="4">
        <v>16</v>
      </c>
      <c r="BN31" s="4">
        <v>0</v>
      </c>
      <c r="BO31" s="4">
        <v>0</v>
      </c>
      <c r="BP31" s="4">
        <v>14</v>
      </c>
      <c r="BQ31" s="2">
        <v>0</v>
      </c>
      <c r="BR31" s="4">
        <v>5</v>
      </c>
      <c r="BS31" s="4">
        <v>3</v>
      </c>
      <c r="BT31" s="4">
        <v>16</v>
      </c>
      <c r="BU31" s="2">
        <v>31.25</v>
      </c>
      <c r="BV31" s="2">
        <v>9.0756300000000003</v>
      </c>
      <c r="BW31" s="2">
        <v>192.12909999999999</v>
      </c>
      <c r="BX31" s="3">
        <v>0.44264540000000002</v>
      </c>
      <c r="BY31" s="3">
        <v>0.2303896</v>
      </c>
      <c r="BZ31" s="2">
        <v>0.95141799999999999</v>
      </c>
      <c r="CA31" s="3">
        <v>0.23249</v>
      </c>
      <c r="CB31" s="3">
        <v>1.049823</v>
      </c>
      <c r="CC31" s="3">
        <v>1.0031920000000001</v>
      </c>
      <c r="CD31" s="2">
        <v>-4.4418629999999997</v>
      </c>
      <c r="CE31" s="3">
        <v>309.72190000000001</v>
      </c>
      <c r="CF31" s="3">
        <v>311.62299999999999</v>
      </c>
      <c r="CG31" s="2">
        <v>0.61380860000000004</v>
      </c>
      <c r="CH31" s="3">
        <v>20.204999999999998</v>
      </c>
      <c r="CI31" s="2">
        <v>8.8839419999999993</v>
      </c>
      <c r="CJ31" s="3">
        <v>2095.1260000000002</v>
      </c>
      <c r="CK31" s="3">
        <v>2074.3029999999999</v>
      </c>
      <c r="CL31" s="2">
        <v>-0.99388960000000004</v>
      </c>
      <c r="CM31" s="3">
        <v>19.044530000000002</v>
      </c>
      <c r="CN31" s="3">
        <v>20.3049</v>
      </c>
      <c r="CO31" s="3">
        <v>21.248840000000001</v>
      </c>
      <c r="CP31" s="2">
        <v>16.46387</v>
      </c>
      <c r="CQ31" s="2">
        <v>9.2347149999999996</v>
      </c>
      <c r="CR31" s="2">
        <v>4.3821450000000004</v>
      </c>
      <c r="CS31" s="2">
        <v>6.6180110000000001</v>
      </c>
      <c r="CT31" s="2">
        <v>6.7416020000000003</v>
      </c>
      <c r="CU31" s="3">
        <v>0.1582007</v>
      </c>
      <c r="CV31" s="2" t="e">
        <v>#N/A</v>
      </c>
      <c r="CW31" s="2">
        <v>3.8104520000000002</v>
      </c>
      <c r="CX31" s="2">
        <v>-26.91968</v>
      </c>
      <c r="CY31" s="2">
        <v>20.19192</v>
      </c>
    </row>
    <row r="32" spans="1:103" ht="15" customHeight="1" x14ac:dyDescent="0.2">
      <c r="A32" s="1">
        <f t="shared" si="0"/>
        <v>26</v>
      </c>
      <c r="B32" s="1" t="s">
        <v>84</v>
      </c>
      <c r="C32" s="1" t="s">
        <v>83</v>
      </c>
      <c r="D32" s="1" t="s">
        <v>64</v>
      </c>
      <c r="E32" s="1" t="s">
        <v>85</v>
      </c>
      <c r="F32" s="2">
        <v>69564.33</v>
      </c>
      <c r="G32" s="2">
        <v>98.39</v>
      </c>
      <c r="H32" s="2">
        <v>68444.34</v>
      </c>
      <c r="I32" s="3">
        <v>10.83</v>
      </c>
      <c r="J32" s="3">
        <v>0</v>
      </c>
      <c r="K32" s="2">
        <v>5.0784859999999998</v>
      </c>
      <c r="L32" s="2">
        <v>5.2631579999999998</v>
      </c>
      <c r="M32" s="2">
        <v>5.4478299999999997</v>
      </c>
      <c r="N32" s="2">
        <v>5.7248380000000001</v>
      </c>
      <c r="O32" s="2">
        <v>14.319470000000001</v>
      </c>
      <c r="P32" s="2">
        <v>13.88462</v>
      </c>
      <c r="Q32" s="2">
        <v>13.207319999999999</v>
      </c>
      <c r="R32" s="2">
        <v>12.67408</v>
      </c>
      <c r="S32" s="2">
        <v>8.546087</v>
      </c>
      <c r="T32" s="2">
        <v>7.8436490000000001</v>
      </c>
      <c r="U32" s="2">
        <v>7.6658119999999998</v>
      </c>
      <c r="V32" s="2">
        <v>7.5068469999999996</v>
      </c>
      <c r="W32" s="2">
        <v>1.567294</v>
      </c>
      <c r="X32" s="2">
        <v>1.4937929999999999</v>
      </c>
      <c r="Y32" s="2">
        <v>1.4064939999999999</v>
      </c>
      <c r="Z32" s="2">
        <v>1.3196330000000001</v>
      </c>
      <c r="AA32" s="2">
        <v>6.2726480000000002</v>
      </c>
      <c r="AB32" s="2">
        <v>6.05342</v>
      </c>
      <c r="AC32" s="2">
        <v>5.8127180000000003</v>
      </c>
      <c r="AD32" s="2">
        <v>5.5014089999999998</v>
      </c>
      <c r="AE32" s="2">
        <v>0.50933360000000005</v>
      </c>
      <c r="AF32" s="2">
        <v>-0.22895599999999999</v>
      </c>
      <c r="AG32" s="2">
        <v>0.83497639999999995</v>
      </c>
      <c r="AH32" s="2">
        <v>0.85353429999999997</v>
      </c>
      <c r="AI32" s="2">
        <v>-0.39384599999999997</v>
      </c>
      <c r="AJ32" s="2">
        <v>1.465095</v>
      </c>
      <c r="AK32" s="3">
        <v>2.5005639999999998</v>
      </c>
      <c r="AL32" s="3">
        <v>2.4024939999999999</v>
      </c>
      <c r="AM32" s="2">
        <v>29.222919999999998</v>
      </c>
      <c r="AN32" s="2">
        <v>30.48949</v>
      </c>
      <c r="AO32" s="2">
        <v>31.464939999999999</v>
      </c>
      <c r="AP32" s="2">
        <v>31.472349999999999</v>
      </c>
      <c r="AQ32" s="2">
        <v>3.3177270000000001</v>
      </c>
      <c r="AR32" s="2">
        <v>3.1630720000000001</v>
      </c>
      <c r="AS32" s="2">
        <v>3.2094170000000002</v>
      </c>
      <c r="AT32" s="2">
        <v>3.2285979999999999</v>
      </c>
      <c r="AU32" s="1" t="s">
        <v>10</v>
      </c>
      <c r="AV32" s="3">
        <v>1.54</v>
      </c>
      <c r="AW32" s="3">
        <v>12.5</v>
      </c>
      <c r="AX32" s="2">
        <v>15.42013</v>
      </c>
      <c r="AY32" s="2">
        <v>10.758620000000001</v>
      </c>
      <c r="AZ32" s="2">
        <v>5.521528</v>
      </c>
      <c r="BA32" s="2">
        <v>-0.27623769999999997</v>
      </c>
      <c r="BB32" s="2">
        <v>-8.7615850000000002</v>
      </c>
      <c r="BC32" s="3">
        <v>9.8819999999999997</v>
      </c>
      <c r="BD32" s="2">
        <v>9.5932010000000005</v>
      </c>
      <c r="BE32" s="3">
        <v>12.244999999999999</v>
      </c>
      <c r="BF32" s="2">
        <v>-11.55574</v>
      </c>
      <c r="BG32" s="2">
        <v>72.192329999999998</v>
      </c>
      <c r="BH32" s="2">
        <v>72.023409999999998</v>
      </c>
      <c r="BI32" s="2">
        <v>72.054310000000001</v>
      </c>
      <c r="BJ32" s="2">
        <v>72.702809999999999</v>
      </c>
      <c r="BK32" s="2">
        <v>20</v>
      </c>
      <c r="BL32" s="2">
        <v>19</v>
      </c>
      <c r="BM32" s="4">
        <v>25</v>
      </c>
      <c r="BN32" s="4">
        <v>0</v>
      </c>
      <c r="BO32" s="4">
        <v>4</v>
      </c>
      <c r="BP32" s="4">
        <v>20</v>
      </c>
      <c r="BQ32" s="2">
        <v>0</v>
      </c>
      <c r="BR32" s="4">
        <v>13</v>
      </c>
      <c r="BS32" s="4">
        <v>1</v>
      </c>
      <c r="BT32" s="4">
        <v>25</v>
      </c>
      <c r="BU32" s="2">
        <v>52</v>
      </c>
      <c r="BV32" s="2">
        <v>6.4331899999999997</v>
      </c>
      <c r="BW32" s="2">
        <v>6423.299</v>
      </c>
      <c r="BX32" s="3">
        <v>10.90723</v>
      </c>
      <c r="BY32" s="3">
        <v>0.16980729999999999</v>
      </c>
      <c r="BZ32" s="2">
        <v>0.78694699999999995</v>
      </c>
      <c r="CA32" s="3">
        <v>0.1700072</v>
      </c>
      <c r="CB32" s="3">
        <v>0.77773150000000002</v>
      </c>
      <c r="CC32" s="3">
        <v>0.78438839999999999</v>
      </c>
      <c r="CD32" s="2">
        <v>0.85593459999999999</v>
      </c>
      <c r="CE32" s="3">
        <v>9579.9040000000005</v>
      </c>
      <c r="CF32" s="3">
        <v>9346.2649999999994</v>
      </c>
      <c r="CG32" s="2">
        <v>-2.4388489999999998</v>
      </c>
      <c r="CH32" s="3">
        <v>12.47</v>
      </c>
      <c r="CI32" s="2">
        <v>0.24057629999999999</v>
      </c>
      <c r="CJ32" s="3">
        <v>55162.9</v>
      </c>
      <c r="CK32" s="3">
        <v>48676.15</v>
      </c>
      <c r="CL32" s="2">
        <v>-11.759259999999999</v>
      </c>
      <c r="CM32" s="3">
        <v>11.094760000000001</v>
      </c>
      <c r="CN32" s="3">
        <v>11.038040000000001</v>
      </c>
      <c r="CO32" s="3">
        <v>10.76404</v>
      </c>
      <c r="CP32" s="2">
        <v>-2.3863669999999999</v>
      </c>
      <c r="CQ32" s="2">
        <v>-1.8847579999999999</v>
      </c>
      <c r="CR32" s="2">
        <v>0.61279539999999999</v>
      </c>
      <c r="CS32" s="2">
        <v>-0.51124689999999995</v>
      </c>
      <c r="CT32" s="2">
        <v>117.5665</v>
      </c>
      <c r="CU32" s="3">
        <v>0.16900399999999999</v>
      </c>
      <c r="CV32" s="2">
        <v>-2.5581529999999999</v>
      </c>
      <c r="CW32" s="2">
        <v>-53.890599999999999</v>
      </c>
      <c r="CX32" s="2">
        <v>0.60549600000000003</v>
      </c>
      <c r="CY32" s="2">
        <v>20.19192</v>
      </c>
    </row>
    <row r="33" spans="1:103" ht="15" customHeight="1" x14ac:dyDescent="0.2">
      <c r="A33" s="1">
        <f t="shared" si="0"/>
        <v>27</v>
      </c>
      <c r="B33" s="1" t="s">
        <v>87</v>
      </c>
      <c r="C33" s="1" t="s">
        <v>86</v>
      </c>
      <c r="D33" s="1" t="s">
        <v>17</v>
      </c>
      <c r="E33" s="1" t="s">
        <v>18</v>
      </c>
      <c r="F33" s="2">
        <v>6171.3739999999998</v>
      </c>
      <c r="G33" s="2">
        <v>43.430500000000002</v>
      </c>
      <c r="H33" s="2">
        <v>2680.259</v>
      </c>
      <c r="I33" s="3">
        <v>112.5</v>
      </c>
      <c r="J33" s="3">
        <v>0</v>
      </c>
      <c r="K33" s="2">
        <v>4.3111110000000004</v>
      </c>
      <c r="L33" s="2">
        <v>4.4088890000000003</v>
      </c>
      <c r="M33" s="2">
        <v>4.5377780000000003</v>
      </c>
      <c r="N33" s="2">
        <v>4.6488889999999996</v>
      </c>
      <c r="O33" s="2">
        <v>13.60338</v>
      </c>
      <c r="P33" s="2">
        <v>13.119529999999999</v>
      </c>
      <c r="Q33" s="2">
        <v>12.486129999999999</v>
      </c>
      <c r="R33" s="2">
        <v>12.45847</v>
      </c>
      <c r="S33" s="2">
        <v>6.9981780000000002</v>
      </c>
      <c r="T33" s="2">
        <v>6.6184120000000002</v>
      </c>
      <c r="U33" s="2">
        <v>6.4178800000000003</v>
      </c>
      <c r="V33" s="2">
        <v>6.0642810000000003</v>
      </c>
      <c r="W33" s="2">
        <v>1.232129</v>
      </c>
      <c r="X33" s="2">
        <v>1.189595</v>
      </c>
      <c r="Y33" s="2">
        <v>1.1070199999999999</v>
      </c>
      <c r="Z33" s="2">
        <v>1.213592</v>
      </c>
      <c r="AA33" s="2">
        <v>5.461392</v>
      </c>
      <c r="AB33" s="2">
        <v>4.4664539999999997</v>
      </c>
      <c r="AC33" s="2">
        <v>4.0828350000000002</v>
      </c>
      <c r="AD33" s="2">
        <v>6.9702609999999998</v>
      </c>
      <c r="AE33" s="2">
        <v>-4.7542</v>
      </c>
      <c r="AF33" s="2">
        <v>-1.9386220000000001</v>
      </c>
      <c r="AG33" s="2">
        <v>-1.0575540000000001</v>
      </c>
      <c r="AH33" s="2">
        <v>-10.96705</v>
      </c>
      <c r="AI33" s="2">
        <v>-4.7731849999999998</v>
      </c>
      <c r="AJ33" s="2">
        <v>-2.6250230000000001</v>
      </c>
      <c r="AK33" s="3" t="e">
        <v>#N/A</v>
      </c>
      <c r="AL33" s="3" t="e">
        <v>#N/A</v>
      </c>
      <c r="AM33" s="2">
        <v>11.63856</v>
      </c>
      <c r="AN33" s="2">
        <v>11.81479</v>
      </c>
      <c r="AO33" s="2">
        <v>12.84671</v>
      </c>
      <c r="AP33" s="2">
        <v>13.591609999999999</v>
      </c>
      <c r="AQ33" s="2">
        <v>3.3069160000000002</v>
      </c>
      <c r="AR33" s="2">
        <v>3.7493400000000001</v>
      </c>
      <c r="AS33" s="2">
        <v>3.8112680000000001</v>
      </c>
      <c r="AT33" s="2">
        <v>3.62114</v>
      </c>
      <c r="AU33" s="1" t="s">
        <v>5</v>
      </c>
      <c r="AV33" s="3">
        <v>1.461538</v>
      </c>
      <c r="AW33" s="3">
        <v>150</v>
      </c>
      <c r="AX33" s="2">
        <v>33.33334</v>
      </c>
      <c r="AY33" s="2">
        <v>9.0673569999999994</v>
      </c>
      <c r="AZ33" s="2" t="e">
        <v>#N/A</v>
      </c>
      <c r="BA33" s="2">
        <v>-36.44068</v>
      </c>
      <c r="BB33" s="2">
        <v>-15.603899999999999</v>
      </c>
      <c r="BC33" s="3">
        <v>99.86</v>
      </c>
      <c r="BD33" s="2">
        <v>12.657730000000001</v>
      </c>
      <c r="BE33" s="3">
        <v>190</v>
      </c>
      <c r="BF33" s="2">
        <v>-40.789470000000001</v>
      </c>
      <c r="BG33" s="2">
        <v>62.662689999999998</v>
      </c>
      <c r="BH33" s="2">
        <v>60.118699999999997</v>
      </c>
      <c r="BI33" s="2">
        <v>56.206380000000003</v>
      </c>
      <c r="BJ33" s="2">
        <v>59.107700000000001</v>
      </c>
      <c r="BK33" s="2">
        <v>12</v>
      </c>
      <c r="BL33" s="2">
        <v>10</v>
      </c>
      <c r="BM33" s="4">
        <v>13</v>
      </c>
      <c r="BN33" s="4">
        <v>1</v>
      </c>
      <c r="BO33" s="4">
        <v>1</v>
      </c>
      <c r="BP33" s="4">
        <v>10</v>
      </c>
      <c r="BQ33" s="2">
        <v>8.3333340000000007</v>
      </c>
      <c r="BR33" s="4">
        <v>8</v>
      </c>
      <c r="BS33" s="4">
        <v>1</v>
      </c>
      <c r="BT33" s="4">
        <v>13</v>
      </c>
      <c r="BU33" s="2">
        <v>61.538460000000001</v>
      </c>
      <c r="BV33" s="2">
        <v>7.6251699999999998</v>
      </c>
      <c r="BW33" s="2">
        <v>54.856650000000002</v>
      </c>
      <c r="BX33" s="3">
        <v>9.4128149999999994E-2</v>
      </c>
      <c r="BY33" s="3">
        <v>0.1715893</v>
      </c>
      <c r="BZ33" s="2">
        <v>0.74684700000000004</v>
      </c>
      <c r="CA33" s="3">
        <v>0.17156660000000001</v>
      </c>
      <c r="CB33" s="3">
        <v>9.4471000000000007</v>
      </c>
      <c r="CC33" s="3">
        <v>7.983511</v>
      </c>
      <c r="CD33" s="2">
        <v>-15.492459999999999</v>
      </c>
      <c r="CE33" s="3">
        <v>1338.8430000000001</v>
      </c>
      <c r="CF33" s="3">
        <v>1129.2180000000001</v>
      </c>
      <c r="CG33" s="2">
        <v>-15.65719</v>
      </c>
      <c r="CH33" s="3">
        <v>168.2722</v>
      </c>
      <c r="CI33" s="2">
        <v>-10.85873</v>
      </c>
      <c r="CJ33" s="3">
        <v>17391.009999999998</v>
      </c>
      <c r="CK33" s="3">
        <v>18069.939999999999</v>
      </c>
      <c r="CL33" s="2">
        <v>3.9039130000000002</v>
      </c>
      <c r="CM33" s="3">
        <v>127.8711</v>
      </c>
      <c r="CN33" s="3">
        <v>115.25490000000001</v>
      </c>
      <c r="CO33" s="3">
        <v>109.3192</v>
      </c>
      <c r="CP33" s="2">
        <v>-12.020799999999999</v>
      </c>
      <c r="CQ33" s="2">
        <v>-2.3902540000000001</v>
      </c>
      <c r="CR33" s="2">
        <v>2.9096009999999999</v>
      </c>
      <c r="CS33" s="2">
        <v>-9.8663749999999997</v>
      </c>
      <c r="CT33" s="2">
        <v>13.65587</v>
      </c>
      <c r="CU33" s="3">
        <v>0.22127759999999999</v>
      </c>
      <c r="CV33" s="2" t="e">
        <v>#N/A</v>
      </c>
      <c r="CW33" s="2" t="e">
        <v>#N/A</v>
      </c>
      <c r="CX33" s="2" t="e">
        <v>#N/A</v>
      </c>
      <c r="CY33" s="2">
        <v>20.343440000000001</v>
      </c>
    </row>
    <row r="34" spans="1:103" ht="15" customHeight="1" x14ac:dyDescent="0.2">
      <c r="A34" s="1">
        <f t="shared" si="0"/>
        <v>28</v>
      </c>
      <c r="B34" s="1" t="s">
        <v>89</v>
      </c>
      <c r="C34" s="1" t="s">
        <v>88</v>
      </c>
      <c r="D34" s="1" t="s">
        <v>8</v>
      </c>
      <c r="E34" s="1" t="s">
        <v>90</v>
      </c>
      <c r="F34" s="2">
        <v>6411.63</v>
      </c>
      <c r="G34" s="2">
        <v>29.560199999999998</v>
      </c>
      <c r="H34" s="2">
        <v>1895.2909999999999</v>
      </c>
      <c r="I34" s="3">
        <v>2.0819999999999999</v>
      </c>
      <c r="J34" s="3">
        <v>0</v>
      </c>
      <c r="K34" s="2">
        <v>7.2046109999999999</v>
      </c>
      <c r="L34" s="2">
        <v>7.2046109999999999</v>
      </c>
      <c r="M34" s="2">
        <v>7.5721319999999999</v>
      </c>
      <c r="N34" s="2">
        <v>7.2286260000000002</v>
      </c>
      <c r="O34" s="2">
        <v>9.4208149999999993</v>
      </c>
      <c r="P34" s="2">
        <v>7.1793110000000002</v>
      </c>
      <c r="Q34" s="2">
        <v>6.94</v>
      </c>
      <c r="R34" s="2">
        <v>7.0576280000000002</v>
      </c>
      <c r="S34" s="2" t="e">
        <v>#N/A</v>
      </c>
      <c r="T34" s="2" t="e">
        <v>#N/A</v>
      </c>
      <c r="U34" s="2" t="e">
        <v>#N/A</v>
      </c>
      <c r="V34" s="2" t="e">
        <v>#N/A</v>
      </c>
      <c r="W34" s="2">
        <v>0.80854369999999998</v>
      </c>
      <c r="X34" s="2">
        <v>0.80495559999999999</v>
      </c>
      <c r="Y34" s="2">
        <v>0.73438639999999999</v>
      </c>
      <c r="Z34" s="2">
        <v>0.75709090000000001</v>
      </c>
      <c r="AA34" s="2" t="e">
        <v>#N/A</v>
      </c>
      <c r="AB34" s="2" t="e">
        <v>#N/A</v>
      </c>
      <c r="AC34" s="2" t="e">
        <v>#N/A</v>
      </c>
      <c r="AD34" s="2" t="e">
        <v>#N/A</v>
      </c>
      <c r="AE34" s="2" t="e">
        <v>#N/A</v>
      </c>
      <c r="AF34" s="2" t="e">
        <v>#N/A</v>
      </c>
      <c r="AG34" s="2" t="e">
        <v>#N/A</v>
      </c>
      <c r="AH34" s="2">
        <v>10.543340000000001</v>
      </c>
      <c r="AI34" s="2">
        <v>11.323169999999999</v>
      </c>
      <c r="AJ34" s="2" t="e">
        <v>#N/A</v>
      </c>
      <c r="AK34" s="3">
        <v>0.55741540000000001</v>
      </c>
      <c r="AL34" s="3">
        <v>0.51996240000000005</v>
      </c>
      <c r="AM34" s="2" t="e">
        <v>#N/A</v>
      </c>
      <c r="AN34" s="2" t="e">
        <v>#N/A</v>
      </c>
      <c r="AO34" s="2" t="e">
        <v>#N/A</v>
      </c>
      <c r="AP34" s="2" t="e">
        <v>#N/A</v>
      </c>
      <c r="AQ34" s="2" t="e">
        <v>#N/A</v>
      </c>
      <c r="AR34" s="2" t="e">
        <v>#N/A</v>
      </c>
      <c r="AS34" s="2" t="e">
        <v>#N/A</v>
      </c>
      <c r="AT34" s="2" t="e">
        <v>#N/A</v>
      </c>
      <c r="AU34" s="1" t="s">
        <v>34</v>
      </c>
      <c r="AV34" s="3">
        <v>1.8636360000000001</v>
      </c>
      <c r="AW34" s="3">
        <v>2.27</v>
      </c>
      <c r="AX34" s="2">
        <v>9.0297809999999998</v>
      </c>
      <c r="AY34" s="2">
        <v>11.212160000000001</v>
      </c>
      <c r="AZ34" s="2">
        <v>12.679930000000001</v>
      </c>
      <c r="BA34" s="2">
        <v>8.8342910000000003</v>
      </c>
      <c r="BB34" s="2">
        <v>7.1538810000000002</v>
      </c>
      <c r="BC34" s="3">
        <v>1.7490000000000001</v>
      </c>
      <c r="BD34" s="2">
        <v>19.039449999999999</v>
      </c>
      <c r="BE34" s="3">
        <v>2.11</v>
      </c>
      <c r="BF34" s="2">
        <v>-1.327008</v>
      </c>
      <c r="BG34" s="2">
        <v>67.557159999999996</v>
      </c>
      <c r="BH34" s="2">
        <v>54.479959999999998</v>
      </c>
      <c r="BI34" s="2">
        <v>53.17313</v>
      </c>
      <c r="BJ34" s="2">
        <v>52.01681</v>
      </c>
      <c r="BK34" s="2">
        <v>11</v>
      </c>
      <c r="BL34" s="2">
        <v>3</v>
      </c>
      <c r="BM34" s="4">
        <v>11</v>
      </c>
      <c r="BN34" s="4">
        <v>0</v>
      </c>
      <c r="BO34" s="4">
        <v>0</v>
      </c>
      <c r="BP34" s="4">
        <v>11</v>
      </c>
      <c r="BQ34" s="2">
        <v>0</v>
      </c>
      <c r="BR34" s="4">
        <v>5</v>
      </c>
      <c r="BS34" s="4">
        <v>3</v>
      </c>
      <c r="BT34" s="4">
        <v>11</v>
      </c>
      <c r="BU34" s="2">
        <v>45.454549999999998</v>
      </c>
      <c r="BV34" s="2">
        <v>5.2350899999999996</v>
      </c>
      <c r="BW34" s="2">
        <v>3079.5529999999999</v>
      </c>
      <c r="BX34" s="3">
        <v>2.653286</v>
      </c>
      <c r="BY34" s="3">
        <v>8.6158159999999998E-2</v>
      </c>
      <c r="BZ34" s="2">
        <v>0.42404799999999998</v>
      </c>
      <c r="CA34" s="3">
        <v>8.6562509999999995E-2</v>
      </c>
      <c r="CB34" s="3">
        <v>0.2876011</v>
      </c>
      <c r="CC34" s="3">
        <v>0.29456759999999999</v>
      </c>
      <c r="CD34" s="2">
        <v>2.4222730000000001</v>
      </c>
      <c r="CE34" s="3">
        <v>1882.8440000000001</v>
      </c>
      <c r="CF34" s="3">
        <v>1919.9090000000001</v>
      </c>
      <c r="CG34" s="2">
        <v>1.9685509999999999</v>
      </c>
      <c r="CH34" s="3">
        <v>2.326667</v>
      </c>
      <c r="CI34" s="2">
        <v>-2.4355289999999998</v>
      </c>
      <c r="CJ34" s="3">
        <v>27039.47</v>
      </c>
      <c r="CK34" s="3">
        <v>27115.87</v>
      </c>
      <c r="CL34" s="2">
        <v>0.28253790000000001</v>
      </c>
      <c r="CM34" s="3">
        <v>1.945254</v>
      </c>
      <c r="CN34" s="3">
        <v>2.0070779999999999</v>
      </c>
      <c r="CO34" s="3">
        <v>2.0012690000000002</v>
      </c>
      <c r="CP34" s="2">
        <v>7.029712</v>
      </c>
      <c r="CQ34" s="2">
        <v>3.7328960000000002</v>
      </c>
      <c r="CR34" s="2">
        <v>4.0339830000000001</v>
      </c>
      <c r="CS34" s="2">
        <v>3.1781790000000001</v>
      </c>
      <c r="CT34" s="2">
        <v>4.9391470000000002</v>
      </c>
      <c r="CU34" s="3">
        <v>7.7034190000000002E-2</v>
      </c>
      <c r="CV34" s="2" t="e">
        <v>#N/A</v>
      </c>
      <c r="CW34" s="2">
        <v>0.39473209999999997</v>
      </c>
      <c r="CX34" s="2" t="e">
        <v>#N/A</v>
      </c>
      <c r="CY34" s="2">
        <v>20.464649999999999</v>
      </c>
    </row>
    <row r="35" spans="1:103" ht="15" customHeight="1" x14ac:dyDescent="0.2">
      <c r="A35" s="1">
        <f t="shared" si="0"/>
        <v>29</v>
      </c>
      <c r="B35" s="1" t="s">
        <v>92</v>
      </c>
      <c r="C35" s="1" t="s">
        <v>91</v>
      </c>
      <c r="D35" s="1" t="s">
        <v>64</v>
      </c>
      <c r="E35" s="1" t="s">
        <v>93</v>
      </c>
      <c r="F35" s="2">
        <v>6762.808</v>
      </c>
      <c r="G35" s="2">
        <v>16.527899999999999</v>
      </c>
      <c r="H35" s="2">
        <v>1117.75</v>
      </c>
      <c r="I35" s="3">
        <v>20.54</v>
      </c>
      <c r="J35" s="3">
        <v>0</v>
      </c>
      <c r="K35" s="2">
        <v>3.4079839999999999</v>
      </c>
      <c r="L35" s="2">
        <v>2.3369040000000001</v>
      </c>
      <c r="M35" s="2">
        <v>2.1198769999999998</v>
      </c>
      <c r="N35" s="2">
        <v>2.1908470000000002</v>
      </c>
      <c r="O35" s="2">
        <v>8.9304349999999992</v>
      </c>
      <c r="P35" s="2">
        <v>13.082800000000001</v>
      </c>
      <c r="Q35" s="2">
        <v>17.188279999999999</v>
      </c>
      <c r="R35" s="2">
        <v>18.01755</v>
      </c>
      <c r="S35" s="2">
        <v>8.4211229999999997</v>
      </c>
      <c r="T35" s="2">
        <v>10.094440000000001</v>
      </c>
      <c r="U35" s="2">
        <v>8.4407700000000006</v>
      </c>
      <c r="V35" s="2">
        <v>8.7622719999999994</v>
      </c>
      <c r="W35" s="2">
        <v>1.151991</v>
      </c>
      <c r="X35" s="2">
        <v>1.147486</v>
      </c>
      <c r="Y35" s="2">
        <v>1.082017</v>
      </c>
      <c r="Z35" s="2">
        <v>1.047158</v>
      </c>
      <c r="AA35" s="2">
        <v>5.9107919999999998</v>
      </c>
      <c r="AB35" s="2">
        <v>7.7112959999999999</v>
      </c>
      <c r="AC35" s="2">
        <v>7.0199860000000003</v>
      </c>
      <c r="AD35" s="2">
        <v>6.9798580000000001</v>
      </c>
      <c r="AE35" s="2">
        <v>-15.511380000000001</v>
      </c>
      <c r="AF35" s="2">
        <v>-8.2451150000000002</v>
      </c>
      <c r="AG35" s="2">
        <v>-4.4188869999999998</v>
      </c>
      <c r="AH35" s="2">
        <v>-24.05744</v>
      </c>
      <c r="AI35" s="2">
        <v>-13.620089999999999</v>
      </c>
      <c r="AJ35" s="2">
        <v>-7.7473580000000002</v>
      </c>
      <c r="AK35" s="3" t="e">
        <v>#N/A</v>
      </c>
      <c r="AL35" s="3" t="e">
        <v>#N/A</v>
      </c>
      <c r="AM35" s="2">
        <v>37.99127</v>
      </c>
      <c r="AN35" s="2">
        <v>36.227800000000002</v>
      </c>
      <c r="AO35" s="2">
        <v>40.094299999999997</v>
      </c>
      <c r="AP35" s="2">
        <v>39.717219999999998</v>
      </c>
      <c r="AQ35" s="2">
        <v>1.2226250000000001</v>
      </c>
      <c r="AR35" s="2">
        <v>2.8996110000000002</v>
      </c>
      <c r="AS35" s="2">
        <v>3.3310300000000002</v>
      </c>
      <c r="AT35" s="2">
        <v>3.7645059999999999</v>
      </c>
      <c r="AU35" s="1" t="s">
        <v>34</v>
      </c>
      <c r="AV35" s="3">
        <v>1.7407410000000001</v>
      </c>
      <c r="AW35" s="3">
        <v>27.5</v>
      </c>
      <c r="AX35" s="2">
        <v>33.885100000000001</v>
      </c>
      <c r="AY35" s="2">
        <v>8.7709499999999991</v>
      </c>
      <c r="AZ35" s="2">
        <v>-10.24953</v>
      </c>
      <c r="BA35" s="2">
        <v>-41.647730000000003</v>
      </c>
      <c r="BB35" s="2">
        <v>-26.851849999999999</v>
      </c>
      <c r="BC35" s="3">
        <v>18.489999999999998</v>
      </c>
      <c r="BD35" s="2">
        <v>11.08708</v>
      </c>
      <c r="BE35" s="3">
        <v>36.340000000000003</v>
      </c>
      <c r="BF35" s="2">
        <v>-43.478259999999999</v>
      </c>
      <c r="BG35" s="2">
        <v>24.33248</v>
      </c>
      <c r="BH35" s="2">
        <v>34.57067</v>
      </c>
      <c r="BI35" s="2">
        <v>38.836280000000002</v>
      </c>
      <c r="BJ35" s="2">
        <v>40.384979999999999</v>
      </c>
      <c r="BK35" s="2">
        <v>26</v>
      </c>
      <c r="BL35" s="2">
        <v>25</v>
      </c>
      <c r="BM35" s="4">
        <v>27</v>
      </c>
      <c r="BN35" s="4">
        <v>2</v>
      </c>
      <c r="BO35" s="4">
        <v>5</v>
      </c>
      <c r="BP35" s="4">
        <v>17</v>
      </c>
      <c r="BQ35" s="2">
        <v>8.3333340000000007</v>
      </c>
      <c r="BR35" s="4">
        <v>13</v>
      </c>
      <c r="BS35" s="4">
        <v>5</v>
      </c>
      <c r="BT35" s="4">
        <v>27</v>
      </c>
      <c r="BU35" s="2">
        <v>48.148150000000001</v>
      </c>
      <c r="BV35" s="2">
        <v>8.3854100000000003</v>
      </c>
      <c r="BW35" s="2">
        <v>329.25060000000002</v>
      </c>
      <c r="BX35" s="3">
        <v>0.4144661</v>
      </c>
      <c r="BY35" s="3">
        <v>0.12588170000000001</v>
      </c>
      <c r="BZ35" s="2">
        <v>0.44040800000000002</v>
      </c>
      <c r="CA35" s="3">
        <v>0.12585560000000001</v>
      </c>
      <c r="CB35" s="3">
        <v>1.5525679999999999</v>
      </c>
      <c r="CC35" s="3">
        <v>1.494669</v>
      </c>
      <c r="CD35" s="2">
        <v>-3.7292480000000001</v>
      </c>
      <c r="CE35" s="3">
        <v>879.49839999999995</v>
      </c>
      <c r="CF35" s="3">
        <v>896.1105</v>
      </c>
      <c r="CG35" s="2">
        <v>1.8888240000000001</v>
      </c>
      <c r="CH35" s="3">
        <v>32.599499999999999</v>
      </c>
      <c r="CI35" s="2">
        <v>-15.64288</v>
      </c>
      <c r="CJ35" s="3">
        <v>3403.5929999999998</v>
      </c>
      <c r="CK35" s="3">
        <v>3517.15</v>
      </c>
      <c r="CL35" s="2">
        <v>3.3363939999999999</v>
      </c>
      <c r="CM35" s="3">
        <v>26.059259999999998</v>
      </c>
      <c r="CN35" s="3">
        <v>22.507259999999999</v>
      </c>
      <c r="CO35" s="3">
        <v>20.73115</v>
      </c>
      <c r="CP35" s="2">
        <v>-21.179639999999999</v>
      </c>
      <c r="CQ35" s="2">
        <v>-8.7405439999999999</v>
      </c>
      <c r="CR35" s="2">
        <v>-0.92204810000000004</v>
      </c>
      <c r="CS35" s="2">
        <v>-13.630470000000001</v>
      </c>
      <c r="CT35" s="2">
        <v>15.11406</v>
      </c>
      <c r="CU35" s="3">
        <v>0.22348789999999999</v>
      </c>
      <c r="CV35" s="2">
        <v>28.571429999999999</v>
      </c>
      <c r="CW35" s="2">
        <v>7.3233110000000003</v>
      </c>
      <c r="CX35" s="2" t="e">
        <v>#N/A</v>
      </c>
      <c r="CY35" s="2">
        <v>21</v>
      </c>
    </row>
    <row r="36" spans="1:103" ht="15" customHeight="1" x14ac:dyDescent="0.2">
      <c r="A36" s="1">
        <f t="shared" si="0"/>
        <v>30</v>
      </c>
      <c r="B36" s="1" t="s">
        <v>95</v>
      </c>
      <c r="C36" s="1" t="s">
        <v>94</v>
      </c>
      <c r="D36" s="1" t="s">
        <v>21</v>
      </c>
      <c r="E36" s="1" t="s">
        <v>22</v>
      </c>
      <c r="F36" s="2">
        <v>3069.8389999999999</v>
      </c>
      <c r="G36" s="2">
        <v>68.853099999999998</v>
      </c>
      <c r="H36" s="2">
        <v>2113.6790000000001</v>
      </c>
      <c r="I36" s="3">
        <v>7.2039999999999997</v>
      </c>
      <c r="J36" s="3">
        <v>0</v>
      </c>
      <c r="K36" s="2">
        <v>0</v>
      </c>
      <c r="L36" s="2">
        <v>0</v>
      </c>
      <c r="M36" s="2">
        <v>1.678015</v>
      </c>
      <c r="N36" s="2">
        <v>4.9972240000000001</v>
      </c>
      <c r="O36" s="2">
        <v>21.96134</v>
      </c>
      <c r="P36" s="2">
        <v>8.8587190000000007</v>
      </c>
      <c r="Q36" s="2">
        <v>6.5312780000000004</v>
      </c>
      <c r="R36" s="2">
        <v>5.258394</v>
      </c>
      <c r="S36" s="2">
        <v>13.38714</v>
      </c>
      <c r="T36" s="2">
        <v>7.4224610000000002</v>
      </c>
      <c r="U36" s="2">
        <v>6.2072640000000003</v>
      </c>
      <c r="V36" s="2">
        <v>5.2647219999999999</v>
      </c>
      <c r="W36" s="2">
        <v>0.83187069999999996</v>
      </c>
      <c r="X36" s="2">
        <v>0.71288439999999997</v>
      </c>
      <c r="Y36" s="2">
        <v>0.67076349999999996</v>
      </c>
      <c r="Z36" s="2">
        <v>0.60090560000000004</v>
      </c>
      <c r="AA36" s="2">
        <v>23.374169999999999</v>
      </c>
      <c r="AB36" s="2">
        <v>6.1050849999999999</v>
      </c>
      <c r="AC36" s="2">
        <v>4.4745340000000002</v>
      </c>
      <c r="AD36" s="2">
        <v>4.4648320000000004</v>
      </c>
      <c r="AE36" s="2">
        <v>4.7375600000000002</v>
      </c>
      <c r="AF36" s="2">
        <v>6.9661689999999998</v>
      </c>
      <c r="AG36" s="2">
        <v>8.7481209999999994</v>
      </c>
      <c r="AH36" s="2">
        <v>18.868649999999999</v>
      </c>
      <c r="AI36" s="2">
        <v>26.422889999999999</v>
      </c>
      <c r="AJ36" s="2">
        <v>31.213730000000002</v>
      </c>
      <c r="AK36" s="3">
        <v>0.24167830000000001</v>
      </c>
      <c r="AL36" s="3">
        <v>0.1768972</v>
      </c>
      <c r="AM36" s="2">
        <v>22.363029999999998</v>
      </c>
      <c r="AN36" s="2">
        <v>25.88768</v>
      </c>
      <c r="AO36" s="2">
        <v>27.545059999999999</v>
      </c>
      <c r="AP36" s="2">
        <v>28.890129999999999</v>
      </c>
      <c r="AQ36" s="2">
        <v>7.0487310000000001</v>
      </c>
      <c r="AR36" s="2">
        <v>5.0052750000000001</v>
      </c>
      <c r="AS36" s="2">
        <v>4.0952140000000004</v>
      </c>
      <c r="AT36" s="2">
        <v>3.3728370000000001</v>
      </c>
      <c r="AU36" s="1" t="s">
        <v>5</v>
      </c>
      <c r="AV36" s="3">
        <v>1.323529</v>
      </c>
      <c r="AW36" s="3">
        <v>18</v>
      </c>
      <c r="AX36" s="2">
        <v>149.8612</v>
      </c>
      <c r="AY36" s="2">
        <v>8.0472619999999999</v>
      </c>
      <c r="AZ36" s="2">
        <v>29.960229999999999</v>
      </c>
      <c r="BA36" s="2">
        <v>-28.389659999999999</v>
      </c>
      <c r="BB36" s="2">
        <v>-53.387250000000002</v>
      </c>
      <c r="BC36" s="3">
        <v>6.3620000000000001</v>
      </c>
      <c r="BD36" s="2">
        <v>13.234830000000001</v>
      </c>
      <c r="BE36" s="3">
        <v>15.92</v>
      </c>
      <c r="BF36" s="2">
        <v>-54.748739999999998</v>
      </c>
      <c r="BG36" s="2">
        <v>0</v>
      </c>
      <c r="BH36" s="2">
        <v>2.0881409999999998</v>
      </c>
      <c r="BI36" s="2">
        <v>16.441790000000001</v>
      </c>
      <c r="BJ36" s="2">
        <v>31.777909999999999</v>
      </c>
      <c r="BK36" s="2">
        <v>16</v>
      </c>
      <c r="BL36" s="2">
        <v>15</v>
      </c>
      <c r="BM36" s="4">
        <v>17</v>
      </c>
      <c r="BN36" s="4">
        <v>1</v>
      </c>
      <c r="BO36" s="4">
        <v>0</v>
      </c>
      <c r="BP36" s="4">
        <v>15</v>
      </c>
      <c r="BQ36" s="2">
        <v>6.25</v>
      </c>
      <c r="BR36" s="4">
        <v>13</v>
      </c>
      <c r="BS36" s="4">
        <v>1</v>
      </c>
      <c r="BT36" s="4">
        <v>17</v>
      </c>
      <c r="BU36" s="2">
        <v>76.470590000000001</v>
      </c>
      <c r="BV36" s="2">
        <v>14.164300000000001</v>
      </c>
      <c r="BW36" s="2">
        <v>426.12979999999999</v>
      </c>
      <c r="BX36" s="3">
        <v>2.1185809999999998</v>
      </c>
      <c r="BY36" s="3">
        <v>0.497168</v>
      </c>
      <c r="BZ36" s="2">
        <v>1.6752499999999999</v>
      </c>
      <c r="CA36" s="3">
        <v>0.496554</v>
      </c>
      <c r="CB36" s="3">
        <v>0.98946999999999996</v>
      </c>
      <c r="CC36" s="3">
        <v>0.82096270000000005</v>
      </c>
      <c r="CD36" s="2">
        <v>-17.030049999999999</v>
      </c>
      <c r="CE36" s="3">
        <v>1412.809</v>
      </c>
      <c r="CF36" s="3">
        <v>1362.1120000000001</v>
      </c>
      <c r="CG36" s="2">
        <v>-3.58839</v>
      </c>
      <c r="CH36" s="3">
        <v>18.45177</v>
      </c>
      <c r="CI36" s="2">
        <v>-2.448356</v>
      </c>
      <c r="CJ36" s="3">
        <v>7132.8639999999996</v>
      </c>
      <c r="CK36" s="3">
        <v>7093.5209999999997</v>
      </c>
      <c r="CL36" s="2">
        <v>-0.55156349999999998</v>
      </c>
      <c r="CM36" s="3">
        <v>11.906040000000001</v>
      </c>
      <c r="CN36" s="3">
        <v>9.9307449999999999</v>
      </c>
      <c r="CO36" s="3">
        <v>9.6138449999999995</v>
      </c>
      <c r="CP36" s="2">
        <v>-39.492870000000003</v>
      </c>
      <c r="CQ36" s="2">
        <v>-27.457609999999999</v>
      </c>
      <c r="CR36" s="2">
        <v>-25.066400000000002</v>
      </c>
      <c r="CS36" s="2">
        <v>-16.59066</v>
      </c>
      <c r="CT36" s="2">
        <v>48.681440000000002</v>
      </c>
      <c r="CU36" s="3">
        <v>1.585798</v>
      </c>
      <c r="CV36" s="2" t="e">
        <v>#N/A</v>
      </c>
      <c r="CW36" s="2">
        <v>4.2385520000000003E-2</v>
      </c>
      <c r="CX36" s="2">
        <v>-14.50942</v>
      </c>
      <c r="CY36" s="2">
        <v>21.515149999999998</v>
      </c>
    </row>
    <row r="37" spans="1:103" ht="15" customHeight="1" x14ac:dyDescent="0.2">
      <c r="A37" s="1">
        <f t="shared" si="0"/>
        <v>31</v>
      </c>
      <c r="B37" s="1" t="s">
        <v>97</v>
      </c>
      <c r="C37" s="1" t="s">
        <v>96</v>
      </c>
      <c r="D37" s="1" t="s">
        <v>64</v>
      </c>
      <c r="E37" s="1" t="s">
        <v>85</v>
      </c>
      <c r="F37" s="2">
        <v>17061.79</v>
      </c>
      <c r="G37" s="2">
        <v>29.875</v>
      </c>
      <c r="H37" s="2">
        <v>5097.2089999999998</v>
      </c>
      <c r="I37" s="3">
        <v>16.114999999999998</v>
      </c>
      <c r="J37" s="3">
        <v>0</v>
      </c>
      <c r="K37" s="2">
        <v>6.2053989999999999</v>
      </c>
      <c r="L37" s="2">
        <v>6.8520599999999998</v>
      </c>
      <c r="M37" s="2">
        <v>7.6636680000000004</v>
      </c>
      <c r="N37" s="2">
        <v>8.0980450000000008</v>
      </c>
      <c r="O37" s="2">
        <v>15.799020000000001</v>
      </c>
      <c r="P37" s="2">
        <v>10.1754</v>
      </c>
      <c r="Q37" s="2">
        <v>9.1045200000000008</v>
      </c>
      <c r="R37" s="2">
        <v>9.2085709999999992</v>
      </c>
      <c r="S37" s="2">
        <v>6.8209379999999999</v>
      </c>
      <c r="T37" s="2">
        <v>5.6984599999999999</v>
      </c>
      <c r="U37" s="2">
        <v>5.4628639999999997</v>
      </c>
      <c r="V37" s="2">
        <v>5.5217109999999998</v>
      </c>
      <c r="W37" s="2">
        <v>2.4320629999999999</v>
      </c>
      <c r="X37" s="2">
        <v>3.0428980000000001</v>
      </c>
      <c r="Y37" s="2">
        <v>2.6710189999999998</v>
      </c>
      <c r="Z37" s="2">
        <v>2.1099540000000001</v>
      </c>
      <c r="AA37" s="2">
        <v>5.3505450000000003</v>
      </c>
      <c r="AB37" s="2">
        <v>4.6630690000000001</v>
      </c>
      <c r="AC37" s="2">
        <v>4.1825850000000004</v>
      </c>
      <c r="AD37" s="2">
        <v>4.0797470000000002</v>
      </c>
      <c r="AE37" s="2">
        <v>4.9123890000000001</v>
      </c>
      <c r="AF37" s="2">
        <v>4.6966549999999998</v>
      </c>
      <c r="AG37" s="2">
        <v>5.4119609999999998</v>
      </c>
      <c r="AH37" s="2">
        <v>8.1082739999999998</v>
      </c>
      <c r="AI37" s="2">
        <v>7.8141259999999999</v>
      </c>
      <c r="AJ37" s="2">
        <v>9.0787669999999991</v>
      </c>
      <c r="AK37" s="3" t="e">
        <v>#N/A</v>
      </c>
      <c r="AL37" s="3" t="e">
        <v>#N/A</v>
      </c>
      <c r="AM37" s="2">
        <v>17.251270000000002</v>
      </c>
      <c r="AN37" s="2">
        <v>20.93252</v>
      </c>
      <c r="AO37" s="2">
        <v>22.98545</v>
      </c>
      <c r="AP37" s="2">
        <v>24.225359999999998</v>
      </c>
      <c r="AQ37" s="2">
        <v>2.3709020000000001</v>
      </c>
      <c r="AR37" s="2">
        <v>2.246054</v>
      </c>
      <c r="AS37" s="2">
        <v>2.179427</v>
      </c>
      <c r="AT37" s="2">
        <v>2.2301530000000001</v>
      </c>
      <c r="AU37" s="1" t="s">
        <v>98</v>
      </c>
      <c r="AV37" s="3">
        <v>1.6136360000000001</v>
      </c>
      <c r="AW37" s="3">
        <v>20.5</v>
      </c>
      <c r="AX37" s="2">
        <v>27.21068</v>
      </c>
      <c r="AY37" s="2">
        <v>29.904450000000001</v>
      </c>
      <c r="AZ37" s="2">
        <v>-1.069094</v>
      </c>
      <c r="BA37" s="2">
        <v>-14.667730000000001</v>
      </c>
      <c r="BB37" s="2">
        <v>-12.703139999999999</v>
      </c>
      <c r="BC37" s="3">
        <v>15.845000000000001</v>
      </c>
      <c r="BD37" s="2">
        <v>1.7040010000000001</v>
      </c>
      <c r="BE37" s="3">
        <v>21.51</v>
      </c>
      <c r="BF37" s="2">
        <v>-25.08136</v>
      </c>
      <c r="BG37" s="2">
        <v>97.108149999999995</v>
      </c>
      <c r="BH37" s="2">
        <v>69.899180000000001</v>
      </c>
      <c r="BI37" s="2">
        <v>70.828609999999998</v>
      </c>
      <c r="BJ37" s="2">
        <v>71.805019999999999</v>
      </c>
      <c r="BK37" s="2">
        <v>20</v>
      </c>
      <c r="BL37" s="2">
        <v>19</v>
      </c>
      <c r="BM37" s="4">
        <v>22</v>
      </c>
      <c r="BN37" s="4">
        <v>4</v>
      </c>
      <c r="BO37" s="4">
        <v>2</v>
      </c>
      <c r="BP37" s="4">
        <v>17</v>
      </c>
      <c r="BQ37" s="2">
        <v>17.391300000000001</v>
      </c>
      <c r="BR37" s="4">
        <v>11</v>
      </c>
      <c r="BS37" s="4">
        <v>2</v>
      </c>
      <c r="BT37" s="4">
        <v>22</v>
      </c>
      <c r="BU37" s="2">
        <v>50</v>
      </c>
      <c r="BV37" s="2">
        <v>6.5434000000000001</v>
      </c>
      <c r="BW37" s="2">
        <v>1058.752</v>
      </c>
      <c r="BX37" s="3">
        <v>1.390601</v>
      </c>
      <c r="BY37" s="3">
        <v>0.1313434</v>
      </c>
      <c r="BZ37" s="2">
        <v>0.92139000000000004</v>
      </c>
      <c r="CA37" s="3">
        <v>0.13147420000000001</v>
      </c>
      <c r="CB37" s="3">
        <v>1.58555</v>
      </c>
      <c r="CC37" s="3">
        <v>1.5722609999999999</v>
      </c>
      <c r="CD37" s="2">
        <v>-0.83813070000000001</v>
      </c>
      <c r="CE37" s="3">
        <v>2869.1129999999998</v>
      </c>
      <c r="CF37" s="3">
        <v>2863.145</v>
      </c>
      <c r="CG37" s="2">
        <v>-0.20799039999999999</v>
      </c>
      <c r="CH37" s="3">
        <v>21.99211</v>
      </c>
      <c r="CI37" s="2">
        <v>-6.7847309999999998</v>
      </c>
      <c r="CJ37" s="3">
        <v>23425.71</v>
      </c>
      <c r="CK37" s="3">
        <v>22922.49</v>
      </c>
      <c r="CL37" s="2">
        <v>-2.1481629999999998</v>
      </c>
      <c r="CM37" s="3">
        <v>18.895600000000002</v>
      </c>
      <c r="CN37" s="3">
        <v>17.687360000000002</v>
      </c>
      <c r="CO37" s="3">
        <v>16.64846</v>
      </c>
      <c r="CP37" s="2">
        <v>-14.715579999999999</v>
      </c>
      <c r="CQ37" s="2">
        <v>-8.8897169999999992</v>
      </c>
      <c r="CR37" s="2">
        <v>-3.2042619999999999</v>
      </c>
      <c r="CS37" s="2">
        <v>-6.3942969999999999</v>
      </c>
      <c r="CT37" s="2">
        <v>27.01416</v>
      </c>
      <c r="CU37" s="3">
        <v>0.15833130000000001</v>
      </c>
      <c r="CV37" s="2">
        <v>138.3398</v>
      </c>
      <c r="CW37" s="2">
        <v>-47.967640000000003</v>
      </c>
      <c r="CX37" s="2">
        <v>-230.52279999999999</v>
      </c>
      <c r="CY37" s="2">
        <v>21.848479999999999</v>
      </c>
    </row>
    <row r="38" spans="1:103" ht="15" customHeight="1" x14ac:dyDescent="0.2">
      <c r="A38" s="1">
        <f t="shared" si="0"/>
        <v>32</v>
      </c>
      <c r="B38" s="1" t="s">
        <v>100</v>
      </c>
      <c r="C38" s="1" t="s">
        <v>99</v>
      </c>
      <c r="D38" s="1" t="s">
        <v>3</v>
      </c>
      <c r="E38" s="1" t="s">
        <v>4</v>
      </c>
      <c r="F38" s="2">
        <v>26011.83</v>
      </c>
      <c r="G38" s="2">
        <v>96.958100000000002</v>
      </c>
      <c r="H38" s="2">
        <v>25220.57</v>
      </c>
      <c r="I38" s="3">
        <v>57.74</v>
      </c>
      <c r="J38" s="3">
        <v>0</v>
      </c>
      <c r="K38" s="2">
        <v>2.1188180000000001</v>
      </c>
      <c r="L38" s="2">
        <v>2.407343</v>
      </c>
      <c r="M38" s="2">
        <v>2.710426</v>
      </c>
      <c r="N38" s="2">
        <v>3.0308280000000001</v>
      </c>
      <c r="O38" s="2">
        <v>23.747050000000002</v>
      </c>
      <c r="P38" s="2">
        <v>21.02187</v>
      </c>
      <c r="Q38" s="2">
        <v>18.52262</v>
      </c>
      <c r="R38" s="2">
        <v>16.502009999999999</v>
      </c>
      <c r="S38" s="2">
        <v>15.26774</v>
      </c>
      <c r="T38" s="2">
        <v>11.82804</v>
      </c>
      <c r="U38" s="2">
        <v>10.301019999999999</v>
      </c>
      <c r="V38" s="2">
        <v>9.2217369999999992</v>
      </c>
      <c r="W38" s="2">
        <v>5.7826589999999998</v>
      </c>
      <c r="X38" s="2">
        <v>4.9904929999999998</v>
      </c>
      <c r="Y38" s="2">
        <v>4.0695420000000002</v>
      </c>
      <c r="Z38" s="2">
        <v>3.8289119999999999</v>
      </c>
      <c r="AA38" s="2">
        <v>14.896269999999999</v>
      </c>
      <c r="AB38" s="2">
        <v>13.388159999999999</v>
      </c>
      <c r="AC38" s="2">
        <v>12.27765</v>
      </c>
      <c r="AD38" s="2">
        <v>11.040150000000001</v>
      </c>
      <c r="AE38" s="2">
        <v>4.6390799999999999</v>
      </c>
      <c r="AF38" s="2">
        <v>5.2034399999999996</v>
      </c>
      <c r="AG38" s="2">
        <v>5.8079070000000002</v>
      </c>
      <c r="AH38" s="2">
        <v>4.9403930000000003</v>
      </c>
      <c r="AI38" s="2">
        <v>5.3794760000000004</v>
      </c>
      <c r="AJ38" s="2">
        <v>5.857475</v>
      </c>
      <c r="AK38" s="3">
        <v>2.3918089999999999</v>
      </c>
      <c r="AL38" s="3">
        <v>2.1077409999999999</v>
      </c>
      <c r="AM38" s="2">
        <v>37.916269999999997</v>
      </c>
      <c r="AN38" s="2">
        <v>38.300440000000002</v>
      </c>
      <c r="AO38" s="2">
        <v>39.264150000000001</v>
      </c>
      <c r="AP38" s="2">
        <v>40.169179999999997</v>
      </c>
      <c r="AQ38" s="2">
        <v>1.100528</v>
      </c>
      <c r="AR38" s="2">
        <v>0.72139030000000004</v>
      </c>
      <c r="AS38" s="2">
        <v>0.33708739999999998</v>
      </c>
      <c r="AT38" s="2">
        <v>7.8037640000000005E-2</v>
      </c>
      <c r="AU38" s="1" t="s">
        <v>34</v>
      </c>
      <c r="AV38" s="3">
        <v>1.64</v>
      </c>
      <c r="AW38" s="3">
        <v>70</v>
      </c>
      <c r="AX38" s="2">
        <v>21.2331</v>
      </c>
      <c r="AY38" s="2">
        <v>23.739529999999998</v>
      </c>
      <c r="AZ38" s="2">
        <v>8.6648560000000003</v>
      </c>
      <c r="BA38" s="2">
        <v>-4.4988390000000003</v>
      </c>
      <c r="BB38" s="2">
        <v>-11.00492</v>
      </c>
      <c r="BC38" s="3">
        <v>52.56</v>
      </c>
      <c r="BD38" s="2">
        <v>9.8554019999999998</v>
      </c>
      <c r="BE38" s="3">
        <v>70.22</v>
      </c>
      <c r="BF38" s="2">
        <v>-17.77272</v>
      </c>
      <c r="BG38" s="2">
        <v>47.569890000000001</v>
      </c>
      <c r="BH38" s="2">
        <v>49.152119999999996</v>
      </c>
      <c r="BI38" s="2">
        <v>48.872970000000002</v>
      </c>
      <c r="BJ38" s="2">
        <v>49.822380000000003</v>
      </c>
      <c r="BK38" s="2">
        <v>18</v>
      </c>
      <c r="BL38" s="2">
        <v>20</v>
      </c>
      <c r="BM38" s="4">
        <v>25</v>
      </c>
      <c r="BN38" s="4">
        <v>0</v>
      </c>
      <c r="BO38" s="4">
        <v>0</v>
      </c>
      <c r="BP38" s="4">
        <v>23</v>
      </c>
      <c r="BQ38" s="2">
        <v>0</v>
      </c>
      <c r="BR38" s="4">
        <v>11</v>
      </c>
      <c r="BS38" s="4">
        <v>1</v>
      </c>
      <c r="BT38" s="4">
        <v>25</v>
      </c>
      <c r="BU38" s="2">
        <v>44</v>
      </c>
      <c r="BV38" s="2">
        <v>7.5003000000000002</v>
      </c>
      <c r="BW38" s="2">
        <v>450.49919999999997</v>
      </c>
      <c r="BX38" s="3">
        <v>0.71596499999999996</v>
      </c>
      <c r="BY38" s="3">
        <v>0.15892700000000001</v>
      </c>
      <c r="BZ38" s="2">
        <v>1.0986</v>
      </c>
      <c r="CA38" s="3">
        <v>0.1587779</v>
      </c>
      <c r="CB38" s="3">
        <v>2.9329269999999998</v>
      </c>
      <c r="CC38" s="3">
        <v>2.7860510000000001</v>
      </c>
      <c r="CD38" s="2">
        <v>-5.0078509999999996</v>
      </c>
      <c r="CE38" s="3">
        <v>1748.8989999999999</v>
      </c>
      <c r="CF38" s="3">
        <v>1723.741</v>
      </c>
      <c r="CG38" s="2">
        <v>-1.4384809999999999</v>
      </c>
      <c r="CH38" s="3">
        <v>71.210409999999996</v>
      </c>
      <c r="CI38" s="2">
        <v>-1.6997690000000001</v>
      </c>
      <c r="CJ38" s="3">
        <v>6168.0010000000002</v>
      </c>
      <c r="CK38" s="3">
        <v>6143.6970000000001</v>
      </c>
      <c r="CL38" s="2">
        <v>-0.39404630000000002</v>
      </c>
      <c r="CM38" s="3">
        <v>62.605849999999997</v>
      </c>
      <c r="CN38" s="3">
        <v>61.994120000000002</v>
      </c>
      <c r="CO38" s="3">
        <v>59.62923</v>
      </c>
      <c r="CP38" s="2">
        <v>-7.772189</v>
      </c>
      <c r="CQ38" s="2">
        <v>-6.8621280000000002</v>
      </c>
      <c r="CR38" s="2">
        <v>-3.168291</v>
      </c>
      <c r="CS38" s="2">
        <v>-0.9771109</v>
      </c>
      <c r="CT38" s="2">
        <v>44.628819999999997</v>
      </c>
      <c r="CU38" s="3">
        <v>0.17157130000000001</v>
      </c>
      <c r="CV38" s="2">
        <v>-3.8136950000000001</v>
      </c>
      <c r="CW38" s="2">
        <v>-0.62559350000000002</v>
      </c>
      <c r="CX38" s="2">
        <v>-17.086379999999998</v>
      </c>
      <c r="CY38" s="2">
        <v>21.85859</v>
      </c>
    </row>
    <row r="39" spans="1:103" ht="15" customHeight="1" x14ac:dyDescent="0.2">
      <c r="A39" s="1">
        <f t="shared" si="0"/>
        <v>33</v>
      </c>
      <c r="B39" s="1" t="s">
        <v>102</v>
      </c>
      <c r="C39" s="1" t="s">
        <v>101</v>
      </c>
      <c r="D39" s="1" t="s">
        <v>8</v>
      </c>
      <c r="E39" s="1" t="s">
        <v>70</v>
      </c>
      <c r="F39" s="2">
        <v>2752.04</v>
      </c>
      <c r="G39" s="2">
        <v>41.912500000000001</v>
      </c>
      <c r="H39" s="2">
        <v>1153.4490000000001</v>
      </c>
      <c r="I39" s="3">
        <v>5.0999999999999996</v>
      </c>
      <c r="J39" s="3">
        <v>0</v>
      </c>
      <c r="K39" s="2">
        <v>5.098039</v>
      </c>
      <c r="L39" s="2">
        <v>5.3681429999999999</v>
      </c>
      <c r="M39" s="2">
        <v>5.5882350000000001</v>
      </c>
      <c r="N39" s="2">
        <v>5.7843140000000002</v>
      </c>
      <c r="O39" s="2">
        <v>15.9375</v>
      </c>
      <c r="P39" s="2">
        <v>15.9375</v>
      </c>
      <c r="Q39" s="2">
        <v>15.0905</v>
      </c>
      <c r="R39" s="2">
        <v>14.16667</v>
      </c>
      <c r="S39" s="2">
        <v>27.004770000000001</v>
      </c>
      <c r="T39" s="2">
        <v>23.92933</v>
      </c>
      <c r="U39" s="2">
        <v>22.710619999999999</v>
      </c>
      <c r="V39" s="2">
        <v>20.531189999999999</v>
      </c>
      <c r="W39" s="2">
        <v>0.51411289999999998</v>
      </c>
      <c r="X39" s="2">
        <v>0.55253059999999998</v>
      </c>
      <c r="Y39" s="2">
        <v>0.54168369999999999</v>
      </c>
      <c r="Z39" s="2">
        <v>0.59556480000000001</v>
      </c>
      <c r="AA39" s="2">
        <v>14.14035</v>
      </c>
      <c r="AB39" s="2">
        <v>15.676410000000001</v>
      </c>
      <c r="AC39" s="2">
        <v>14.00784</v>
      </c>
      <c r="AD39" s="2">
        <v>11.086959999999999</v>
      </c>
      <c r="AE39" s="2">
        <v>3.4284189999999999</v>
      </c>
      <c r="AF39" s="2">
        <v>3.1481050000000002</v>
      </c>
      <c r="AG39" s="2">
        <v>4.3768330000000004</v>
      </c>
      <c r="AH39" s="2">
        <v>9.4891070000000006</v>
      </c>
      <c r="AI39" s="2">
        <v>8.6120619999999999</v>
      </c>
      <c r="AJ39" s="2">
        <v>11.559060000000001</v>
      </c>
      <c r="AK39" s="3">
        <v>2.466377</v>
      </c>
      <c r="AL39" s="3">
        <v>2.3308840000000002</v>
      </c>
      <c r="AM39" s="2">
        <v>82.493369999999999</v>
      </c>
      <c r="AN39" s="2">
        <v>81.202550000000002</v>
      </c>
      <c r="AO39" s="2">
        <v>80.461160000000007</v>
      </c>
      <c r="AP39" s="2">
        <v>81.94444</v>
      </c>
      <c r="AQ39" s="2">
        <v>15.63987</v>
      </c>
      <c r="AR39" s="2">
        <v>15.28365</v>
      </c>
      <c r="AS39" s="2">
        <v>14.40884</v>
      </c>
      <c r="AT39" s="2">
        <v>12.757059999999999</v>
      </c>
      <c r="AU39" s="1" t="s">
        <v>34</v>
      </c>
      <c r="AV39" s="3">
        <v>1.7</v>
      </c>
      <c r="AW39" s="3">
        <v>6.5</v>
      </c>
      <c r="AX39" s="2">
        <v>27.450980000000001</v>
      </c>
      <c r="AY39" s="2">
        <v>3.4668589999999999</v>
      </c>
      <c r="AZ39" s="2">
        <v>6.3806989999999999</v>
      </c>
      <c r="BA39" s="2">
        <v>-16.802610000000001</v>
      </c>
      <c r="BB39" s="2">
        <v>-22.137409999999999</v>
      </c>
      <c r="BC39" s="3">
        <v>4.806</v>
      </c>
      <c r="BD39" s="2">
        <v>6.117356</v>
      </c>
      <c r="BE39" s="3">
        <v>6.7050000000000001</v>
      </c>
      <c r="BF39" s="2">
        <v>-23.937360000000002</v>
      </c>
      <c r="BG39" s="2">
        <v>82.15907</v>
      </c>
      <c r="BH39" s="2">
        <v>84.492890000000003</v>
      </c>
      <c r="BI39" s="2">
        <v>84.603790000000004</v>
      </c>
      <c r="BJ39" s="2">
        <v>83.863630000000001</v>
      </c>
      <c r="BK39" s="2">
        <v>18</v>
      </c>
      <c r="BL39" s="2">
        <v>9</v>
      </c>
      <c r="BM39" s="4">
        <v>20</v>
      </c>
      <c r="BN39" s="4">
        <v>0</v>
      </c>
      <c r="BO39" s="4">
        <v>3</v>
      </c>
      <c r="BP39" s="4">
        <v>16</v>
      </c>
      <c r="BQ39" s="2">
        <v>0</v>
      </c>
      <c r="BR39" s="4">
        <v>9</v>
      </c>
      <c r="BS39" s="4">
        <v>3</v>
      </c>
      <c r="BT39" s="4">
        <v>20</v>
      </c>
      <c r="BU39" s="2">
        <v>45</v>
      </c>
      <c r="BV39" s="2">
        <v>8.2033100000000001</v>
      </c>
      <c r="BW39" s="2">
        <v>539.61559999999997</v>
      </c>
      <c r="BX39" s="3">
        <v>1.1684950000000001</v>
      </c>
      <c r="BY39" s="3">
        <v>0.21654209999999999</v>
      </c>
      <c r="BZ39" s="2">
        <v>1.3166899999999999</v>
      </c>
      <c r="CA39" s="3">
        <v>0.21664079999999999</v>
      </c>
      <c r="CB39" s="3">
        <v>0.3357926</v>
      </c>
      <c r="CC39" s="3">
        <v>0.32407269999999999</v>
      </c>
      <c r="CD39" s="2">
        <v>-3.4902220000000002</v>
      </c>
      <c r="CE39" s="3">
        <v>310.67410000000001</v>
      </c>
      <c r="CF39" s="3">
        <v>302.14060000000001</v>
      </c>
      <c r="CG39" s="2">
        <v>-2.7467609999999998</v>
      </c>
      <c r="CH39" s="3">
        <v>6.7252939999999999</v>
      </c>
      <c r="CI39" s="2">
        <v>-3.3499539999999999</v>
      </c>
      <c r="CJ39" s="3">
        <v>402.27940000000001</v>
      </c>
      <c r="CK39" s="3">
        <v>393.02409999999998</v>
      </c>
      <c r="CL39" s="2">
        <v>-2.3007209999999998</v>
      </c>
      <c r="CM39" s="3">
        <v>5.6157599999999999</v>
      </c>
      <c r="CN39" s="3">
        <v>5.4282750000000002</v>
      </c>
      <c r="CO39" s="3">
        <v>5.1004620000000003</v>
      </c>
      <c r="CP39" s="2">
        <v>-9.184158</v>
      </c>
      <c r="CQ39" s="2">
        <v>-6.0474990000000002</v>
      </c>
      <c r="CR39" s="2">
        <v>-9.0599059999999995E-3</v>
      </c>
      <c r="CS39" s="2">
        <v>-3.3385630000000002</v>
      </c>
      <c r="CT39" s="2">
        <v>9.0236040000000006</v>
      </c>
      <c r="CU39" s="3">
        <v>0.32788790000000001</v>
      </c>
      <c r="CV39" s="2" t="e">
        <v>#N/A</v>
      </c>
      <c r="CW39" s="2" t="e">
        <v>#N/A</v>
      </c>
      <c r="CX39" s="2" t="e">
        <v>#N/A</v>
      </c>
      <c r="CY39" s="2">
        <v>24.868690000000001</v>
      </c>
    </row>
    <row r="40" spans="1:103" ht="15" customHeight="1" x14ac:dyDescent="0.2">
      <c r="A40" s="1">
        <f t="shared" si="0"/>
        <v>34</v>
      </c>
      <c r="B40" s="1" t="s">
        <v>104</v>
      </c>
      <c r="C40" s="1" t="s">
        <v>103</v>
      </c>
      <c r="D40" s="1" t="s">
        <v>64</v>
      </c>
      <c r="E40" s="1" t="s">
        <v>93</v>
      </c>
      <c r="F40" s="2">
        <v>1286.9939999999999</v>
      </c>
      <c r="G40" s="2">
        <v>53.16</v>
      </c>
      <c r="H40" s="2">
        <v>684.16610000000003</v>
      </c>
      <c r="I40" s="3">
        <v>10.3</v>
      </c>
      <c r="J40" s="3">
        <v>0</v>
      </c>
      <c r="K40" s="2">
        <v>0</v>
      </c>
      <c r="L40" s="2">
        <v>0</v>
      </c>
      <c r="M40" s="2">
        <v>0</v>
      </c>
      <c r="N40" s="2">
        <v>0</v>
      </c>
      <c r="O40" s="2">
        <v>11.976739999999999</v>
      </c>
      <c r="P40" s="2">
        <v>12.13458</v>
      </c>
      <c r="Q40" s="2">
        <v>10.147779999999999</v>
      </c>
      <c r="R40" s="2">
        <v>9.9516919999999995</v>
      </c>
      <c r="S40" s="2">
        <v>16.545819999999999</v>
      </c>
      <c r="T40" s="2">
        <v>11.68106</v>
      </c>
      <c r="U40" s="2">
        <v>10.620329999999999</v>
      </c>
      <c r="V40" s="2">
        <v>10.31209</v>
      </c>
      <c r="W40" s="2">
        <v>2.4611770000000002</v>
      </c>
      <c r="X40" s="2">
        <v>2.2489080000000001</v>
      </c>
      <c r="Y40" s="2">
        <v>1.839286</v>
      </c>
      <c r="Z40" s="2">
        <v>1.460993</v>
      </c>
      <c r="AA40" s="2">
        <v>8.6192460000000004</v>
      </c>
      <c r="AB40" s="2">
        <v>9.0437150000000006</v>
      </c>
      <c r="AC40" s="2">
        <v>7.9844970000000002</v>
      </c>
      <c r="AD40" s="2">
        <v>4.912191</v>
      </c>
      <c r="AE40" s="2">
        <v>-10.926310000000001</v>
      </c>
      <c r="AF40" s="2">
        <v>-12.62382</v>
      </c>
      <c r="AG40" s="2">
        <v>-10.973140000000001</v>
      </c>
      <c r="AH40" s="2">
        <v>-22.034269999999999</v>
      </c>
      <c r="AI40" s="2">
        <v>-29.25948</v>
      </c>
      <c r="AJ40" s="2">
        <v>-28.311119999999999</v>
      </c>
      <c r="AK40" s="3">
        <v>0.8072551</v>
      </c>
      <c r="AL40" s="3">
        <v>0.68262389999999995</v>
      </c>
      <c r="AM40" s="2">
        <v>86.934780000000003</v>
      </c>
      <c r="AN40" s="2">
        <v>88.678539999999998</v>
      </c>
      <c r="AO40" s="2">
        <v>87.773690000000002</v>
      </c>
      <c r="AP40" s="2">
        <v>80.299260000000004</v>
      </c>
      <c r="AQ40" s="2">
        <v>4.9162290000000004</v>
      </c>
      <c r="AR40" s="2">
        <v>5.8886789999999998</v>
      </c>
      <c r="AS40" s="2">
        <v>6.0382559999999996</v>
      </c>
      <c r="AT40" s="2">
        <v>6.3152169999999996</v>
      </c>
      <c r="AU40" s="1" t="s">
        <v>10</v>
      </c>
      <c r="AV40" s="3">
        <v>1.619048</v>
      </c>
      <c r="AW40" s="3">
        <v>17</v>
      </c>
      <c r="AX40" s="2">
        <v>65.048540000000003</v>
      </c>
      <c r="AY40" s="2">
        <v>18.533059999999999</v>
      </c>
      <c r="AZ40" s="2">
        <v>14.9</v>
      </c>
      <c r="BA40" s="2">
        <v>-41.277079999999998</v>
      </c>
      <c r="BB40" s="2">
        <v>-44.653419999999997</v>
      </c>
      <c r="BC40" s="3">
        <v>9.7880000000000003</v>
      </c>
      <c r="BD40" s="2">
        <v>5.2308919999999999</v>
      </c>
      <c r="BE40" s="3">
        <v>18.920000000000002</v>
      </c>
      <c r="BF40" s="2">
        <v>-45.560250000000003</v>
      </c>
      <c r="BG40" s="2">
        <v>0</v>
      </c>
      <c r="BH40" s="2">
        <v>0</v>
      </c>
      <c r="BI40" s="2">
        <v>0</v>
      </c>
      <c r="BJ40" s="2">
        <v>0</v>
      </c>
      <c r="BK40" s="2">
        <v>21</v>
      </c>
      <c r="BL40" s="2">
        <v>20</v>
      </c>
      <c r="BM40" s="4">
        <v>21</v>
      </c>
      <c r="BN40" s="4">
        <v>0</v>
      </c>
      <c r="BO40" s="4">
        <v>4</v>
      </c>
      <c r="BP40" s="4">
        <v>17</v>
      </c>
      <c r="BQ40" s="2">
        <v>0</v>
      </c>
      <c r="BR40" s="4">
        <v>11</v>
      </c>
      <c r="BS40" s="4">
        <v>2</v>
      </c>
      <c r="BT40" s="4">
        <v>21</v>
      </c>
      <c r="BU40" s="2">
        <v>52.380949999999999</v>
      </c>
      <c r="BV40" s="2">
        <v>11.9857</v>
      </c>
      <c r="BW40" s="2">
        <v>124.9509</v>
      </c>
      <c r="BX40" s="3">
        <v>0.58546129999999996</v>
      </c>
      <c r="BY40" s="3">
        <v>0.4685532</v>
      </c>
      <c r="BZ40" s="2">
        <v>1.13531</v>
      </c>
      <c r="CA40" s="3">
        <v>0.4681382</v>
      </c>
      <c r="CB40" s="3">
        <v>0.97564300000000004</v>
      </c>
      <c r="CC40" s="3">
        <v>0.85632810000000004</v>
      </c>
      <c r="CD40" s="2">
        <v>-12.229369999999999</v>
      </c>
      <c r="CE40" s="3">
        <v>197.27260000000001</v>
      </c>
      <c r="CF40" s="3">
        <v>176.48910000000001</v>
      </c>
      <c r="CG40" s="2">
        <v>-10.535450000000001</v>
      </c>
      <c r="CH40" s="3">
        <v>19.34722</v>
      </c>
      <c r="CI40" s="2">
        <v>-12.13208</v>
      </c>
      <c r="CJ40" s="3">
        <v>286.46589999999998</v>
      </c>
      <c r="CK40" s="3">
        <v>259.2396</v>
      </c>
      <c r="CL40" s="2">
        <v>-9.5041989999999998</v>
      </c>
      <c r="CM40" s="3">
        <v>14.356669999999999</v>
      </c>
      <c r="CN40" s="3">
        <v>13.25637</v>
      </c>
      <c r="CO40" s="3">
        <v>11.74192</v>
      </c>
      <c r="CP40" s="2">
        <v>-28.256329999999998</v>
      </c>
      <c r="CQ40" s="2">
        <v>-22.30152</v>
      </c>
      <c r="CR40" s="2">
        <v>-12.28012</v>
      </c>
      <c r="CS40" s="2">
        <v>-7.6640009999999998</v>
      </c>
      <c r="CT40" s="2">
        <v>12.519019999999999</v>
      </c>
      <c r="CU40" s="3">
        <v>0.97273339999999997</v>
      </c>
      <c r="CV40" s="2">
        <v>-19.094429999999999</v>
      </c>
      <c r="CW40" s="2">
        <v>-5.7860360000000002</v>
      </c>
      <c r="CX40" s="2">
        <v>-11.25</v>
      </c>
      <c r="CY40" s="2">
        <v>25.101009999999999</v>
      </c>
    </row>
    <row r="41" spans="1:103" ht="15" customHeight="1" x14ac:dyDescent="0.2">
      <c r="A41" s="1">
        <f t="shared" si="0"/>
        <v>35</v>
      </c>
      <c r="B41" s="1" t="s">
        <v>106</v>
      </c>
      <c r="C41" s="1" t="s">
        <v>105</v>
      </c>
      <c r="D41" s="1" t="s">
        <v>64</v>
      </c>
      <c r="E41" s="1" t="s">
        <v>85</v>
      </c>
      <c r="F41" s="2">
        <v>19130.48</v>
      </c>
      <c r="G41" s="2">
        <v>11.852499999999999</v>
      </c>
      <c r="H41" s="2">
        <v>2267.44</v>
      </c>
      <c r="I41" s="3">
        <v>19.73</v>
      </c>
      <c r="J41" s="3">
        <v>0</v>
      </c>
      <c r="K41" s="2">
        <v>7.0957929999999996</v>
      </c>
      <c r="L41" s="2">
        <v>7.0957929999999996</v>
      </c>
      <c r="M41" s="2">
        <v>7.0957929999999996</v>
      </c>
      <c r="N41" s="2">
        <v>7.0957929999999996</v>
      </c>
      <c r="O41" s="2">
        <v>9.6243909999999993</v>
      </c>
      <c r="P41" s="2">
        <v>11.06865</v>
      </c>
      <c r="Q41" s="2">
        <v>12.104290000000001</v>
      </c>
      <c r="R41" s="2">
        <v>12.408799999999999</v>
      </c>
      <c r="S41" s="2">
        <v>6.9898769999999999</v>
      </c>
      <c r="T41" s="2">
        <v>6.6102999999999996</v>
      </c>
      <c r="U41" s="2">
        <v>6.9930320000000004</v>
      </c>
      <c r="V41" s="2">
        <v>7.1088760000000004</v>
      </c>
      <c r="W41" s="2">
        <v>2.0340210000000001</v>
      </c>
      <c r="X41" s="2">
        <v>2.209406</v>
      </c>
      <c r="Y41" s="2">
        <v>2.1543299999999999</v>
      </c>
      <c r="Z41" s="2">
        <v>2.0132650000000001</v>
      </c>
      <c r="AA41" s="2">
        <v>5.0175429999999999</v>
      </c>
      <c r="AB41" s="2">
        <v>5.4215970000000002</v>
      </c>
      <c r="AC41" s="2">
        <v>5.4376069999999999</v>
      </c>
      <c r="AD41" s="2">
        <v>6.5548169999999999</v>
      </c>
      <c r="AE41" s="2">
        <v>2.6246079999999998</v>
      </c>
      <c r="AF41" s="2">
        <v>2.600619</v>
      </c>
      <c r="AG41" s="2">
        <v>3.4962179999999998</v>
      </c>
      <c r="AH41" s="2">
        <v>4.4274889999999996</v>
      </c>
      <c r="AI41" s="2">
        <v>4.5877920000000003</v>
      </c>
      <c r="AJ41" s="2">
        <v>6.2308940000000002</v>
      </c>
      <c r="AK41" s="3" t="e">
        <v>#N/A</v>
      </c>
      <c r="AL41" s="3" t="e">
        <v>#N/A</v>
      </c>
      <c r="AM41" s="2">
        <v>24.207450000000001</v>
      </c>
      <c r="AN41" s="2">
        <v>21.737390000000001</v>
      </c>
      <c r="AO41" s="2">
        <v>21.255230000000001</v>
      </c>
      <c r="AP41" s="2">
        <v>24.191739999999999</v>
      </c>
      <c r="AQ41" s="2">
        <v>2.2082190000000002</v>
      </c>
      <c r="AR41" s="2">
        <v>2.6917249999999999</v>
      </c>
      <c r="AS41" s="2">
        <v>3.0289869999999999</v>
      </c>
      <c r="AT41" s="2">
        <v>3.1200130000000001</v>
      </c>
      <c r="AU41" s="1" t="s">
        <v>107</v>
      </c>
      <c r="AV41" s="3">
        <v>2.7105260000000002</v>
      </c>
      <c r="AW41" s="3">
        <v>24</v>
      </c>
      <c r="AX41" s="2">
        <v>21.64217</v>
      </c>
      <c r="AY41" s="2">
        <v>19.96095</v>
      </c>
      <c r="AZ41" s="2" t="e">
        <v>#N/A</v>
      </c>
      <c r="BA41" s="2">
        <v>-26.79036</v>
      </c>
      <c r="BB41" s="2">
        <v>-26.925930000000001</v>
      </c>
      <c r="BC41" s="3">
        <v>19.510000000000002</v>
      </c>
      <c r="BD41" s="2">
        <v>1.1276250000000001</v>
      </c>
      <c r="BE41" s="3">
        <v>28.88</v>
      </c>
      <c r="BF41" s="2">
        <v>-31.682829999999999</v>
      </c>
      <c r="BG41" s="2">
        <v>67.839119999999994</v>
      </c>
      <c r="BH41" s="2">
        <v>78.803460000000001</v>
      </c>
      <c r="BI41" s="2">
        <v>86.857830000000007</v>
      </c>
      <c r="BJ41" s="2">
        <v>87.104290000000006</v>
      </c>
      <c r="BK41" s="2">
        <v>14</v>
      </c>
      <c r="BL41" s="2">
        <v>13</v>
      </c>
      <c r="BM41" s="4">
        <v>19</v>
      </c>
      <c r="BN41" s="4">
        <v>1</v>
      </c>
      <c r="BO41" s="4">
        <v>2</v>
      </c>
      <c r="BP41" s="4">
        <v>14</v>
      </c>
      <c r="BQ41" s="2">
        <v>5.8823530000000002</v>
      </c>
      <c r="BR41" s="4">
        <v>0</v>
      </c>
      <c r="BS41" s="4">
        <v>15</v>
      </c>
      <c r="BT41" s="4">
        <v>19</v>
      </c>
      <c r="BU41" s="2">
        <v>0</v>
      </c>
      <c r="BV41" s="2">
        <v>6.7971000000000004</v>
      </c>
      <c r="BW41" s="2">
        <v>969.61379999999997</v>
      </c>
      <c r="BX41" s="3">
        <v>0.41167900000000002</v>
      </c>
      <c r="BY41" s="3">
        <v>4.2458030000000001E-2</v>
      </c>
      <c r="BZ41" s="2">
        <v>0.58893499999999999</v>
      </c>
      <c r="CA41" s="3">
        <v>4.2546859999999999E-2</v>
      </c>
      <c r="CB41" s="3">
        <v>1.769603</v>
      </c>
      <c r="CC41" s="3">
        <v>1.815617</v>
      </c>
      <c r="CD41" s="2">
        <v>2.600241</v>
      </c>
      <c r="CE41" s="3">
        <v>3177.8290000000002</v>
      </c>
      <c r="CF41" s="3">
        <v>3153.7060000000001</v>
      </c>
      <c r="CG41" s="2">
        <v>-0.75910690000000003</v>
      </c>
      <c r="CH41" s="3">
        <v>24.679169999999999</v>
      </c>
      <c r="CI41" s="2">
        <v>-2.7519819999999999</v>
      </c>
      <c r="CJ41" s="3">
        <v>27498.799999999999</v>
      </c>
      <c r="CK41" s="3">
        <v>23733.52</v>
      </c>
      <c r="CL41" s="2">
        <v>-13.692550000000001</v>
      </c>
      <c r="CM41" s="3">
        <v>25.98443</v>
      </c>
      <c r="CN41" s="3">
        <v>23.82921</v>
      </c>
      <c r="CO41" s="3">
        <v>21.964230000000001</v>
      </c>
      <c r="CP41" s="2">
        <v>-24.06992</v>
      </c>
      <c r="CQ41" s="2">
        <v>-17.202470000000002</v>
      </c>
      <c r="CR41" s="2">
        <v>-10.172140000000001</v>
      </c>
      <c r="CS41" s="2">
        <v>-8.2942669999999996</v>
      </c>
      <c r="CT41" s="2">
        <v>17.70926</v>
      </c>
      <c r="CU41" s="3">
        <v>9.2570890000000003E-2</v>
      </c>
      <c r="CV41" s="2" t="e">
        <v>#N/A</v>
      </c>
      <c r="CW41" s="2" t="e">
        <v>#N/A</v>
      </c>
      <c r="CX41" s="2" t="e">
        <v>#N/A</v>
      </c>
      <c r="CY41" s="2">
        <v>25.262630000000001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Juan Jose Fernández-Figares</cp:lastModifiedBy>
  <dcterms:created xsi:type="dcterms:W3CDTF">2024-03-15T05:48:24Z</dcterms:created>
  <dcterms:modified xsi:type="dcterms:W3CDTF">2024-03-15T05:48:51Z</dcterms:modified>
  <cp:category/>
</cp:coreProperties>
</file>