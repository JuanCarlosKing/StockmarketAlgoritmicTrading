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/>
  <mc:AlternateContent xmlns:mc="http://schemas.openxmlformats.org/markup-compatibility/2006">
    <mc:Choice Requires="x15">
      <x15ac:absPath xmlns:x15ac="http://schemas.microsoft.com/office/spreadsheetml/2010/11/ac" url="C:\Users\link\OneDrive\Desktop\FAXES\"/>
    </mc:Choice>
  </mc:AlternateContent>
  <xr:revisionPtr revIDLastSave="0" documentId="8_{942F38FE-7B18-4FD7-B8C0-62CC46B49780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Tab1" sheetId="2" r:id="rId1"/>
  </sheets>
  <calcPr calcId="181029"/>
</workbook>
</file>

<file path=xl/calcChain.xml><?xml version="1.0" encoding="utf-8"?>
<calcChain xmlns="http://schemas.openxmlformats.org/spreadsheetml/2006/main">
  <c r="A8" i="2" l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</calcChain>
</file>

<file path=xl/sharedStrings.xml><?xml version="1.0" encoding="utf-8"?>
<sst xmlns="http://schemas.openxmlformats.org/spreadsheetml/2006/main" count="380" uniqueCount="312">
  <si>
    <t>FactSet Universal Screen</t>
  </si>
  <si>
    <t>BBVA-ES</t>
  </si>
  <si>
    <t>Banco Bilbao Vizcaya Argentaria, S.A.</t>
  </si>
  <si>
    <t>Finance</t>
  </si>
  <si>
    <t>Major Banks</t>
  </si>
  <si>
    <t>Overweight (1.50)</t>
  </si>
  <si>
    <t>FER-ES</t>
  </si>
  <si>
    <t>Ferrovial SE</t>
  </si>
  <si>
    <t>Industrial Services</t>
  </si>
  <si>
    <t>Engineering &amp; Construction</t>
  </si>
  <si>
    <t>Overweight (1.25)</t>
  </si>
  <si>
    <t>ROVI-ES</t>
  </si>
  <si>
    <t>Laboratorios Farmaceuticos Rovi, S.A.</t>
  </si>
  <si>
    <t>Health Technology</t>
  </si>
  <si>
    <t>Pharmaceuticals: Major</t>
  </si>
  <si>
    <t>Buy (1.00)</t>
  </si>
  <si>
    <t>AENA-ES</t>
  </si>
  <si>
    <t>Aena SME SA</t>
  </si>
  <si>
    <t>Transportation</t>
  </si>
  <si>
    <t>Other Transportation</t>
  </si>
  <si>
    <t>CABK-ES</t>
  </si>
  <si>
    <t>CaixaBank SA</t>
  </si>
  <si>
    <t>Regional Banks</t>
  </si>
  <si>
    <t>IDR-ES</t>
  </si>
  <si>
    <t>Indra Sistemas, S.A. Class A</t>
  </si>
  <si>
    <t>Technology Services</t>
  </si>
  <si>
    <t>Information Technology Services</t>
  </si>
  <si>
    <t>MRL-ES</t>
  </si>
  <si>
    <t>MERLIN Properties SOCIMI, S.A.</t>
  </si>
  <si>
    <t>Real Estate Investment Trusts</t>
  </si>
  <si>
    <t>LOG-ES</t>
  </si>
  <si>
    <t>Compania de Distribucion Integral Logista Holdings S.A.</t>
  </si>
  <si>
    <t>Air Freight/Couriers</t>
  </si>
  <si>
    <t>SAN-ES</t>
  </si>
  <si>
    <t>Banco Santander, S.A.</t>
  </si>
  <si>
    <t>SCYR-ES</t>
  </si>
  <si>
    <t>Sacyr SA</t>
  </si>
  <si>
    <t>BKT-ES</t>
  </si>
  <si>
    <t>Bankinter SA</t>
  </si>
  <si>
    <t>ITX-ES</t>
  </si>
  <si>
    <t>Industria de Diseno Textil, S.A.</t>
  </si>
  <si>
    <t>Retail Trade</t>
  </si>
  <si>
    <t>Apparel/Footwear Retail</t>
  </si>
  <si>
    <t>REP-ES</t>
  </si>
  <si>
    <t>Repsol SA</t>
  </si>
  <si>
    <t>Energy Minerals</t>
  </si>
  <si>
    <t>Integrated Oil</t>
  </si>
  <si>
    <t>ACX-ES</t>
  </si>
  <si>
    <t>Acerinox SA</t>
  </si>
  <si>
    <t>Non-Energy Minerals</t>
  </si>
  <si>
    <t>Steel</t>
  </si>
  <si>
    <t>IAG-ES</t>
  </si>
  <si>
    <t>International Consolidated Airlines Group SA</t>
  </si>
  <si>
    <t>Airlines</t>
  </si>
  <si>
    <t>SAB-ES</t>
  </si>
  <si>
    <t>Banco de Sabadell SA</t>
  </si>
  <si>
    <t>CLNX-ES</t>
  </si>
  <si>
    <t>Cellnex Telecom S.A.</t>
  </si>
  <si>
    <t>Communications</t>
  </si>
  <si>
    <t>Specialty Telecommunications</t>
  </si>
  <si>
    <t>AMS-ES</t>
  </si>
  <si>
    <t>Amadeus IT Group SA Class A</t>
  </si>
  <si>
    <t>ACS-ES</t>
  </si>
  <si>
    <t>ACS Actividades de Construccion y Servicios SA</t>
  </si>
  <si>
    <t>Hold (2.00)</t>
  </si>
  <si>
    <t>MEL-ES</t>
  </si>
  <si>
    <t>Melia Hotels International, S.A.</t>
  </si>
  <si>
    <t>Consumer Services</t>
  </si>
  <si>
    <t>Hotels/Resorts/Cruiselines</t>
  </si>
  <si>
    <t>IBE-ES</t>
  </si>
  <si>
    <t>Iberdrola SA</t>
  </si>
  <si>
    <t>Utilities</t>
  </si>
  <si>
    <t>Electric Utilities</t>
  </si>
  <si>
    <t>GRF-ES</t>
  </si>
  <si>
    <t>Grifols, S.A. Class A</t>
  </si>
  <si>
    <t>TEF-ES</t>
  </si>
  <si>
    <t>Telefonica SA</t>
  </si>
  <si>
    <t>SLR-ES</t>
  </si>
  <si>
    <t>Solaria Energia y Medio Ambiente, S.A.</t>
  </si>
  <si>
    <t>Alternative Power Generation</t>
  </si>
  <si>
    <t>MAP-ES</t>
  </si>
  <si>
    <t>Mapfre SA</t>
  </si>
  <si>
    <t>Multi-Line Insurance</t>
  </si>
  <si>
    <t>ANA-ES</t>
  </si>
  <si>
    <t>Acciona SA</t>
  </si>
  <si>
    <t>ENG-ES</t>
  </si>
  <si>
    <t>Enagas SA</t>
  </si>
  <si>
    <t>Gas Distributors</t>
  </si>
  <si>
    <t>Underweight (2.25)</t>
  </si>
  <si>
    <t>RED-ES</t>
  </si>
  <si>
    <t>Redeia Corporacion SA</t>
  </si>
  <si>
    <t>MTS-ES</t>
  </si>
  <si>
    <t>ArcelorMittal SA</t>
  </si>
  <si>
    <t>FDR-ES</t>
  </si>
  <si>
    <t>Fluidra, S.A.</t>
  </si>
  <si>
    <t>Consumer Durables</t>
  </si>
  <si>
    <t>Recreational Products</t>
  </si>
  <si>
    <t>ANE-ES</t>
  </si>
  <si>
    <t>Corporacion Acciona Energias Renovables SA</t>
  </si>
  <si>
    <t>Hold (1.75)</t>
  </si>
  <si>
    <t>UNI-ES</t>
  </si>
  <si>
    <t>Unicaja Banco S.A.</t>
  </si>
  <si>
    <t>ELE-ES</t>
  </si>
  <si>
    <t>Endesa S.A.</t>
  </si>
  <si>
    <t>COL-ES</t>
  </si>
  <si>
    <t>Inmobiliaria Colonial SOCIMI SA</t>
  </si>
  <si>
    <t>NTGY-ES</t>
  </si>
  <si>
    <t>Naturgy Energy Group, S.A.</t>
  </si>
  <si>
    <t>Sell (3.00)</t>
  </si>
  <si>
    <t>Company Symbol</t>
  </si>
  <si>
    <t>Company Name</t>
  </si>
  <si>
    <t>FE Ticker</t>
  </si>
  <si>
    <t>FactSet Econ Sector</t>
  </si>
  <si>
    <t>FactSet Ind</t>
  </si>
  <si>
    <t>Market Value EUR millones</t>
  </si>
  <si>
    <t>Float Pct Total Outstdg</t>
  </si>
  <si>
    <t>Free-float EUR millones</t>
  </si>
  <si>
    <t>Ultimo Precio</t>
  </si>
  <si>
    <t>% dia precio</t>
  </si>
  <si>
    <t>Div Yld Y0 Año Cerrado</t>
  </si>
  <si>
    <t>Div Yld Y1 Año Actual</t>
  </si>
  <si>
    <t>Div Yld Y2</t>
  </si>
  <si>
    <t>Div Yld Y3</t>
  </si>
  <si>
    <t>PER Y0 Año Cerrado</t>
  </si>
  <si>
    <t>PER Y1 Año Actual</t>
  </si>
  <si>
    <t>PER Y2</t>
  </si>
  <si>
    <t>PER Y3</t>
  </si>
  <si>
    <t>EV EBITDA Y0 Año Cerrado</t>
  </si>
  <si>
    <t>EV EBITDA Y1 Año Actual</t>
  </si>
  <si>
    <t>EV EBITDA Y2</t>
  </si>
  <si>
    <t>EV EBITDA Y3</t>
  </si>
  <si>
    <t>Precio valor libros Y0 Año Cerrado</t>
  </si>
  <si>
    <t>Precio valor libros Y1 Año Actual</t>
  </si>
  <si>
    <t>Precio valor libros Y2</t>
  </si>
  <si>
    <t>Precio valor libros Y3</t>
  </si>
  <si>
    <t>Precio CF Y0 Año Cerrado</t>
  </si>
  <si>
    <t>Precio CF Y1 Año Actual</t>
  </si>
  <si>
    <t>Precio CF Y2</t>
  </si>
  <si>
    <t>Precio CF Y3</t>
  </si>
  <si>
    <t>FCF/EV (%) Y0 Año Cerrado</t>
  </si>
  <si>
    <t>FCF/EV (%) Y1 Año Actual</t>
  </si>
  <si>
    <t>FCF/EV (%) Y2</t>
  </si>
  <si>
    <t>FCF YLD (%) Y0 Año Cerrado</t>
  </si>
  <si>
    <t>FCF YLD (%) Y1 Año Actual</t>
  </si>
  <si>
    <t>FCF YLD (%) Y2</t>
  </si>
  <si>
    <t>PEG FY1</t>
  </si>
  <si>
    <t>PEG FY2</t>
  </si>
  <si>
    <t>Margen Ebitda % Y0 Año Cerrado</t>
  </si>
  <si>
    <t>Margen Ebitda % Y1 Año Actual</t>
  </si>
  <si>
    <t>Margen Ebitda % Y2</t>
  </si>
  <si>
    <t>Margen Ebitda % Y3</t>
  </si>
  <si>
    <t>Deuda Neta/ Ebitda Y0 Año Cerrado</t>
  </si>
  <si>
    <t>Deuda Neta/ Ebitda Y1 Año Actual</t>
  </si>
  <si>
    <t>Deuda Neta/ Ebitda Y2</t>
  </si>
  <si>
    <t>Deuda Neta/ Ebitda Y3</t>
  </si>
  <si>
    <t>Recomen dacion</t>
  </si>
  <si>
    <t>Recomen dacion numerica</t>
  </si>
  <si>
    <t>Precio objetivo 12 meses</t>
  </si>
  <si>
    <t>Potencial precio objetivo %</t>
  </si>
  <si>
    <t>ROE Y1 Año Actual</t>
  </si>
  <si>
    <t>Crecimiento largo plazo %</t>
  </si>
  <si>
    <t>12 meses %</t>
  </si>
  <si>
    <t>YTD %</t>
  </si>
  <si>
    <t>Last 52 Wks Low Price</t>
  </si>
  <si>
    <t>% desde mínimos 1 año</t>
  </si>
  <si>
    <t>Last 52 Wks High Price</t>
  </si>
  <si>
    <t>% desde máximos 1 año</t>
  </si>
  <si>
    <t>Div Payout Y0 Año Cerrado</t>
  </si>
  <si>
    <t>Div Payout Y1 Año Actual</t>
  </si>
  <si>
    <t>Div Payout Y2</t>
  </si>
  <si>
    <t>Div Payout Y3</t>
  </si>
  <si>
    <t>ECA Num EPS</t>
  </si>
  <si>
    <t>ECA Num EBIT</t>
  </si>
  <si>
    <t>EC Reco Total</t>
  </si>
  <si>
    <t>EC Reco Up</t>
  </si>
  <si>
    <t>EC Reco Down</t>
  </si>
  <si>
    <t>EC Reco Unchng</t>
  </si>
  <si>
    <t>% mod recom Positivas/ Total</t>
  </si>
  <si>
    <t>EC Reco Pos</t>
  </si>
  <si>
    <t>EC Reco Neg</t>
  </si>
  <si>
    <t>Positivas/ Total (%)</t>
  </si>
  <si>
    <t>3y Price Volatility</t>
  </si>
  <si>
    <t>Issue Common Shares Outstdg</t>
  </si>
  <si>
    <t>Average Daily Volume</t>
  </si>
  <si>
    <t>Volumen /acciones %</t>
  </si>
  <si>
    <t>3y BETA Rel to Loc Idx</t>
  </si>
  <si>
    <t>% capital contratado diariamente</t>
  </si>
  <si>
    <t>BPA +1E 3Meses</t>
  </si>
  <si>
    <t>BPA +1E Actual</t>
  </si>
  <si>
    <t>var % BPA +1E 3Meses</t>
  </si>
  <si>
    <t>EBIT +1E 3Meses</t>
  </si>
  <si>
    <t>EBIT +1E Actual</t>
  </si>
  <si>
    <t>var % EBIT +1E 3Meses</t>
  </si>
  <si>
    <t>Precio Objetivo 3Meses</t>
  </si>
  <si>
    <t>var % PO 3Meses</t>
  </si>
  <si>
    <t>Ventas +1E 3Meses</t>
  </si>
  <si>
    <t>Ventas +1E Actual</t>
  </si>
  <si>
    <t>var % Ventas +1E 3Meses</t>
  </si>
  <si>
    <t>Media 200</t>
  </si>
  <si>
    <t>Media 50</t>
  </si>
  <si>
    <t>Media 25</t>
  </si>
  <si>
    <t>dif % Media 200</t>
  </si>
  <si>
    <t>dif % Media 50</t>
  </si>
  <si>
    <t>dif % Media 25</t>
  </si>
  <si>
    <t>Media 50 / 200</t>
  </si>
  <si>
    <t>Volumen Diario 3Meses EUR Millones</t>
  </si>
  <si>
    <t>Volumen Día 3 Meses / Capitalización %</t>
  </si>
  <si>
    <t>BPA Trimestre Sorpresa %</t>
  </si>
  <si>
    <t>Ventas Trimestre Sorpresa %</t>
  </si>
  <si>
    <t>EBIT Trimestral Sorpresa %</t>
  </si>
  <si>
    <t>USRANK1</t>
  </si>
  <si>
    <t>#1</t>
  </si>
  <si>
    <t>#2</t>
  </si>
  <si>
    <t>#4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</si>
  <si>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</si>
  <si>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</si>
  <si>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</si>
  <si>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</si>
  <si>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</si>
  <si>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</si>
  <si>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</si>
  <si>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</si>
  <si>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</si>
  <si>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</si>
  <si>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</si>
  <si>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#19</t>
  </si>
  <si>
    <t>#21</t>
  </si>
  <si>
    <t>#23</t>
  </si>
  <si>
    <t>#24</t>
  </si>
  <si>
    <t>#26</t>
  </si>
  <si>
    <t>#28</t>
  </si>
  <si>
    <t>#30</t>
  </si>
  <si>
    <t>#31</t>
  </si>
  <si>
    <t>#32</t>
  </si>
  <si>
    <t>#33</t>
  </si>
  <si>
    <t>#34</t>
  </si>
  <si>
    <t>#35</t>
  </si>
  <si>
    <t>#37</t>
  </si>
  <si>
    <t>#39</t>
  </si>
  <si>
    <t>#41</t>
  </si>
  <si>
    <t>#42</t>
  </si>
  <si>
    <t>#43</t>
  </si>
  <si>
    <t>#44</t>
  </si>
  <si>
    <t>#45</t>
  </si>
  <si>
    <t>#46</t>
  </si>
  <si>
    <t>#47</t>
  </si>
  <si>
    <t>#48</t>
  </si>
  <si>
    <t>#49</t>
  </si>
  <si>
    <t>#50</t>
  </si>
  <si>
    <t>#51</t>
  </si>
  <si>
    <t>#52</t>
  </si>
  <si>
    <t>#56</t>
  </si>
  <si>
    <t>#57</t>
  </si>
  <si>
    <t>#58</t>
  </si>
  <si>
    <t>#59</t>
  </si>
  <si>
    <t>#63</t>
  </si>
  <si>
    <t>#64</t>
  </si>
  <si>
    <t>#65</t>
  </si>
  <si>
    <t>#66</t>
  </si>
  <si>
    <t>#68</t>
  </si>
  <si>
    <t>#69</t>
  </si>
  <si>
    <t>#79</t>
  </si>
  <si>
    <t>#80</t>
  </si>
  <si>
    <t>#85</t>
  </si>
  <si>
    <t>#86</t>
  </si>
  <si>
    <t>#87</t>
  </si>
  <si>
    <t>#88</t>
  </si>
  <si>
    <t>#89</t>
  </si>
  <si>
    <t>#90</t>
  </si>
  <si>
    <t>#91</t>
  </si>
  <si>
    <t>#92</t>
  </si>
  <si>
    <t>#93</t>
  </si>
  <si>
    <t>#94</t>
  </si>
  <si>
    <t>#95</t>
  </si>
  <si>
    <t>#96</t>
  </si>
  <si>
    <t>#97</t>
  </si>
  <si>
    <t>#98</t>
  </si>
  <si>
    <t>#99</t>
  </si>
  <si>
    <t>#100</t>
  </si>
  <si>
    <t>#101</t>
  </si>
  <si>
    <t>#102</t>
  </si>
  <si>
    <t>#103</t>
  </si>
  <si>
    <t>#104</t>
  </si>
  <si>
    <t>#105</t>
  </si>
  <si>
    <t>#106</t>
  </si>
  <si>
    <t>#107</t>
  </si>
  <si>
    <t>#114</t>
  </si>
  <si>
    <t>#117</t>
  </si>
  <si>
    <t>#118</t>
  </si>
  <si>
    <t>#119</t>
  </si>
  <si>
    <t>#120</t>
  </si>
  <si>
    <t>#121</t>
  </si>
  <si>
    <t>#122</t>
  </si>
  <si>
    <t>#123</t>
  </si>
  <si>
    <t>#124</t>
  </si>
  <si>
    <t>#125</t>
  </si>
  <si>
    <t>#126</t>
  </si>
  <si>
    <t>#127</t>
  </si>
  <si>
    <t>#128</t>
  </si>
  <si>
    <t>#129</t>
  </si>
  <si>
    <t>#130</t>
  </si>
  <si>
    <t>#131</t>
  </si>
  <si>
    <t>#132</t>
  </si>
  <si>
    <t>#133</t>
  </si>
  <si>
    <t>#134</t>
  </si>
  <si>
    <t>#135</t>
  </si>
  <si>
    <t>#138</t>
  </si>
  <si>
    <t>#139</t>
  </si>
  <si>
    <t>#140</t>
  </si>
  <si>
    <t>#141</t>
  </si>
  <si>
    <t>#142</t>
  </si>
  <si>
    <t>#172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</si>
</sst>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10"/>
      <color theme="1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0" fontId="1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F633A-A347-4B32-91B9-B945A72BC883}">
  <sheetPr>
    <outlinePr summaryBelow="0" summaryRight="0"/>
    <pageSetUpPr fitToPage="1"/>
  </sheetPr>
  <dimension ref="A1:CY41"/>
  <sheetViews>
    <sheetView tabSelected="1" workbookViewId="0">
      <pane xSplit="2" ySplit="5" topLeftCell="C7" activePane="bottomRight" state="frozen"/>
      <selection pane="topRight" activeCell="C1" sqref="C1"/>
      <selection pane="bottomLeft" activeCell="A6" sqref="A6"/>
      <selection pane="bottomRight" activeCell="C7" sqref="C7"/>
    </sheetView>
  </sheetViews>
  <sheetFormatPr baseColWidth="10" defaultColWidth="9.140625" defaultRowHeight="15" customHeight="1" x14ac:dyDescent="0.2"/>
  <cols>
    <col min="1" max="1" width="12.140625" customWidth="1"/>
    <col min="2" max="2" width="36" customWidth="1"/>
    <col min="3" max="3" width="14.28515625" customWidth="1"/>
    <col min="4" max="4" width="28" customWidth="1"/>
    <col min="5" max="5" width="23" customWidth="1"/>
    <col min="6" max="7" width="10" customWidth="1"/>
    <col min="8" max="8" width="12" customWidth="1"/>
    <col min="9" max="42" width="10" customWidth="1"/>
    <col min="43" max="44" width="6" customWidth="1"/>
    <col min="45" max="51" width="10" customWidth="1"/>
    <col min="52" max="52" width="12" customWidth="1"/>
    <col min="53" max="53" width="11" customWidth="1"/>
    <col min="54" max="54" width="8" customWidth="1"/>
    <col min="55" max="68" width="10" customWidth="1"/>
    <col min="69" max="69" width="14" customWidth="1"/>
    <col min="70" max="78" width="10" customWidth="1"/>
    <col min="79" max="79" width="12" customWidth="1"/>
    <col min="80" max="98" width="10" customWidth="1"/>
    <col min="99" max="99" width="12" customWidth="1"/>
    <col min="100" max="102" width="10" customWidth="1"/>
    <col min="103" max="103" width="14.28515625" customWidth="1"/>
  </cols>
  <sheetData>
    <row r="1" spans="1:103" ht="15" customHeight="1" x14ac:dyDescent="0.2">
      <c r="A1" t="s">
        <v>0</v>
      </c>
    </row>
    <row r="4" spans="1:103" ht="43.5" customHeight="1" x14ac:dyDescent="0.2">
      <c r="A4" s="5" t="s">
        <v>109</v>
      </c>
      <c r="B4" s="5" t="s">
        <v>110</v>
      </c>
      <c r="C4" s="5" t="s">
        <v>111</v>
      </c>
      <c r="D4" s="5" t="s">
        <v>112</v>
      </c>
      <c r="E4" s="5" t="s">
        <v>113</v>
      </c>
      <c r="F4" s="6" t="s">
        <v>114</v>
      </c>
      <c r="G4" s="6" t="s">
        <v>115</v>
      </c>
      <c r="H4" s="6" t="s">
        <v>116</v>
      </c>
      <c r="I4" s="6" t="s">
        <v>117</v>
      </c>
      <c r="J4" s="6" t="s">
        <v>118</v>
      </c>
      <c r="K4" s="6" t="s">
        <v>119</v>
      </c>
      <c r="L4" s="6" t="s">
        <v>120</v>
      </c>
      <c r="M4" s="6" t="s">
        <v>121</v>
      </c>
      <c r="N4" s="6" t="s">
        <v>122</v>
      </c>
      <c r="O4" s="6" t="s">
        <v>123</v>
      </c>
      <c r="P4" s="6" t="s">
        <v>124</v>
      </c>
      <c r="Q4" s="6" t="s">
        <v>125</v>
      </c>
      <c r="R4" s="6" t="s">
        <v>126</v>
      </c>
      <c r="S4" s="6" t="s">
        <v>127</v>
      </c>
      <c r="T4" s="6" t="s">
        <v>128</v>
      </c>
      <c r="U4" s="6" t="s">
        <v>129</v>
      </c>
      <c r="V4" s="6" t="s">
        <v>130</v>
      </c>
      <c r="W4" s="6" t="s">
        <v>131</v>
      </c>
      <c r="X4" s="6" t="s">
        <v>132</v>
      </c>
      <c r="Y4" s="6" t="s">
        <v>133</v>
      </c>
      <c r="Z4" s="6" t="s">
        <v>134</v>
      </c>
      <c r="AA4" s="6" t="s">
        <v>135</v>
      </c>
      <c r="AB4" s="6" t="s">
        <v>136</v>
      </c>
      <c r="AC4" s="6" t="s">
        <v>137</v>
      </c>
      <c r="AD4" s="6" t="s">
        <v>138</v>
      </c>
      <c r="AE4" s="6" t="s">
        <v>139</v>
      </c>
      <c r="AF4" s="6" t="s">
        <v>140</v>
      </c>
      <c r="AG4" s="6" t="s">
        <v>141</v>
      </c>
      <c r="AH4" s="6" t="s">
        <v>142</v>
      </c>
      <c r="AI4" s="6" t="s">
        <v>143</v>
      </c>
      <c r="AJ4" s="6" t="s">
        <v>144</v>
      </c>
      <c r="AK4" s="6" t="s">
        <v>145</v>
      </c>
      <c r="AL4" s="6" t="s">
        <v>146</v>
      </c>
      <c r="AM4" s="6" t="s">
        <v>147</v>
      </c>
      <c r="AN4" s="6" t="s">
        <v>148</v>
      </c>
      <c r="AO4" s="6" t="s">
        <v>149</v>
      </c>
      <c r="AP4" s="6" t="s">
        <v>150</v>
      </c>
      <c r="AQ4" s="6" t="s">
        <v>151</v>
      </c>
      <c r="AR4" s="6" t="s">
        <v>152</v>
      </c>
      <c r="AS4" s="6" t="s">
        <v>153</v>
      </c>
      <c r="AT4" s="6" t="s">
        <v>154</v>
      </c>
      <c r="AU4" s="5" t="s">
        <v>155</v>
      </c>
      <c r="AV4" s="6" t="s">
        <v>156</v>
      </c>
      <c r="AW4" s="6" t="s">
        <v>157</v>
      </c>
      <c r="AX4" s="6" t="s">
        <v>158</v>
      </c>
      <c r="AY4" s="6" t="s">
        <v>159</v>
      </c>
      <c r="AZ4" s="6" t="s">
        <v>160</v>
      </c>
      <c r="BA4" s="6" t="s">
        <v>161</v>
      </c>
      <c r="BB4" s="6" t="s">
        <v>162</v>
      </c>
      <c r="BC4" s="6" t="s">
        <v>163</v>
      </c>
      <c r="BD4" s="6" t="s">
        <v>164</v>
      </c>
      <c r="BE4" s="6" t="s">
        <v>165</v>
      </c>
      <c r="BF4" s="6" t="s">
        <v>166</v>
      </c>
      <c r="BG4" s="6" t="s">
        <v>167</v>
      </c>
      <c r="BH4" s="6" t="s">
        <v>168</v>
      </c>
      <c r="BI4" s="6" t="s">
        <v>169</v>
      </c>
      <c r="BJ4" s="6" t="s">
        <v>170</v>
      </c>
      <c r="BK4" s="6" t="s">
        <v>171</v>
      </c>
      <c r="BL4" s="6" t="s">
        <v>172</v>
      </c>
      <c r="BM4" s="6" t="s">
        <v>173</v>
      </c>
      <c r="BN4" s="6" t="s">
        <v>174</v>
      </c>
      <c r="BO4" s="6" t="s">
        <v>175</v>
      </c>
      <c r="BP4" s="6" t="s">
        <v>176</v>
      </c>
      <c r="BQ4" s="6" t="s">
        <v>177</v>
      </c>
      <c r="BR4" s="6" t="s">
        <v>178</v>
      </c>
      <c r="BS4" s="6" t="s">
        <v>179</v>
      </c>
      <c r="BT4" s="6" t="s">
        <v>173</v>
      </c>
      <c r="BU4" s="6" t="s">
        <v>180</v>
      </c>
      <c r="BV4" s="6" t="s">
        <v>181</v>
      </c>
      <c r="BW4" s="6" t="s">
        <v>182</v>
      </c>
      <c r="BX4" s="6" t="s">
        <v>183</v>
      </c>
      <c r="BY4" s="6" t="s">
        <v>184</v>
      </c>
      <c r="BZ4" s="6" t="s">
        <v>185</v>
      </c>
      <c r="CA4" s="6" t="s">
        <v>186</v>
      </c>
      <c r="CB4" s="6" t="s">
        <v>187</v>
      </c>
      <c r="CC4" s="6" t="s">
        <v>188</v>
      </c>
      <c r="CD4" s="6" t="s">
        <v>189</v>
      </c>
      <c r="CE4" s="6" t="s">
        <v>190</v>
      </c>
      <c r="CF4" s="6" t="s">
        <v>191</v>
      </c>
      <c r="CG4" s="6" t="s">
        <v>192</v>
      </c>
      <c r="CH4" s="6" t="s">
        <v>193</v>
      </c>
      <c r="CI4" s="6" t="s">
        <v>194</v>
      </c>
      <c r="CJ4" s="6" t="s">
        <v>195</v>
      </c>
      <c r="CK4" s="6" t="s">
        <v>196</v>
      </c>
      <c r="CL4" s="6" t="s">
        <v>197</v>
      </c>
      <c r="CM4" s="6" t="s">
        <v>198</v>
      </c>
      <c r="CN4" s="6" t="s">
        <v>199</v>
      </c>
      <c r="CO4" s="6" t="s">
        <v>200</v>
      </c>
      <c r="CP4" s="6" t="s">
        <v>201</v>
      </c>
      <c r="CQ4" s="6" t="s">
        <v>202</v>
      </c>
      <c r="CR4" s="6" t="s">
        <v>203</v>
      </c>
      <c r="CS4" s="6" t="s">
        <v>204</v>
      </c>
      <c r="CT4" s="6" t="s">
        <v>205</v>
      </c>
      <c r="CU4" s="6" t="s">
        <v>206</v>
      </c>
      <c r="CV4" s="6" t="s">
        <v>207</v>
      </c>
      <c r="CW4" s="6" t="s">
        <v>208</v>
      </c>
      <c r="CX4" s="6" t="s">
        <v>209</v>
      </c>
      <c r="CY4" s="6" t="s">
        <v>210</v>
      </c>
    </row>
    <row r="5" spans="1:103" ht="12.75" x14ac:dyDescent="0.2">
      <c r="A5" s="5"/>
      <c r="B5" s="5"/>
      <c r="C5" s="5" t="s">
        <v>211</v>
      </c>
      <c r="D5" s="5" t="s">
        <v>212</v>
      </c>
      <c r="E5" s="5" t="s">
        <v>213</v>
      </c>
      <c r="F5" s="6" t="s">
        <v>214</v>
      </c>
      <c r="G5" s="6" t="s">
        <v>215</v>
      </c>
      <c r="H5" s="6" t="s">
        <v>216</v>
      </c>
      <c r="I5" s="6" t="s">
        <v>217</v>
      </c>
      <c r="J5" s="6" t="s">
        <v>218</v>
      </c>
      <c r="K5" s="6" t="s">
        <v>219</v>
      </c>
      <c r="L5" s="6" t="s">
        <v>220</v>
      </c>
      <c r="M5" s="6" t="s">
        <v>221</v>
      </c>
      <c r="N5" s="6" t="s">
        <v>222</v>
      </c>
      <c r="O5" s="6" t="s">
        <v>223</v>
      </c>
      <c r="P5" s="6" t="s">
        <v>224</v>
      </c>
      <c r="Q5" s="6" t="s">
        <v>225</v>
      </c>
      <c r="R5" s="6" t="s">
        <v>226</v>
      </c>
      <c r="S5" s="6" t="s">
        <v>227</v>
      </c>
      <c r="T5" s="6" t="s">
        <v>228</v>
      </c>
      <c r="U5" s="6" t="s">
        <v>229</v>
      </c>
      <c r="V5" s="6" t="s">
        <v>230</v>
      </c>
      <c r="W5" s="6" t="s">
        <v>231</v>
      </c>
      <c r="X5" s="6" t="s">
        <v>232</v>
      </c>
      <c r="Y5" s="6" t="s">
        <v>233</v>
      </c>
      <c r="Z5" s="6" t="s">
        <v>234</v>
      </c>
      <c r="AA5" s="6" t="s">
        <v>235</v>
      </c>
      <c r="AB5" s="6" t="s">
        <v>236</v>
      </c>
      <c r="AC5" s="6" t="s">
        <v>237</v>
      </c>
      <c r="AD5" s="6" t="s">
        <v>238</v>
      </c>
      <c r="AE5" s="6" t="s">
        <v>239</v>
      </c>
      <c r="AF5" s="6" t="s">
        <v>240</v>
      </c>
      <c r="AG5" s="6" t="s">
        <v>241</v>
      </c>
      <c r="AH5" s="6" t="s">
        <v>242</v>
      </c>
      <c r="AI5" s="6" t="s">
        <v>243</v>
      </c>
      <c r="AJ5" s="6" t="s">
        <v>244</v>
      </c>
      <c r="AK5" s="6" t="s">
        <v>245</v>
      </c>
      <c r="AL5" s="6" t="s">
        <v>246</v>
      </c>
      <c r="AM5" s="6" t="s">
        <v>247</v>
      </c>
      <c r="AN5" s="6" t="s">
        <v>248</v>
      </c>
      <c r="AO5" s="6" t="s">
        <v>249</v>
      </c>
      <c r="AP5" s="6" t="s">
        <v>250</v>
      </c>
      <c r="AQ5" s="6" t="s">
        <v>251</v>
      </c>
      <c r="AR5" s="6" t="s">
        <v>252</v>
      </c>
      <c r="AS5" s="6" t="s">
        <v>253</v>
      </c>
      <c r="AT5" s="6" t="s">
        <v>254</v>
      </c>
      <c r="AU5" s="5" t="s">
        <v>255</v>
      </c>
      <c r="AV5" s="6" t="s">
        <v>256</v>
      </c>
      <c r="AW5" s="6" t="s">
        <v>257</v>
      </c>
      <c r="AX5" s="6" t="s">
        <v>258</v>
      </c>
      <c r="AY5" s="6" t="s">
        <v>259</v>
      </c>
      <c r="AZ5" s="6" t="s">
        <v>260</v>
      </c>
      <c r="BA5" s="6" t="s">
        <v>261</v>
      </c>
      <c r="BB5" s="6" t="s">
        <v>262</v>
      </c>
      <c r="BC5" s="6" t="s">
        <v>263</v>
      </c>
      <c r="BD5" s="6" t="s">
        <v>264</v>
      </c>
      <c r="BE5" s="6" t="s">
        <v>265</v>
      </c>
      <c r="BF5" s="6" t="s">
        <v>266</v>
      </c>
      <c r="BG5" s="6" t="s">
        <v>267</v>
      </c>
      <c r="BH5" s="6" t="s">
        <v>268</v>
      </c>
      <c r="BI5" s="6" t="s">
        <v>269</v>
      </c>
      <c r="BJ5" s="6" t="s">
        <v>270</v>
      </c>
      <c r="BK5" s="6" t="s">
        <v>271</v>
      </c>
      <c r="BL5" s="6" t="s">
        <v>272</v>
      </c>
      <c r="BM5" s="6" t="s">
        <v>273</v>
      </c>
      <c r="BN5" s="6" t="s">
        <v>274</v>
      </c>
      <c r="BO5" s="6" t="s">
        <v>275</v>
      </c>
      <c r="BP5" s="6" t="s">
        <v>276</v>
      </c>
      <c r="BQ5" s="6" t="s">
        <v>277</v>
      </c>
      <c r="BR5" s="6" t="s">
        <v>278</v>
      </c>
      <c r="BS5" s="6" t="s">
        <v>279</v>
      </c>
      <c r="BT5" s="6" t="s">
        <v>280</v>
      </c>
      <c r="BU5" s="6" t="s">
        <v>281</v>
      </c>
      <c r="BV5" s="6" t="s">
        <v>282</v>
      </c>
      <c r="BW5" s="6" t="s">
        <v>283</v>
      </c>
      <c r="BX5" s="6" t="s">
        <v>284</v>
      </c>
      <c r="BY5" s="6" t="s">
        <v>285</v>
      </c>
      <c r="BZ5" s="6" t="s">
        <v>286</v>
      </c>
      <c r="CA5" s="6" t="s">
        <v>287</v>
      </c>
      <c r="CB5" s="6" t="s">
        <v>288</v>
      </c>
      <c r="CC5" s="6" t="s">
        <v>289</v>
      </c>
      <c r="CD5" s="6" t="s">
        <v>290</v>
      </c>
      <c r="CE5" s="6" t="s">
        <v>291</v>
      </c>
      <c r="CF5" s="6" t="s">
        <v>292</v>
      </c>
      <c r="CG5" s="6" t="s">
        <v>293</v>
      </c>
      <c r="CH5" s="6" t="s">
        <v>294</v>
      </c>
      <c r="CI5" s="6" t="s">
        <v>295</v>
      </c>
      <c r="CJ5" s="6" t="s">
        <v>296</v>
      </c>
      <c r="CK5" s="6" t="s">
        <v>297</v>
      </c>
      <c r="CL5" s="6" t="s">
        <v>298</v>
      </c>
      <c r="CM5" s="6" t="s">
        <v>299</v>
      </c>
      <c r="CN5" s="6" t="s">
        <v>300</v>
      </c>
      <c r="CO5" s="6" t="s">
        <v>301</v>
      </c>
      <c r="CP5" s="6" t="s">
        <v>302</v>
      </c>
      <c r="CQ5" s="6" t="s">
        <v>303</v>
      </c>
      <c r="CR5" s="6" t="s">
        <v>304</v>
      </c>
      <c r="CS5" s="6" t="s">
        <v>305</v>
      </c>
      <c r="CT5" s="6" t="s">
        <v>306</v>
      </c>
      <c r="CU5" s="6" t="s">
        <v>307</v>
      </c>
      <c r="CV5" s="6" t="s">
        <v>308</v>
      </c>
      <c r="CW5" s="6" t="s">
        <v>309</v>
      </c>
      <c r="CX5" s="6" t="s">
        <v>310</v>
      </c>
      <c r="CY5" s="6" t="s">
        <v>311</v>
      </c>
    </row>
    <row r="6" spans="1:103" ht="12.75" hidden="1" x14ac:dyDescent="0.2">
      <c r="A6" s="1"/>
      <c r="B6" s="1"/>
      <c r="C6" s="1"/>
      <c r="D6" s="1"/>
      <c r="E6" s="1"/>
      <c r="F6" s="2"/>
      <c r="G6" s="2"/>
      <c r="H6" s="2"/>
      <c r="I6" s="3"/>
      <c r="J6" s="3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3"/>
      <c r="AL6" s="3"/>
      <c r="AM6" s="2"/>
      <c r="AN6" s="2"/>
      <c r="AO6" s="2"/>
      <c r="AP6" s="2"/>
      <c r="AQ6" s="2"/>
      <c r="AR6" s="2"/>
      <c r="AS6" s="2"/>
      <c r="AT6" s="2"/>
      <c r="AU6" s="1"/>
      <c r="AV6" s="3"/>
      <c r="AW6" s="3"/>
      <c r="AX6" s="2"/>
      <c r="AY6" s="2"/>
      <c r="AZ6" s="2"/>
      <c r="BA6" s="2"/>
      <c r="BB6" s="2"/>
      <c r="BC6" s="3"/>
      <c r="BD6" s="2"/>
      <c r="BE6" s="3"/>
      <c r="BF6" s="2"/>
      <c r="BG6" s="2"/>
      <c r="BH6" s="2"/>
      <c r="BI6" s="2"/>
      <c r="BJ6" s="2"/>
      <c r="BK6" s="2"/>
      <c r="BL6" s="2"/>
      <c r="BM6" s="4"/>
      <c r="BN6" s="4"/>
      <c r="BO6" s="4"/>
      <c r="BP6" s="4"/>
      <c r="BQ6" s="2"/>
      <c r="BR6" s="4"/>
      <c r="BS6" s="4"/>
      <c r="BT6" s="4"/>
      <c r="BU6" s="2"/>
      <c r="BV6" s="2"/>
      <c r="BW6" s="2"/>
      <c r="BX6" s="3"/>
      <c r="BY6" s="3"/>
      <c r="BZ6" s="2"/>
      <c r="CA6" s="3"/>
      <c r="CB6" s="3"/>
      <c r="CC6" s="3"/>
      <c r="CD6" s="2"/>
      <c r="CE6" s="3"/>
      <c r="CF6" s="3"/>
      <c r="CG6" s="2"/>
      <c r="CH6" s="3"/>
      <c r="CI6" s="2"/>
      <c r="CJ6" s="3"/>
      <c r="CK6" s="3"/>
      <c r="CL6" s="2"/>
      <c r="CM6" s="3"/>
      <c r="CN6" s="3"/>
      <c r="CO6" s="3"/>
      <c r="CP6" s="2"/>
      <c r="CQ6" s="2"/>
      <c r="CR6" s="2"/>
      <c r="CS6" s="2"/>
      <c r="CT6" s="2"/>
      <c r="CU6" s="3"/>
      <c r="CV6" s="2"/>
      <c r="CW6" s="2"/>
      <c r="CX6" s="2"/>
      <c r="CY6" s="2"/>
    </row>
    <row r="7" spans="1:103" ht="15" customHeight="1" x14ac:dyDescent="0.2">
      <c r="A7" s="1">
        <v>1</v>
      </c>
      <c r="B7" s="1" t="s">
        <v>2</v>
      </c>
      <c r="C7" s="1" t="s">
        <v>1</v>
      </c>
      <c r="D7" s="1" t="s">
        <v>3</v>
      </c>
      <c r="E7" s="1" t="s">
        <v>4</v>
      </c>
      <c r="F7" s="2">
        <v>50649.97</v>
      </c>
      <c r="G7" s="2">
        <v>99.837599999999995</v>
      </c>
      <c r="H7" s="2">
        <v>50567.71</v>
      </c>
      <c r="I7" s="3">
        <v>8.6760000000000002</v>
      </c>
      <c r="J7" s="3">
        <v>0</v>
      </c>
      <c r="K7" s="2">
        <v>6.3393269999999999</v>
      </c>
      <c r="L7" s="2">
        <v>7.4925839999999999</v>
      </c>
      <c r="M7" s="2">
        <v>7.4343019999999997</v>
      </c>
      <c r="N7" s="2">
        <v>7.4919320000000003</v>
      </c>
      <c r="O7" s="2">
        <v>6.5727270000000004</v>
      </c>
      <c r="P7" s="2">
        <v>6.3098179999999999</v>
      </c>
      <c r="Q7" s="2">
        <v>6.4904070000000003</v>
      </c>
      <c r="R7" s="2">
        <v>6.6229009999999997</v>
      </c>
      <c r="S7" s="2" t="e">
        <v>#N/A</v>
      </c>
      <c r="T7" s="2" t="e">
        <v>#N/A</v>
      </c>
      <c r="U7" s="2" t="e">
        <v>#N/A</v>
      </c>
      <c r="V7" s="2" t="e">
        <v>#N/A</v>
      </c>
      <c r="W7" s="2">
        <v>0.97923249999999995</v>
      </c>
      <c r="X7" s="2">
        <v>0.92199779999999998</v>
      </c>
      <c r="Y7" s="2">
        <v>0.86586819999999998</v>
      </c>
      <c r="Z7" s="2">
        <v>0.8</v>
      </c>
      <c r="AA7" s="2" t="e">
        <v>#N/A</v>
      </c>
      <c r="AB7" s="2" t="e">
        <v>#N/A</v>
      </c>
      <c r="AC7" s="2" t="e">
        <v>#N/A</v>
      </c>
      <c r="AD7" s="2" t="e">
        <v>#N/A</v>
      </c>
      <c r="AE7" s="2" t="e">
        <v>#N/A</v>
      </c>
      <c r="AF7" s="2" t="e">
        <v>#N/A</v>
      </c>
      <c r="AG7" s="2" t="e">
        <v>#N/A</v>
      </c>
      <c r="AH7" s="2" t="e">
        <v>#N/A</v>
      </c>
      <c r="AI7" s="2" t="e">
        <v>#N/A</v>
      </c>
      <c r="AJ7" s="2" t="e">
        <v>#N/A</v>
      </c>
      <c r="AK7" s="3">
        <v>0.65111790000000003</v>
      </c>
      <c r="AL7" s="3">
        <v>0.66129640000000001</v>
      </c>
      <c r="AM7" s="2" t="e">
        <v>#N/A</v>
      </c>
      <c r="AN7" s="2" t="e">
        <v>#N/A</v>
      </c>
      <c r="AO7" s="2" t="e">
        <v>#N/A</v>
      </c>
      <c r="AP7" s="2" t="e">
        <v>#N/A</v>
      </c>
      <c r="AQ7" s="2" t="e">
        <v>#N/A</v>
      </c>
      <c r="AR7" s="2" t="e">
        <v>#N/A</v>
      </c>
      <c r="AS7" s="2" t="e">
        <v>#N/A</v>
      </c>
      <c r="AT7" s="2" t="e">
        <v>#N/A</v>
      </c>
      <c r="AU7" s="1" t="s">
        <v>5</v>
      </c>
      <c r="AV7" s="3">
        <v>1.5</v>
      </c>
      <c r="AW7" s="3">
        <v>10.1</v>
      </c>
      <c r="AX7" s="2">
        <v>16.41311</v>
      </c>
      <c r="AY7" s="2">
        <v>14.612109999999999</v>
      </c>
      <c r="AZ7" s="2">
        <v>9.8170439999999992</v>
      </c>
      <c r="BA7" s="2">
        <v>34.241070000000001</v>
      </c>
      <c r="BB7" s="2">
        <v>5.4704550000000003</v>
      </c>
      <c r="BC7" s="3">
        <v>5.7350000000000003</v>
      </c>
      <c r="BD7" s="2">
        <v>51.281590000000001</v>
      </c>
      <c r="BE7" s="3">
        <v>8.74</v>
      </c>
      <c r="BF7" s="2">
        <v>-0.73226690000000005</v>
      </c>
      <c r="BG7" s="2">
        <v>44.15401</v>
      </c>
      <c r="BH7" s="2">
        <v>47.171100000000003</v>
      </c>
      <c r="BI7" s="2">
        <v>48.523690000000002</v>
      </c>
      <c r="BJ7" s="2">
        <v>48.435670000000002</v>
      </c>
      <c r="BK7" s="2">
        <v>24</v>
      </c>
      <c r="BL7" s="2">
        <v>16</v>
      </c>
      <c r="BM7" s="4">
        <v>26</v>
      </c>
      <c r="BN7" s="4">
        <v>4</v>
      </c>
      <c r="BO7" s="4">
        <v>0</v>
      </c>
      <c r="BP7" s="4">
        <v>20</v>
      </c>
      <c r="BQ7" s="2">
        <v>16.66667</v>
      </c>
      <c r="BR7" s="4">
        <v>14</v>
      </c>
      <c r="BS7" s="4">
        <v>0</v>
      </c>
      <c r="BT7" s="4">
        <v>26</v>
      </c>
      <c r="BU7" s="2">
        <v>53.846159999999998</v>
      </c>
      <c r="BV7" s="2">
        <v>9.0016700000000007</v>
      </c>
      <c r="BW7" s="2">
        <v>5837.94</v>
      </c>
      <c r="BX7" s="3">
        <v>15.58648</v>
      </c>
      <c r="BY7" s="3">
        <v>0.266986</v>
      </c>
      <c r="BZ7" s="2">
        <v>1.50464</v>
      </c>
      <c r="CA7" s="3">
        <v>0.266986</v>
      </c>
      <c r="CB7" s="3">
        <v>1.277366</v>
      </c>
      <c r="CC7" s="3">
        <v>1.35731</v>
      </c>
      <c r="CD7" s="2">
        <v>6.2584999999999997</v>
      </c>
      <c r="CE7" s="3">
        <v>17147.59</v>
      </c>
      <c r="CF7" s="3">
        <v>18904.14</v>
      </c>
      <c r="CG7" s="2">
        <v>10.24371</v>
      </c>
      <c r="CH7" s="3">
        <v>9.3653849999999998</v>
      </c>
      <c r="CI7" s="2">
        <v>7.843947</v>
      </c>
      <c r="CJ7" s="3">
        <v>30049.13</v>
      </c>
      <c r="CK7" s="3">
        <v>31302.01</v>
      </c>
      <c r="CL7" s="2">
        <v>4.1694519999999997</v>
      </c>
      <c r="CM7" s="3">
        <v>7.4189959999999999</v>
      </c>
      <c r="CN7" s="3">
        <v>8.3472559999999998</v>
      </c>
      <c r="CO7" s="3">
        <v>8.2799219999999991</v>
      </c>
      <c r="CP7" s="2">
        <v>16.94304</v>
      </c>
      <c r="CQ7" s="2">
        <v>3.9383530000000002</v>
      </c>
      <c r="CR7" s="2">
        <v>4.7835830000000001</v>
      </c>
      <c r="CS7" s="2">
        <v>12.51192</v>
      </c>
      <c r="CT7" s="2">
        <v>84.440039999999996</v>
      </c>
      <c r="CU7" s="3">
        <v>0.1667129</v>
      </c>
      <c r="CV7" s="2">
        <v>12.061299999999999</v>
      </c>
      <c r="CW7" s="2">
        <v>1.8441350000000001</v>
      </c>
      <c r="CX7" s="2">
        <v>6.7883630000000004</v>
      </c>
      <c r="CY7" s="2">
        <v>9.0808079999999993</v>
      </c>
    </row>
    <row r="8" spans="1:103" ht="15" customHeight="1" x14ac:dyDescent="0.2">
      <c r="A8" s="1">
        <f>1+A7</f>
        <v>2</v>
      </c>
      <c r="B8" s="1" t="s">
        <v>7</v>
      </c>
      <c r="C8" s="1" t="s">
        <v>6</v>
      </c>
      <c r="D8" s="1" t="s">
        <v>8</v>
      </c>
      <c r="E8" s="1" t="s">
        <v>9</v>
      </c>
      <c r="F8" s="2">
        <v>26227.78</v>
      </c>
      <c r="G8" s="2">
        <v>66.3108</v>
      </c>
      <c r="H8" s="2">
        <v>17391.849999999999</v>
      </c>
      <c r="I8" s="3">
        <v>35.409999999999997</v>
      </c>
      <c r="J8" s="3">
        <v>0</v>
      </c>
      <c r="K8" s="2">
        <v>2.0333239999999999</v>
      </c>
      <c r="L8" s="2">
        <v>2.0333239999999999</v>
      </c>
      <c r="M8" s="2">
        <v>2.1098189999999999</v>
      </c>
      <c r="N8" s="2">
        <v>2.1520139999999999</v>
      </c>
      <c r="O8" s="2">
        <v>138.86269999999999</v>
      </c>
      <c r="P8" s="2">
        <v>90.794880000000006</v>
      </c>
      <c r="Q8" s="2">
        <v>53.24812</v>
      </c>
      <c r="R8" s="2">
        <v>40.238639999999997</v>
      </c>
      <c r="S8" s="2">
        <v>32.491799999999998</v>
      </c>
      <c r="T8" s="2">
        <v>30.925999999999998</v>
      </c>
      <c r="U8" s="2">
        <v>25.54832</v>
      </c>
      <c r="V8" s="2">
        <v>21.864229999999999</v>
      </c>
      <c r="W8" s="2">
        <v>6.2561840000000002</v>
      </c>
      <c r="X8" s="2">
        <v>6.6141569999999996</v>
      </c>
      <c r="Y8" s="2">
        <v>6.5378740000000004</v>
      </c>
      <c r="Z8" s="2">
        <v>6.2561840000000002</v>
      </c>
      <c r="AA8" s="2">
        <v>48.50685</v>
      </c>
      <c r="AB8" s="2">
        <v>34.715690000000002</v>
      </c>
      <c r="AC8" s="2">
        <v>25.675090000000001</v>
      </c>
      <c r="AD8" s="2">
        <v>22.411390000000001</v>
      </c>
      <c r="AE8" s="2">
        <v>1.378714</v>
      </c>
      <c r="AF8" s="2">
        <v>1.9353739999999999</v>
      </c>
      <c r="AG8" s="2">
        <v>2.884147</v>
      </c>
      <c r="AH8" s="2">
        <v>1.7008589999999999</v>
      </c>
      <c r="AI8" s="2">
        <v>2.390101</v>
      </c>
      <c r="AJ8" s="2">
        <v>3.5277240000000001</v>
      </c>
      <c r="AK8" s="3">
        <v>2.1244879999999999</v>
      </c>
      <c r="AL8" s="3">
        <v>1.33999</v>
      </c>
      <c r="AM8" s="2">
        <v>9.6411079999999991</v>
      </c>
      <c r="AN8" s="2">
        <v>11.84999</v>
      </c>
      <c r="AO8" s="2">
        <v>14.80382</v>
      </c>
      <c r="AP8" s="2">
        <v>16.478560000000002</v>
      </c>
      <c r="AQ8" s="2">
        <v>8.0405219999999993</v>
      </c>
      <c r="AR8" s="2">
        <v>6.1964449999999998</v>
      </c>
      <c r="AS8" s="2">
        <v>4.8606800000000003</v>
      </c>
      <c r="AT8" s="2">
        <v>3.9887860000000002</v>
      </c>
      <c r="AU8" s="1" t="s">
        <v>10</v>
      </c>
      <c r="AV8" s="3">
        <v>1.568182</v>
      </c>
      <c r="AW8" s="3">
        <v>33.950000000000003</v>
      </c>
      <c r="AX8" s="2">
        <v>-4.1231270000000002</v>
      </c>
      <c r="AY8" s="2">
        <v>7.284726</v>
      </c>
      <c r="AZ8" s="2">
        <v>38.495530000000002</v>
      </c>
      <c r="BA8" s="2">
        <v>30.954129999999999</v>
      </c>
      <c r="BB8" s="2">
        <v>7.2380300000000002</v>
      </c>
      <c r="BC8" s="3">
        <v>25.38</v>
      </c>
      <c r="BD8" s="2">
        <v>39.519309999999997</v>
      </c>
      <c r="BE8" s="3">
        <v>35.78</v>
      </c>
      <c r="BF8" s="2">
        <v>-1.0340929999999999</v>
      </c>
      <c r="BG8" s="2">
        <v>314.09269999999998</v>
      </c>
      <c r="BH8" s="2">
        <v>171.3991</v>
      </c>
      <c r="BI8" s="2">
        <v>114.09099999999999</v>
      </c>
      <c r="BJ8" s="2">
        <v>92.295199999999994</v>
      </c>
      <c r="BK8" s="2">
        <v>19</v>
      </c>
      <c r="BL8" s="2">
        <v>19</v>
      </c>
      <c r="BM8" s="4">
        <v>22</v>
      </c>
      <c r="BN8" s="4">
        <v>1</v>
      </c>
      <c r="BO8" s="4">
        <v>0</v>
      </c>
      <c r="BP8" s="4">
        <v>21</v>
      </c>
      <c r="BQ8" s="2">
        <v>4.5454549999999996</v>
      </c>
      <c r="BR8" s="4">
        <v>12</v>
      </c>
      <c r="BS8" s="4">
        <v>2</v>
      </c>
      <c r="BT8" s="4">
        <v>22</v>
      </c>
      <c r="BU8" s="2">
        <v>54.545459999999999</v>
      </c>
      <c r="BV8" s="2">
        <v>5.8662200000000002</v>
      </c>
      <c r="BW8" s="2">
        <v>740.6884</v>
      </c>
      <c r="BX8" s="3">
        <v>0.98926709999999995</v>
      </c>
      <c r="BY8" s="3">
        <v>0.1335605</v>
      </c>
      <c r="BZ8" s="2">
        <v>0.81287900000000002</v>
      </c>
      <c r="CA8" s="3">
        <v>0.1335605</v>
      </c>
      <c r="CB8" s="3">
        <v>0.39823380000000003</v>
      </c>
      <c r="CC8" s="3">
        <v>0.43297360000000001</v>
      </c>
      <c r="CD8" s="2">
        <v>8.7234610000000004</v>
      </c>
      <c r="CE8" s="3">
        <v>580.7604</v>
      </c>
      <c r="CF8" s="3">
        <v>602.74630000000002</v>
      </c>
      <c r="CG8" s="2">
        <v>3.7857059999999998</v>
      </c>
      <c r="CH8" s="3">
        <v>31.55</v>
      </c>
      <c r="CI8" s="2">
        <v>7.6069829999999996</v>
      </c>
      <c r="CJ8" s="3">
        <v>8076.375</v>
      </c>
      <c r="CK8" s="3">
        <v>8260.8780000000006</v>
      </c>
      <c r="CL8" s="2">
        <v>2.2844790000000001</v>
      </c>
      <c r="CM8" s="3">
        <v>30.188839999999999</v>
      </c>
      <c r="CN8" s="3">
        <v>33.220590000000001</v>
      </c>
      <c r="CO8" s="3">
        <v>34.327689999999997</v>
      </c>
      <c r="CP8" s="2">
        <v>17.295000000000002</v>
      </c>
      <c r="CQ8" s="2">
        <v>6.5905209999999999</v>
      </c>
      <c r="CR8" s="2">
        <v>3.1528710000000002</v>
      </c>
      <c r="CS8" s="2">
        <v>10.042619999999999</v>
      </c>
      <c r="CT8" s="2">
        <v>30.648440000000001</v>
      </c>
      <c r="CU8" s="3">
        <v>0.1168549</v>
      </c>
      <c r="CV8" s="2">
        <v>36.363639999999997</v>
      </c>
      <c r="CW8" s="2">
        <v>39.322189999999999</v>
      </c>
      <c r="CX8" s="2">
        <v>-17.913910000000001</v>
      </c>
      <c r="CY8" s="2">
        <v>12.07071</v>
      </c>
    </row>
    <row r="9" spans="1:103" ht="15" customHeight="1" x14ac:dyDescent="0.2">
      <c r="A9" s="1">
        <f t="shared" ref="A9:A41" si="0">1+A8</f>
        <v>3</v>
      </c>
      <c r="B9" s="1" t="s">
        <v>12</v>
      </c>
      <c r="C9" s="1" t="s">
        <v>11</v>
      </c>
      <c r="D9" s="1" t="s">
        <v>13</v>
      </c>
      <c r="E9" s="1" t="s">
        <v>14</v>
      </c>
      <c r="F9" s="2">
        <v>3459.7350000000001</v>
      </c>
      <c r="G9" s="2">
        <v>35.635300000000001</v>
      </c>
      <c r="H9" s="2">
        <v>1232.8869999999999</v>
      </c>
      <c r="I9" s="3">
        <v>64.05</v>
      </c>
      <c r="J9" s="3">
        <v>0</v>
      </c>
      <c r="K9" s="2">
        <v>2.0140509999999998</v>
      </c>
      <c r="L9" s="2">
        <v>1.6895629999999999</v>
      </c>
      <c r="M9" s="2">
        <v>1.6393439999999999</v>
      </c>
      <c r="N9" s="2">
        <v>1.843091</v>
      </c>
      <c r="O9" s="2">
        <v>17.31081</v>
      </c>
      <c r="P9" s="2">
        <v>20.834879999999998</v>
      </c>
      <c r="Q9" s="2">
        <v>21.934930000000001</v>
      </c>
      <c r="R9" s="2">
        <v>18.755490000000002</v>
      </c>
      <c r="S9" s="2">
        <v>6.79148</v>
      </c>
      <c r="T9" s="2">
        <v>13.82551</v>
      </c>
      <c r="U9" s="2">
        <v>14.815440000000001</v>
      </c>
      <c r="V9" s="2">
        <v>12.985150000000001</v>
      </c>
      <c r="W9" s="2">
        <v>6.6580050000000002</v>
      </c>
      <c r="X9" s="2">
        <v>5.8761469999999996</v>
      </c>
      <c r="Y9" s="2">
        <v>5.1494730000000004</v>
      </c>
      <c r="Z9" s="2">
        <v>4.1203180000000001</v>
      </c>
      <c r="AA9" s="2">
        <v>14.430440000000001</v>
      </c>
      <c r="AB9" s="2">
        <v>19.05369</v>
      </c>
      <c r="AC9" s="2">
        <v>17.721979999999999</v>
      </c>
      <c r="AD9" s="2">
        <v>16.137170000000001</v>
      </c>
      <c r="AE9" s="2">
        <v>2.9372530000000001</v>
      </c>
      <c r="AF9" s="2">
        <v>4.7853510000000004</v>
      </c>
      <c r="AG9" s="2">
        <v>5.1990379999999998</v>
      </c>
      <c r="AH9" s="2">
        <v>2.9117829999999998</v>
      </c>
      <c r="AI9" s="2">
        <v>4.692679</v>
      </c>
      <c r="AJ9" s="2">
        <v>4.94658</v>
      </c>
      <c r="AK9" s="3" t="e">
        <v>#N/A</v>
      </c>
      <c r="AL9" s="3" t="e">
        <v>#N/A</v>
      </c>
      <c r="AM9" s="2">
        <v>34.120089999999998</v>
      </c>
      <c r="AN9" s="2">
        <v>28.418430000000001</v>
      </c>
      <c r="AO9" s="2">
        <v>28.553619999999999</v>
      </c>
      <c r="AP9" s="2">
        <v>30.268660000000001</v>
      </c>
      <c r="AQ9" s="2">
        <v>-0.1899642</v>
      </c>
      <c r="AR9" s="2">
        <v>-0.1287382</v>
      </c>
      <c r="AS9" s="2">
        <v>-0.29257640000000001</v>
      </c>
      <c r="AT9" s="2">
        <v>-0.66272189999999997</v>
      </c>
      <c r="AU9" s="1" t="s">
        <v>15</v>
      </c>
      <c r="AV9" s="3">
        <v>1.4</v>
      </c>
      <c r="AW9" s="3">
        <v>63.75</v>
      </c>
      <c r="AX9" s="2">
        <v>-0.46839120000000001</v>
      </c>
      <c r="AY9" s="2">
        <v>28.203410000000002</v>
      </c>
      <c r="AZ9" s="2" t="e">
        <v>#N/A</v>
      </c>
      <c r="BA9" s="2">
        <v>64.992289999999997</v>
      </c>
      <c r="BB9" s="2">
        <v>6.3953519999999999</v>
      </c>
      <c r="BC9" s="3">
        <v>37</v>
      </c>
      <c r="BD9" s="2">
        <v>73.10812</v>
      </c>
      <c r="BE9" s="3">
        <v>65.05</v>
      </c>
      <c r="BF9" s="2">
        <v>-1.5372809999999999</v>
      </c>
      <c r="BG9" s="2">
        <v>33.133690000000001</v>
      </c>
      <c r="BH9" s="2">
        <v>36.415930000000003</v>
      </c>
      <c r="BI9" s="2">
        <v>34.663110000000003</v>
      </c>
      <c r="BJ9" s="2">
        <v>33.841180000000001</v>
      </c>
      <c r="BK9" s="2">
        <v>8</v>
      </c>
      <c r="BL9" s="2">
        <v>9</v>
      </c>
      <c r="BM9" s="4">
        <v>10</v>
      </c>
      <c r="BN9" s="4">
        <v>0</v>
      </c>
      <c r="BO9" s="4">
        <v>1</v>
      </c>
      <c r="BP9" s="4">
        <v>10</v>
      </c>
      <c r="BQ9" s="2">
        <v>0</v>
      </c>
      <c r="BR9" s="4">
        <v>6</v>
      </c>
      <c r="BS9" s="4">
        <v>0</v>
      </c>
      <c r="BT9" s="4">
        <v>10</v>
      </c>
      <c r="BU9" s="2">
        <v>60</v>
      </c>
      <c r="BV9" s="2">
        <v>8.8788300000000007</v>
      </c>
      <c r="BW9" s="2">
        <v>54.016159999999999</v>
      </c>
      <c r="BX9" s="3">
        <v>0.1136802</v>
      </c>
      <c r="BY9" s="3">
        <v>0.210456</v>
      </c>
      <c r="BZ9" s="2">
        <v>0.47876600000000002</v>
      </c>
      <c r="CA9" s="3">
        <v>0.210456</v>
      </c>
      <c r="CB9" s="3">
        <v>2.63375</v>
      </c>
      <c r="CC9" s="3">
        <v>3.0750039999999998</v>
      </c>
      <c r="CD9" s="2">
        <v>16.75384</v>
      </c>
      <c r="CE9" s="3">
        <v>179.3</v>
      </c>
      <c r="CF9" s="3">
        <v>208.45670000000001</v>
      </c>
      <c r="CG9" s="2">
        <v>16.261420000000001</v>
      </c>
      <c r="CH9" s="3">
        <v>61.075000000000003</v>
      </c>
      <c r="CI9" s="2">
        <v>4.3798570000000003</v>
      </c>
      <c r="CJ9" s="3">
        <v>772.25</v>
      </c>
      <c r="CK9" s="3">
        <v>813.36099999999999</v>
      </c>
      <c r="CL9" s="2">
        <v>5.3235289999999997</v>
      </c>
      <c r="CM9" s="3">
        <v>49.786520000000003</v>
      </c>
      <c r="CN9" s="3">
        <v>59.497050000000002</v>
      </c>
      <c r="CO9" s="3">
        <v>62.096159999999998</v>
      </c>
      <c r="CP9" s="2">
        <v>28.649280000000001</v>
      </c>
      <c r="CQ9" s="2">
        <v>7.6524020000000004</v>
      </c>
      <c r="CR9" s="2">
        <v>3.1464819999999998</v>
      </c>
      <c r="CS9" s="2">
        <v>19.50432</v>
      </c>
      <c r="CT9" s="2">
        <v>4.807677</v>
      </c>
      <c r="CU9" s="3">
        <v>0.1389608</v>
      </c>
      <c r="CV9" s="2" t="e">
        <v>#N/A</v>
      </c>
      <c r="CW9" s="2" t="e">
        <v>#N/A</v>
      </c>
      <c r="CX9" s="2" t="e">
        <v>#N/A</v>
      </c>
      <c r="CY9" s="2">
        <v>12.29293</v>
      </c>
    </row>
    <row r="10" spans="1:103" ht="15" customHeight="1" x14ac:dyDescent="0.2">
      <c r="A10" s="1">
        <f t="shared" si="0"/>
        <v>4</v>
      </c>
      <c r="B10" s="1" t="s">
        <v>17</v>
      </c>
      <c r="C10" s="1" t="s">
        <v>16</v>
      </c>
      <c r="D10" s="1" t="s">
        <v>18</v>
      </c>
      <c r="E10" s="1" t="s">
        <v>19</v>
      </c>
      <c r="F10" s="2">
        <v>24637.5</v>
      </c>
      <c r="G10" s="2">
        <v>48.971699999999998</v>
      </c>
      <c r="H10" s="2">
        <v>12065.4</v>
      </c>
      <c r="I10" s="3">
        <v>164.25</v>
      </c>
      <c r="J10" s="3">
        <v>0</v>
      </c>
      <c r="K10" s="2">
        <v>2.8919329999999999</v>
      </c>
      <c r="L10" s="2">
        <v>4.6863979999999996</v>
      </c>
      <c r="M10" s="2">
        <v>5.1750379999999998</v>
      </c>
      <c r="N10" s="2">
        <v>5.5954309999999996</v>
      </c>
      <c r="O10" s="2">
        <v>27.329450000000001</v>
      </c>
      <c r="P10" s="2">
        <v>17.16301</v>
      </c>
      <c r="Q10" s="2">
        <v>15.236549999999999</v>
      </c>
      <c r="R10" s="2">
        <v>14.108510000000001</v>
      </c>
      <c r="S10" s="2">
        <v>11.46668</v>
      </c>
      <c r="T10" s="2">
        <v>11.11561</v>
      </c>
      <c r="U10" s="2">
        <v>9.8230400000000007</v>
      </c>
      <c r="V10" s="2">
        <v>9.1059719999999995</v>
      </c>
      <c r="W10" s="2">
        <v>3.667932</v>
      </c>
      <c r="X10" s="2">
        <v>3.3248989999999998</v>
      </c>
      <c r="Y10" s="2">
        <v>3.126798</v>
      </c>
      <c r="Z10" s="2">
        <v>2.9251999999999998</v>
      </c>
      <c r="AA10" s="2">
        <v>13.52347</v>
      </c>
      <c r="AB10" s="2">
        <v>11.11299</v>
      </c>
      <c r="AC10" s="2">
        <v>10.31391</v>
      </c>
      <c r="AD10" s="2">
        <v>9.7368790000000001</v>
      </c>
      <c r="AE10" s="2">
        <v>4.1523070000000004</v>
      </c>
      <c r="AF10" s="2">
        <v>5.646909</v>
      </c>
      <c r="AG10" s="2">
        <v>6.1261060000000001</v>
      </c>
      <c r="AH10" s="2">
        <v>5.1808820000000004</v>
      </c>
      <c r="AI10" s="2">
        <v>6.9253850000000003</v>
      </c>
      <c r="AJ10" s="2">
        <v>7.3904899999999998</v>
      </c>
      <c r="AK10" s="3">
        <v>1.108862</v>
      </c>
      <c r="AL10" s="3">
        <v>0.96827319999999995</v>
      </c>
      <c r="AM10" s="2">
        <v>49.708129999999997</v>
      </c>
      <c r="AN10" s="2">
        <v>55.712359999999997</v>
      </c>
      <c r="AO10" s="2">
        <v>56.778640000000003</v>
      </c>
      <c r="AP10" s="2">
        <v>57.83182</v>
      </c>
      <c r="AQ10" s="2">
        <v>3.0030399999999999</v>
      </c>
      <c r="AR10" s="2">
        <v>2.208431</v>
      </c>
      <c r="AS10" s="2">
        <v>1.813404</v>
      </c>
      <c r="AT10" s="2">
        <v>1.5578730000000001</v>
      </c>
      <c r="AU10" s="1" t="s">
        <v>15</v>
      </c>
      <c r="AV10" s="3">
        <v>1.4137930000000001</v>
      </c>
      <c r="AW10" s="3">
        <v>173.99979999999999</v>
      </c>
      <c r="AX10" s="2">
        <v>5.935943</v>
      </c>
      <c r="AY10" s="2">
        <v>19.37247</v>
      </c>
      <c r="AZ10" s="2">
        <v>19.270810000000001</v>
      </c>
      <c r="BA10" s="2">
        <v>19.454550000000001</v>
      </c>
      <c r="BB10" s="2">
        <v>9.1409679999999993E-2</v>
      </c>
      <c r="BC10" s="3">
        <v>131.5</v>
      </c>
      <c r="BD10" s="2">
        <v>24.90494</v>
      </c>
      <c r="BE10" s="3">
        <v>169.65</v>
      </c>
      <c r="BF10" s="2">
        <v>-3.1830189999999998</v>
      </c>
      <c r="BG10" s="2">
        <v>70.704520000000002</v>
      </c>
      <c r="BH10" s="2">
        <v>81.179630000000003</v>
      </c>
      <c r="BI10" s="2">
        <v>79.774990000000003</v>
      </c>
      <c r="BJ10" s="2">
        <v>79.904790000000006</v>
      </c>
      <c r="BK10" s="2">
        <v>25</v>
      </c>
      <c r="BL10" s="2">
        <v>24</v>
      </c>
      <c r="BM10" s="4">
        <v>29</v>
      </c>
      <c r="BN10" s="4">
        <v>1</v>
      </c>
      <c r="BO10" s="4">
        <v>0</v>
      </c>
      <c r="BP10" s="4">
        <v>29</v>
      </c>
      <c r="BQ10" s="2">
        <v>3.3333330000000001</v>
      </c>
      <c r="BR10" s="4">
        <v>20</v>
      </c>
      <c r="BS10" s="4">
        <v>2</v>
      </c>
      <c r="BT10" s="4">
        <v>29</v>
      </c>
      <c r="BU10" s="2">
        <v>68.965519999999998</v>
      </c>
      <c r="BV10" s="2">
        <v>7.2637900000000002</v>
      </c>
      <c r="BW10" s="2">
        <v>150</v>
      </c>
      <c r="BX10" s="3">
        <v>0.15094469999999999</v>
      </c>
      <c r="BY10" s="3">
        <v>0.10062980000000001</v>
      </c>
      <c r="BZ10" s="2">
        <v>1.2166399999999999</v>
      </c>
      <c r="CA10" s="3">
        <v>0.10062980000000001</v>
      </c>
      <c r="CB10" s="3">
        <v>9.0348269999999999</v>
      </c>
      <c r="CC10" s="3">
        <v>9.4284540000000003</v>
      </c>
      <c r="CD10" s="2">
        <v>4.3567780000000003</v>
      </c>
      <c r="CE10" s="3">
        <v>1845.9739999999999</v>
      </c>
      <c r="CF10" s="3">
        <v>1926.9390000000001</v>
      </c>
      <c r="CG10" s="2">
        <v>4.3860080000000004</v>
      </c>
      <c r="CH10" s="3">
        <v>161.6277</v>
      </c>
      <c r="CI10" s="2">
        <v>7.6546909999999997</v>
      </c>
      <c r="CJ10" s="3">
        <v>4894.4139999999998</v>
      </c>
      <c r="CK10" s="3">
        <v>4935.5060000000003</v>
      </c>
      <c r="CL10" s="2">
        <v>0.83957910000000002</v>
      </c>
      <c r="CM10" s="3">
        <v>149.08240000000001</v>
      </c>
      <c r="CN10" s="3">
        <v>162.5804</v>
      </c>
      <c r="CO10" s="3">
        <v>163.9385</v>
      </c>
      <c r="CP10" s="2">
        <v>10.173999999999999</v>
      </c>
      <c r="CQ10" s="2">
        <v>1.02694</v>
      </c>
      <c r="CR10" s="2">
        <v>0.19001960000000001</v>
      </c>
      <c r="CS10" s="2">
        <v>9.0540769999999995</v>
      </c>
      <c r="CT10" s="2">
        <v>20.6492</v>
      </c>
      <c r="CU10" s="3">
        <v>8.3812070000000002E-2</v>
      </c>
      <c r="CV10" s="2">
        <v>9.3867010000000004</v>
      </c>
      <c r="CW10" s="2">
        <v>-0.57723780000000002</v>
      </c>
      <c r="CX10" s="2">
        <v>2.8116449999999999</v>
      </c>
      <c r="CY10" s="2">
        <v>13.91919</v>
      </c>
    </row>
    <row r="11" spans="1:103" ht="15" customHeight="1" x14ac:dyDescent="0.2">
      <c r="A11" s="1">
        <f t="shared" si="0"/>
        <v>5</v>
      </c>
      <c r="B11" s="1" t="s">
        <v>21</v>
      </c>
      <c r="C11" s="1" t="s">
        <v>20</v>
      </c>
      <c r="D11" s="1" t="s">
        <v>3</v>
      </c>
      <c r="E11" s="1" t="s">
        <v>22</v>
      </c>
      <c r="F11" s="2">
        <v>29663.43</v>
      </c>
      <c r="G11" s="2">
        <v>53.741199999999999</v>
      </c>
      <c r="H11" s="2">
        <v>15941.48</v>
      </c>
      <c r="I11" s="3">
        <v>3.9540000000000002</v>
      </c>
      <c r="J11" s="3">
        <v>0</v>
      </c>
      <c r="K11" s="2">
        <v>5.8168949999999997</v>
      </c>
      <c r="L11" s="2">
        <v>9.3136829999999993</v>
      </c>
      <c r="M11" s="2">
        <v>9.3576130000000006</v>
      </c>
      <c r="N11" s="2">
        <v>9.3266779999999994</v>
      </c>
      <c r="O11" s="2">
        <v>10.686489999999999</v>
      </c>
      <c r="P11" s="2">
        <v>6.3587230000000003</v>
      </c>
      <c r="Q11" s="2">
        <v>6.2761899999999997</v>
      </c>
      <c r="R11" s="2">
        <v>6.6550050000000001</v>
      </c>
      <c r="S11" s="2" t="e">
        <v>#N/A</v>
      </c>
      <c r="T11" s="2" t="e">
        <v>#N/A</v>
      </c>
      <c r="U11" s="2" t="e">
        <v>#N/A</v>
      </c>
      <c r="V11" s="2" t="e">
        <v>#N/A</v>
      </c>
      <c r="W11" s="2">
        <v>0.86520790000000003</v>
      </c>
      <c r="X11" s="2">
        <v>0.83802189999999999</v>
      </c>
      <c r="Y11" s="2">
        <v>0.79450860000000001</v>
      </c>
      <c r="Z11" s="2">
        <v>0.75348689999999996</v>
      </c>
      <c r="AA11" s="2" t="e">
        <v>#N/A</v>
      </c>
      <c r="AB11" s="2" t="e">
        <v>#N/A</v>
      </c>
      <c r="AC11" s="2" t="e">
        <v>#N/A</v>
      </c>
      <c r="AD11" s="2" t="e">
        <v>#N/A</v>
      </c>
      <c r="AE11" s="2" t="e">
        <v>#N/A</v>
      </c>
      <c r="AF11" s="2" t="e">
        <v>#N/A</v>
      </c>
      <c r="AG11" s="2" t="e">
        <v>#N/A</v>
      </c>
      <c r="AH11" s="2" t="e">
        <v>#N/A</v>
      </c>
      <c r="AI11" s="2" t="e">
        <v>#N/A</v>
      </c>
      <c r="AJ11" s="2" t="e">
        <v>#N/A</v>
      </c>
      <c r="AK11" s="3">
        <v>0.48894379999999998</v>
      </c>
      <c r="AL11" s="3">
        <v>0.48408010000000001</v>
      </c>
      <c r="AM11" s="2" t="e">
        <v>#N/A</v>
      </c>
      <c r="AN11" s="2" t="e">
        <v>#N/A</v>
      </c>
      <c r="AO11" s="2" t="e">
        <v>#N/A</v>
      </c>
      <c r="AP11" s="2" t="e">
        <v>#N/A</v>
      </c>
      <c r="AQ11" s="2" t="e">
        <v>#N/A</v>
      </c>
      <c r="AR11" s="2" t="e">
        <v>#N/A</v>
      </c>
      <c r="AS11" s="2" t="e">
        <v>#N/A</v>
      </c>
      <c r="AT11" s="2" t="e">
        <v>#N/A</v>
      </c>
      <c r="AU11" s="1" t="s">
        <v>15</v>
      </c>
      <c r="AV11" s="3">
        <v>1.42</v>
      </c>
      <c r="AW11" s="3">
        <v>5.0449999999999999</v>
      </c>
      <c r="AX11" s="2">
        <v>27.592310000000001</v>
      </c>
      <c r="AY11" s="2">
        <v>13.17909</v>
      </c>
      <c r="AZ11" s="2">
        <v>16.695650000000001</v>
      </c>
      <c r="BA11" s="2">
        <v>-2.7784589999999998</v>
      </c>
      <c r="BB11" s="2">
        <v>6.1191560000000003</v>
      </c>
      <c r="BC11" s="3">
        <v>3.1230000000000002</v>
      </c>
      <c r="BD11" s="2">
        <v>26.60904</v>
      </c>
      <c r="BE11" s="3">
        <v>4.2300000000000004</v>
      </c>
      <c r="BF11" s="2">
        <v>-6.5248249999999999</v>
      </c>
      <c r="BG11" s="2">
        <v>62.026249999999997</v>
      </c>
      <c r="BH11" s="2">
        <v>58.127719999999997</v>
      </c>
      <c r="BI11" s="2">
        <v>59.0381</v>
      </c>
      <c r="BJ11" s="2">
        <v>60.488750000000003</v>
      </c>
      <c r="BK11" s="2">
        <v>23</v>
      </c>
      <c r="BL11" s="2">
        <v>15</v>
      </c>
      <c r="BM11" s="4">
        <v>25</v>
      </c>
      <c r="BN11" s="4">
        <v>2</v>
      </c>
      <c r="BO11" s="4">
        <v>1</v>
      </c>
      <c r="BP11" s="4">
        <v>25</v>
      </c>
      <c r="BQ11" s="2">
        <v>7.1428580000000004</v>
      </c>
      <c r="BR11" s="4">
        <v>17</v>
      </c>
      <c r="BS11" s="4">
        <v>1</v>
      </c>
      <c r="BT11" s="4">
        <v>25</v>
      </c>
      <c r="BU11" s="2">
        <v>68</v>
      </c>
      <c r="BV11" s="2">
        <v>7.2582399999999998</v>
      </c>
      <c r="BW11" s="2">
        <v>7502.1319999999996</v>
      </c>
      <c r="BX11" s="3">
        <v>12.152559999999999</v>
      </c>
      <c r="BY11" s="3">
        <v>0.1619881</v>
      </c>
      <c r="BZ11" s="2">
        <v>0.629112</v>
      </c>
      <c r="CA11" s="3">
        <v>0.1619881</v>
      </c>
      <c r="CB11" s="3">
        <v>0.61689479999999997</v>
      </c>
      <c r="CC11" s="3">
        <v>0.6257779</v>
      </c>
      <c r="CD11" s="2">
        <v>1.4399649999999999</v>
      </c>
      <c r="CE11" s="3">
        <v>8238.1749999999993</v>
      </c>
      <c r="CF11" s="3">
        <v>8271.7860000000001</v>
      </c>
      <c r="CG11" s="2">
        <v>0.40799380000000002</v>
      </c>
      <c r="CH11" s="3">
        <v>5.2478259999999999</v>
      </c>
      <c r="CI11" s="2">
        <v>-3.8649559999999998</v>
      </c>
      <c r="CJ11" s="3">
        <v>14044.51</v>
      </c>
      <c r="CK11" s="3">
        <v>14185.7</v>
      </c>
      <c r="CL11" s="2">
        <v>1.0053399999999999</v>
      </c>
      <c r="CM11" s="3">
        <v>3.7440000000000002</v>
      </c>
      <c r="CN11" s="3">
        <v>3.9121950000000001</v>
      </c>
      <c r="CO11" s="3">
        <v>3.8758460000000001</v>
      </c>
      <c r="CP11" s="2">
        <v>5.6089640000000003</v>
      </c>
      <c r="CQ11" s="2">
        <v>1.068568</v>
      </c>
      <c r="CR11" s="2">
        <v>2.0164369999999998</v>
      </c>
      <c r="CS11" s="2">
        <v>4.4923900000000003</v>
      </c>
      <c r="CT11" s="2">
        <v>44.075940000000003</v>
      </c>
      <c r="CU11" s="3">
        <v>0.14858679999999999</v>
      </c>
      <c r="CV11" s="2">
        <v>5.2456440000000004</v>
      </c>
      <c r="CW11" s="2">
        <v>6.8897269999999997</v>
      </c>
      <c r="CX11" s="2">
        <v>10.18064</v>
      </c>
      <c r="CY11" s="2">
        <v>14.0505</v>
      </c>
    </row>
    <row r="12" spans="1:103" ht="15" customHeight="1" x14ac:dyDescent="0.2">
      <c r="A12" s="1">
        <f t="shared" si="0"/>
        <v>6</v>
      </c>
      <c r="B12" s="1" t="s">
        <v>24</v>
      </c>
      <c r="C12" s="1" t="s">
        <v>23</v>
      </c>
      <c r="D12" s="1" t="s">
        <v>25</v>
      </c>
      <c r="E12" s="1" t="s">
        <v>26</v>
      </c>
      <c r="F12" s="2">
        <v>2909.498</v>
      </c>
      <c r="G12" s="2">
        <v>65.373900000000006</v>
      </c>
      <c r="H12" s="2">
        <v>1902.0519999999999</v>
      </c>
      <c r="I12" s="3">
        <v>16.47</v>
      </c>
      <c r="J12" s="3">
        <v>0</v>
      </c>
      <c r="K12" s="2">
        <v>1.517911</v>
      </c>
      <c r="L12" s="2">
        <v>1.593807</v>
      </c>
      <c r="M12" s="2">
        <v>1.9429270000000001</v>
      </c>
      <c r="N12" s="2">
        <v>2.125076</v>
      </c>
      <c r="O12" s="2">
        <v>18.3</v>
      </c>
      <c r="P12" s="2">
        <v>13.46325</v>
      </c>
      <c r="Q12" s="2">
        <v>12.291040000000001</v>
      </c>
      <c r="R12" s="2">
        <v>11.31959</v>
      </c>
      <c r="S12" s="2">
        <v>4.8073180000000004</v>
      </c>
      <c r="T12" s="2">
        <v>5.9080250000000003</v>
      </c>
      <c r="U12" s="2">
        <v>6.0327989999999998</v>
      </c>
      <c r="V12" s="2">
        <v>5.3912890000000004</v>
      </c>
      <c r="W12" s="2">
        <v>2.9852820000000002</v>
      </c>
      <c r="X12" s="2">
        <v>2.518348</v>
      </c>
      <c r="Y12" s="2">
        <v>2.193076</v>
      </c>
      <c r="Z12" s="2">
        <v>1.928571</v>
      </c>
      <c r="AA12" s="2">
        <v>10.006069999999999</v>
      </c>
      <c r="AB12" s="2">
        <v>9.2163799999999991</v>
      </c>
      <c r="AC12" s="2">
        <v>8.6019459999999999</v>
      </c>
      <c r="AD12" s="2">
        <v>8.0914850000000005</v>
      </c>
      <c r="AE12" s="2">
        <v>6.7508660000000003</v>
      </c>
      <c r="AF12" s="2">
        <v>8.3435170000000003</v>
      </c>
      <c r="AG12" s="2">
        <v>9.6083180000000006</v>
      </c>
      <c r="AH12" s="2">
        <v>7.0492929999999996</v>
      </c>
      <c r="AI12" s="2">
        <v>8.2486920000000001</v>
      </c>
      <c r="AJ12" s="2">
        <v>8.9847110000000008</v>
      </c>
      <c r="AK12" s="3">
        <v>0.84559519999999999</v>
      </c>
      <c r="AL12" s="3">
        <v>0.76922729999999995</v>
      </c>
      <c r="AM12" s="2">
        <v>10.3947</v>
      </c>
      <c r="AN12" s="2">
        <v>10.377129999999999</v>
      </c>
      <c r="AO12" s="2">
        <v>10.684939999999999</v>
      </c>
      <c r="AP12" s="2">
        <v>10.837440000000001</v>
      </c>
      <c r="AQ12" s="2">
        <v>0.1074194</v>
      </c>
      <c r="AR12" s="2">
        <v>0.29205750000000003</v>
      </c>
      <c r="AS12" s="2">
        <v>-6.9351960000000004E-2</v>
      </c>
      <c r="AT12" s="2">
        <v>-0.37419639999999998</v>
      </c>
      <c r="AU12" s="1" t="s">
        <v>10</v>
      </c>
      <c r="AV12" s="3">
        <v>1.464286</v>
      </c>
      <c r="AW12" s="3">
        <v>16.399999999999999</v>
      </c>
      <c r="AX12" s="2">
        <v>-0.42501090000000002</v>
      </c>
      <c r="AY12" s="2">
        <v>18.705349999999999</v>
      </c>
      <c r="AZ12" s="2">
        <v>15.824439999999999</v>
      </c>
      <c r="BA12" s="2">
        <v>47.053559999999997</v>
      </c>
      <c r="BB12" s="2">
        <v>17.642859999999999</v>
      </c>
      <c r="BC12" s="3">
        <v>11.08</v>
      </c>
      <c r="BD12" s="2">
        <v>48.6462</v>
      </c>
      <c r="BE12" s="3">
        <v>16.55</v>
      </c>
      <c r="BF12" s="2">
        <v>-0.48338170000000003</v>
      </c>
      <c r="BG12" s="2">
        <v>24.33531</v>
      </c>
      <c r="BH12" s="2">
        <v>22.376090000000001</v>
      </c>
      <c r="BI12" s="2">
        <v>24.3733</v>
      </c>
      <c r="BJ12" s="2">
        <v>23.209810000000001</v>
      </c>
      <c r="BK12" s="2">
        <v>14</v>
      </c>
      <c r="BL12" s="2">
        <v>14</v>
      </c>
      <c r="BM12" s="4">
        <v>14</v>
      </c>
      <c r="BN12" s="4">
        <v>2</v>
      </c>
      <c r="BO12" s="4">
        <v>0</v>
      </c>
      <c r="BP12" s="4">
        <v>13</v>
      </c>
      <c r="BQ12" s="2">
        <v>13.33333</v>
      </c>
      <c r="BR12" s="4">
        <v>8</v>
      </c>
      <c r="BS12" s="4">
        <v>0</v>
      </c>
      <c r="BT12" s="4">
        <v>14</v>
      </c>
      <c r="BU12" s="2">
        <v>57.142859999999999</v>
      </c>
      <c r="BV12" s="2">
        <v>7.9148300000000003</v>
      </c>
      <c r="BW12" s="2">
        <v>176.65440000000001</v>
      </c>
      <c r="BX12" s="3">
        <v>0.51109300000000002</v>
      </c>
      <c r="BY12" s="3">
        <v>0.28931800000000002</v>
      </c>
      <c r="BZ12" s="2">
        <v>0.40656900000000001</v>
      </c>
      <c r="CA12" s="3">
        <v>0.28931800000000002</v>
      </c>
      <c r="CB12" s="3">
        <v>1.2444759999999999</v>
      </c>
      <c r="CC12" s="3">
        <v>1.2308429999999999</v>
      </c>
      <c r="CD12" s="2">
        <v>-1.095504</v>
      </c>
      <c r="CE12" s="3">
        <v>348.0455</v>
      </c>
      <c r="CF12" s="3">
        <v>347.05680000000001</v>
      </c>
      <c r="CG12" s="2">
        <v>-0.28408169999999999</v>
      </c>
      <c r="CH12" s="3">
        <v>15.76646</v>
      </c>
      <c r="CI12" s="2">
        <v>4.0182469999999997</v>
      </c>
      <c r="CJ12" s="3">
        <v>4189.5439999999999</v>
      </c>
      <c r="CK12" s="3">
        <v>4225.4210000000003</v>
      </c>
      <c r="CL12" s="2">
        <v>0.85632799999999998</v>
      </c>
      <c r="CM12" s="3">
        <v>13.18507</v>
      </c>
      <c r="CN12" s="3">
        <v>14.604699999999999</v>
      </c>
      <c r="CO12" s="3">
        <v>15.051920000000001</v>
      </c>
      <c r="CP12" s="2">
        <v>24.913979999999999</v>
      </c>
      <c r="CQ12" s="2">
        <v>12.771879999999999</v>
      </c>
      <c r="CR12" s="2">
        <v>9.4212170000000004</v>
      </c>
      <c r="CS12" s="2">
        <v>10.766959999999999</v>
      </c>
      <c r="CT12" s="2">
        <v>5.5629910000000002</v>
      </c>
      <c r="CU12" s="3">
        <v>0.19120100000000001</v>
      </c>
      <c r="CV12" s="2">
        <v>-1.5711740000000001</v>
      </c>
      <c r="CW12" s="2">
        <v>3.9766550000000001</v>
      </c>
      <c r="CX12" s="2">
        <v>-1.111111</v>
      </c>
      <c r="CY12" s="2">
        <v>14.29293</v>
      </c>
    </row>
    <row r="13" spans="1:103" ht="15" customHeight="1" x14ac:dyDescent="0.2">
      <c r="A13" s="1">
        <f t="shared" si="0"/>
        <v>7</v>
      </c>
      <c r="B13" s="1" t="s">
        <v>28</v>
      </c>
      <c r="C13" s="1" t="s">
        <v>27</v>
      </c>
      <c r="D13" s="1" t="s">
        <v>3</v>
      </c>
      <c r="E13" s="1" t="s">
        <v>29</v>
      </c>
      <c r="F13" s="2">
        <v>4465.1710000000003</v>
      </c>
      <c r="G13" s="2">
        <v>66.606499999999997</v>
      </c>
      <c r="H13" s="2">
        <v>2974.0940000000001</v>
      </c>
      <c r="I13" s="3">
        <v>9.5050000000000008</v>
      </c>
      <c r="J13" s="3">
        <v>0</v>
      </c>
      <c r="K13" s="2">
        <v>12.519729999999999</v>
      </c>
      <c r="L13" s="2">
        <v>4.6427880000000004</v>
      </c>
      <c r="M13" s="2">
        <v>4.8005420000000001</v>
      </c>
      <c r="N13" s="2">
        <v>5.1025780000000003</v>
      </c>
      <c r="O13" s="2">
        <v>15.58197</v>
      </c>
      <c r="P13" s="2">
        <v>15.58197</v>
      </c>
      <c r="Q13" s="2">
        <v>15.15949</v>
      </c>
      <c r="R13" s="2">
        <v>14.18657</v>
      </c>
      <c r="S13" s="2">
        <v>24.397189999999998</v>
      </c>
      <c r="T13" s="2">
        <v>24.3855</v>
      </c>
      <c r="U13" s="2">
        <v>22.53941</v>
      </c>
      <c r="V13" s="2">
        <v>21.084340000000001</v>
      </c>
      <c r="W13" s="2">
        <v>0.65192039999999996</v>
      </c>
      <c r="X13" s="2">
        <v>0.69992639999999995</v>
      </c>
      <c r="Y13" s="2">
        <v>0.72991600000000001</v>
      </c>
      <c r="Z13" s="2">
        <v>0.72491640000000002</v>
      </c>
      <c r="AA13" s="2">
        <v>16.352350000000001</v>
      </c>
      <c r="AB13" s="2">
        <v>16.241240000000001</v>
      </c>
      <c r="AC13" s="2">
        <v>16.498860000000001</v>
      </c>
      <c r="AD13" s="2">
        <v>14.10979</v>
      </c>
      <c r="AE13" s="2">
        <v>1.5024550000000001</v>
      </c>
      <c r="AF13" s="2">
        <v>2.8703310000000002</v>
      </c>
      <c r="AG13" s="2">
        <v>1.895697</v>
      </c>
      <c r="AH13" s="2">
        <v>2.8907980000000002</v>
      </c>
      <c r="AI13" s="2">
        <v>5.5956270000000004</v>
      </c>
      <c r="AJ13" s="2">
        <v>3.7327340000000002</v>
      </c>
      <c r="AK13" s="3">
        <v>2.867362</v>
      </c>
      <c r="AL13" s="3">
        <v>2.7398359999999999</v>
      </c>
      <c r="AM13" s="2">
        <v>72.453199999999995</v>
      </c>
      <c r="AN13" s="2">
        <v>74.513050000000007</v>
      </c>
      <c r="AO13" s="2">
        <v>74.594279999999998</v>
      </c>
      <c r="AP13" s="2">
        <v>74.199290000000005</v>
      </c>
      <c r="AQ13" s="2">
        <v>11.83755</v>
      </c>
      <c r="AR13" s="2">
        <v>11.36651</v>
      </c>
      <c r="AS13" s="2">
        <v>10.977600000000001</v>
      </c>
      <c r="AT13" s="2">
        <v>10.3765</v>
      </c>
      <c r="AU13" s="1" t="s">
        <v>15</v>
      </c>
      <c r="AV13" s="3">
        <v>1.35</v>
      </c>
      <c r="AW13" s="3">
        <v>10.8</v>
      </c>
      <c r="AX13" s="2">
        <v>13.624409999999999</v>
      </c>
      <c r="AY13" s="2">
        <v>4.4919000000000002</v>
      </c>
      <c r="AZ13" s="2">
        <v>5.5016100000000003</v>
      </c>
      <c r="BA13" s="2">
        <v>6.0234189999999996</v>
      </c>
      <c r="BB13" s="2">
        <v>-5.5168990000000004</v>
      </c>
      <c r="BC13" s="3">
        <v>7.4349999999999996</v>
      </c>
      <c r="BD13" s="2">
        <v>27.841290000000001</v>
      </c>
      <c r="BE13" s="3">
        <v>10.18</v>
      </c>
      <c r="BF13" s="2">
        <v>-6.6306469999999997</v>
      </c>
      <c r="BG13" s="2">
        <v>199.0436</v>
      </c>
      <c r="BH13" s="2">
        <v>74.134060000000005</v>
      </c>
      <c r="BI13" s="2">
        <v>72.752510000000001</v>
      </c>
      <c r="BJ13" s="2">
        <v>70.968699999999998</v>
      </c>
      <c r="BK13" s="2">
        <v>17</v>
      </c>
      <c r="BL13" s="2">
        <v>10</v>
      </c>
      <c r="BM13" s="4">
        <v>20</v>
      </c>
      <c r="BN13" s="4">
        <v>2</v>
      </c>
      <c r="BO13" s="4">
        <v>0</v>
      </c>
      <c r="BP13" s="4">
        <v>15</v>
      </c>
      <c r="BQ13" s="2">
        <v>11.764710000000001</v>
      </c>
      <c r="BR13" s="4">
        <v>14</v>
      </c>
      <c r="BS13" s="4">
        <v>0</v>
      </c>
      <c r="BT13" s="4">
        <v>20</v>
      </c>
      <c r="BU13" s="2">
        <v>70</v>
      </c>
      <c r="BV13" s="2">
        <v>7.25814</v>
      </c>
      <c r="BW13" s="2">
        <v>469.77080000000001</v>
      </c>
      <c r="BX13" s="3">
        <v>0.72727779999999997</v>
      </c>
      <c r="BY13" s="3">
        <v>0.15481549999999999</v>
      </c>
      <c r="BZ13" s="2">
        <v>0.88017299999999998</v>
      </c>
      <c r="CA13" s="3">
        <v>0.15481549999999999</v>
      </c>
      <c r="CB13" s="3">
        <v>0.59778620000000005</v>
      </c>
      <c r="CC13" s="3">
        <v>0.60253159999999995</v>
      </c>
      <c r="CD13" s="2">
        <v>0.7938385</v>
      </c>
      <c r="CE13" s="3">
        <v>333.27629999999999</v>
      </c>
      <c r="CF13" s="3">
        <v>322.9332</v>
      </c>
      <c r="CG13" s="2">
        <v>-3.1034649999999999</v>
      </c>
      <c r="CH13" s="3">
        <v>9.9694739999999999</v>
      </c>
      <c r="CI13" s="2">
        <v>8.3306900000000006</v>
      </c>
      <c r="CJ13" s="3">
        <v>464.88720000000001</v>
      </c>
      <c r="CK13" s="3">
        <v>482.86540000000002</v>
      </c>
      <c r="CL13" s="2">
        <v>3.8672209999999998</v>
      </c>
      <c r="CM13" s="3">
        <v>8.4300239999999995</v>
      </c>
      <c r="CN13" s="3">
        <v>9.592841</v>
      </c>
      <c r="CO13" s="3">
        <v>9.6278860000000002</v>
      </c>
      <c r="CP13" s="2">
        <v>12.751760000000001</v>
      </c>
      <c r="CQ13" s="2">
        <v>-0.91569420000000001</v>
      </c>
      <c r="CR13" s="2">
        <v>-1.2763500000000001</v>
      </c>
      <c r="CS13" s="2">
        <v>13.793749999999999</v>
      </c>
      <c r="CT13" s="2">
        <v>7.633381</v>
      </c>
      <c r="CU13" s="3">
        <v>0.17095389999999999</v>
      </c>
      <c r="CV13" s="2">
        <v>7.1428580000000004</v>
      </c>
      <c r="CW13" s="2">
        <v>5.1184799999999999</v>
      </c>
      <c r="CX13" s="2">
        <v>1.36958</v>
      </c>
      <c r="CY13" s="2">
        <v>14.353540000000001</v>
      </c>
    </row>
    <row r="14" spans="1:103" ht="15" customHeight="1" x14ac:dyDescent="0.2">
      <c r="A14" s="1">
        <f t="shared" si="0"/>
        <v>8</v>
      </c>
      <c r="B14" s="1" t="s">
        <v>31</v>
      </c>
      <c r="C14" s="1" t="s">
        <v>30</v>
      </c>
      <c r="D14" s="1" t="s">
        <v>18</v>
      </c>
      <c r="E14" s="1" t="s">
        <v>32</v>
      </c>
      <c r="F14" s="2">
        <v>3483.36</v>
      </c>
      <c r="G14" s="2">
        <v>44.114199999999997</v>
      </c>
      <c r="H14" s="2">
        <v>1536.6559999999999</v>
      </c>
      <c r="I14" s="3">
        <v>26.24</v>
      </c>
      <c r="J14" s="3">
        <v>0</v>
      </c>
      <c r="K14" s="2">
        <v>6.9550299999999998</v>
      </c>
      <c r="L14" s="2">
        <v>7.4885669999999998</v>
      </c>
      <c r="M14" s="2">
        <v>7.4601800000000003</v>
      </c>
      <c r="N14" s="2">
        <v>7.7743900000000004</v>
      </c>
      <c r="O14" s="2">
        <v>10.66667</v>
      </c>
      <c r="P14" s="2">
        <v>10.512919999999999</v>
      </c>
      <c r="Q14" s="2">
        <v>10.66667</v>
      </c>
      <c r="R14" s="2">
        <v>10.22006</v>
      </c>
      <c r="S14" s="2">
        <v>1.8301609999999999</v>
      </c>
      <c r="T14" s="2">
        <v>2.2966739999999999</v>
      </c>
      <c r="U14" s="2">
        <v>2.241266</v>
      </c>
      <c r="V14" s="2">
        <v>2.6136740000000001</v>
      </c>
      <c r="W14" s="2">
        <v>5.8768200000000004</v>
      </c>
      <c r="X14" s="2">
        <v>5.6735129999999998</v>
      </c>
      <c r="Y14" s="2">
        <v>5.4496359999999999</v>
      </c>
      <c r="Z14" s="2">
        <v>5.0951459999999997</v>
      </c>
      <c r="AA14" s="2">
        <v>9.9393930000000008</v>
      </c>
      <c r="AB14" s="2">
        <v>8.7759199999999993</v>
      </c>
      <c r="AC14" s="2">
        <v>8.5751639999999991</v>
      </c>
      <c r="AD14" s="2">
        <v>8.2257049999999996</v>
      </c>
      <c r="AE14" s="2">
        <v>25.5578</v>
      </c>
      <c r="AF14" s="2">
        <v>32.50714</v>
      </c>
      <c r="AG14" s="2">
        <v>24.113769999999999</v>
      </c>
      <c r="AH14" s="2">
        <v>7.80199</v>
      </c>
      <c r="AI14" s="2">
        <v>9.9140730000000001</v>
      </c>
      <c r="AJ14" s="2">
        <v>9.209498</v>
      </c>
      <c r="AK14" s="3" t="e">
        <v>#N/A</v>
      </c>
      <c r="AL14" s="3" t="e">
        <v>#N/A</v>
      </c>
      <c r="AM14" s="2">
        <v>27.96912</v>
      </c>
      <c r="AN14" s="2">
        <v>27.012840000000001</v>
      </c>
      <c r="AO14" s="2">
        <v>27.080829999999999</v>
      </c>
      <c r="AP14" s="2">
        <v>27.890409999999999</v>
      </c>
      <c r="AQ14" s="2">
        <v>-5.0694569999999999</v>
      </c>
      <c r="AR14" s="2">
        <v>-5.226782</v>
      </c>
      <c r="AS14" s="2">
        <v>-5.1075949999999999</v>
      </c>
      <c r="AT14" s="2">
        <v>-4.2298629999999999</v>
      </c>
      <c r="AU14" s="1" t="s">
        <v>15</v>
      </c>
      <c r="AV14" s="3">
        <v>1.1000000000000001</v>
      </c>
      <c r="AW14" s="3">
        <v>30</v>
      </c>
      <c r="AX14" s="2">
        <v>14.329269999999999</v>
      </c>
      <c r="AY14" s="2">
        <v>53.967039999999997</v>
      </c>
      <c r="AZ14" s="2" t="e">
        <v>#N/A</v>
      </c>
      <c r="BA14" s="2">
        <v>5.4662350000000002</v>
      </c>
      <c r="BB14" s="2">
        <v>7.1895480000000003</v>
      </c>
      <c r="BC14" s="3">
        <v>21.94</v>
      </c>
      <c r="BD14" s="2">
        <v>19.5989</v>
      </c>
      <c r="BE14" s="3">
        <v>26.44</v>
      </c>
      <c r="BF14" s="2">
        <v>-0.75643059999999995</v>
      </c>
      <c r="BG14" s="2">
        <v>73.972719999999995</v>
      </c>
      <c r="BH14" s="2">
        <v>80.936940000000007</v>
      </c>
      <c r="BI14" s="2">
        <v>81.165270000000007</v>
      </c>
      <c r="BJ14" s="2">
        <v>79.371939999999995</v>
      </c>
      <c r="BK14" s="2">
        <v>9</v>
      </c>
      <c r="BL14" s="2">
        <v>9</v>
      </c>
      <c r="BM14" s="4">
        <v>10</v>
      </c>
      <c r="BN14" s="4">
        <v>1</v>
      </c>
      <c r="BO14" s="4">
        <v>0</v>
      </c>
      <c r="BP14" s="4">
        <v>9</v>
      </c>
      <c r="BQ14" s="2">
        <v>10</v>
      </c>
      <c r="BR14" s="4">
        <v>10</v>
      </c>
      <c r="BS14" s="4">
        <v>0</v>
      </c>
      <c r="BT14" s="4">
        <v>10</v>
      </c>
      <c r="BU14" s="2">
        <v>100</v>
      </c>
      <c r="BV14" s="2">
        <v>5.2460599999999999</v>
      </c>
      <c r="BW14" s="2">
        <v>132.75</v>
      </c>
      <c r="BX14" s="3">
        <v>0.17790310000000001</v>
      </c>
      <c r="BY14" s="3">
        <v>0.13401370000000001</v>
      </c>
      <c r="BZ14" s="2">
        <v>0.62994099999999997</v>
      </c>
      <c r="CA14" s="3">
        <v>0.13401370000000001</v>
      </c>
      <c r="CB14" s="3">
        <v>2.300948</v>
      </c>
      <c r="CC14" s="3">
        <v>2.4153310000000001</v>
      </c>
      <c r="CD14" s="2">
        <v>4.9710869999999998</v>
      </c>
      <c r="CE14" s="3">
        <v>338.65839999999997</v>
      </c>
      <c r="CF14" s="3">
        <v>347.0478</v>
      </c>
      <c r="CG14" s="2">
        <v>2.477252</v>
      </c>
      <c r="CH14" s="3">
        <v>29.844000000000001</v>
      </c>
      <c r="CI14" s="2">
        <v>0.52272079999999999</v>
      </c>
      <c r="CJ14" s="3">
        <v>1723.4059999999999</v>
      </c>
      <c r="CK14" s="3">
        <v>1715.1479999999999</v>
      </c>
      <c r="CL14" s="2">
        <v>-0.47919149999999999</v>
      </c>
      <c r="CM14" s="3">
        <v>24.29852</v>
      </c>
      <c r="CN14" s="3">
        <v>24.62039</v>
      </c>
      <c r="CO14" s="3">
        <v>25.28923</v>
      </c>
      <c r="CP14" s="2">
        <v>7.9901220000000004</v>
      </c>
      <c r="CQ14" s="2">
        <v>6.5783259999999997</v>
      </c>
      <c r="CR14" s="2">
        <v>3.7595869999999998</v>
      </c>
      <c r="CS14" s="2">
        <v>1.324654</v>
      </c>
      <c r="CT14" s="2">
        <v>4.1110290000000003</v>
      </c>
      <c r="CU14" s="3">
        <v>0.1180191</v>
      </c>
      <c r="CV14" s="2" t="e">
        <v>#N/A</v>
      </c>
      <c r="CW14" s="2">
        <v>3.059653</v>
      </c>
      <c r="CX14" s="2">
        <v>3.7783380000000002</v>
      </c>
      <c r="CY14" s="2">
        <v>14.52525</v>
      </c>
    </row>
    <row r="15" spans="1:103" ht="15" customHeight="1" x14ac:dyDescent="0.2">
      <c r="A15" s="1">
        <f t="shared" si="0"/>
        <v>9</v>
      </c>
      <c r="B15" s="1" t="s">
        <v>34</v>
      </c>
      <c r="C15" s="1" t="s">
        <v>33</v>
      </c>
      <c r="D15" s="1" t="s">
        <v>3</v>
      </c>
      <c r="E15" s="1" t="s">
        <v>4</v>
      </c>
      <c r="F15" s="2">
        <v>60455.88</v>
      </c>
      <c r="G15" s="2">
        <v>98.965400000000002</v>
      </c>
      <c r="H15" s="2">
        <v>59830.41</v>
      </c>
      <c r="I15" s="3">
        <v>3.7355</v>
      </c>
      <c r="J15" s="3">
        <v>1.192093E-5</v>
      </c>
      <c r="K15" s="2">
        <v>4.5509300000000001</v>
      </c>
      <c r="L15" s="2">
        <v>5.0863339999999999</v>
      </c>
      <c r="M15" s="2">
        <v>5.8894390000000003</v>
      </c>
      <c r="N15" s="2">
        <v>6.5586929999999999</v>
      </c>
      <c r="O15" s="2">
        <v>5.7469229999999998</v>
      </c>
      <c r="P15" s="2">
        <v>5.5340740000000004</v>
      </c>
      <c r="Q15" s="2">
        <v>5.1881940000000002</v>
      </c>
      <c r="R15" s="2">
        <v>4.9663449999999996</v>
      </c>
      <c r="S15" s="2" t="e">
        <v>#N/A</v>
      </c>
      <c r="T15" s="2" t="e">
        <v>#N/A</v>
      </c>
      <c r="U15" s="2" t="e">
        <v>#N/A</v>
      </c>
      <c r="V15" s="2" t="e">
        <v>#N/A</v>
      </c>
      <c r="W15" s="2">
        <v>0.62051500000000004</v>
      </c>
      <c r="X15" s="2">
        <v>0.57189820000000002</v>
      </c>
      <c r="Y15" s="2">
        <v>0.52958260000000001</v>
      </c>
      <c r="Z15" s="2">
        <v>0.53709560000000001</v>
      </c>
      <c r="AA15" s="2" t="e">
        <v>#N/A</v>
      </c>
      <c r="AB15" s="2" t="e">
        <v>#N/A</v>
      </c>
      <c r="AC15" s="2" t="e">
        <v>#N/A</v>
      </c>
      <c r="AD15" s="2" t="e">
        <v>#N/A</v>
      </c>
      <c r="AE15" s="2" t="e">
        <v>#N/A</v>
      </c>
      <c r="AF15" s="2" t="e">
        <v>#N/A</v>
      </c>
      <c r="AG15" s="2" t="e">
        <v>#N/A</v>
      </c>
      <c r="AH15" s="2" t="e">
        <v>#N/A</v>
      </c>
      <c r="AI15" s="2" t="e">
        <v>#N/A</v>
      </c>
      <c r="AJ15" s="2" t="e">
        <v>#N/A</v>
      </c>
      <c r="AK15" s="3">
        <v>0.56308219999999998</v>
      </c>
      <c r="AL15" s="3">
        <v>0.52524850000000001</v>
      </c>
      <c r="AM15" s="2" t="e">
        <v>#N/A</v>
      </c>
      <c r="AN15" s="2" t="e">
        <v>#N/A</v>
      </c>
      <c r="AO15" s="2" t="e">
        <v>#N/A</v>
      </c>
      <c r="AP15" s="2" t="e">
        <v>#N/A</v>
      </c>
      <c r="AQ15" s="2" t="e">
        <v>#N/A</v>
      </c>
      <c r="AR15" s="2" t="e">
        <v>#N/A</v>
      </c>
      <c r="AS15" s="2" t="e">
        <v>#N/A</v>
      </c>
      <c r="AT15" s="2" t="e">
        <v>#N/A</v>
      </c>
      <c r="AU15" s="1" t="s">
        <v>15</v>
      </c>
      <c r="AV15" s="3">
        <v>1.4038459999999999</v>
      </c>
      <c r="AW15" s="3">
        <v>5</v>
      </c>
      <c r="AX15" s="2">
        <v>33.850879999999997</v>
      </c>
      <c r="AY15" s="2">
        <v>10.33413</v>
      </c>
      <c r="AZ15" s="2">
        <v>9.773066</v>
      </c>
      <c r="BA15" s="2">
        <v>16.625029999999999</v>
      </c>
      <c r="BB15" s="2">
        <v>-1.164174</v>
      </c>
      <c r="BC15" s="3">
        <v>2.9420000000000002</v>
      </c>
      <c r="BD15" s="2">
        <v>26.97146</v>
      </c>
      <c r="BE15" s="3">
        <v>3.9695</v>
      </c>
      <c r="BF15" s="2">
        <v>-5.8949470000000002</v>
      </c>
      <c r="BG15" s="2">
        <v>29.743590000000001</v>
      </c>
      <c r="BH15" s="2">
        <v>33.270310000000002</v>
      </c>
      <c r="BI15" s="2">
        <v>35.167879999999997</v>
      </c>
      <c r="BJ15" s="2">
        <v>35.171849999999999</v>
      </c>
      <c r="BK15" s="2">
        <v>24</v>
      </c>
      <c r="BL15" s="2">
        <v>15</v>
      </c>
      <c r="BM15" s="4">
        <v>26</v>
      </c>
      <c r="BN15" s="4">
        <v>0</v>
      </c>
      <c r="BO15" s="4">
        <v>0</v>
      </c>
      <c r="BP15" s="4">
        <v>26</v>
      </c>
      <c r="BQ15" s="2">
        <v>0</v>
      </c>
      <c r="BR15" s="4">
        <v>17</v>
      </c>
      <c r="BS15" s="4">
        <v>1</v>
      </c>
      <c r="BT15" s="4">
        <v>26</v>
      </c>
      <c r="BU15" s="2">
        <v>65.384609999999995</v>
      </c>
      <c r="BV15" s="2">
        <v>8.2613299999999992</v>
      </c>
      <c r="BW15" s="2">
        <v>16184.15</v>
      </c>
      <c r="BX15" s="3">
        <v>40.848550000000003</v>
      </c>
      <c r="BY15" s="3">
        <v>0.25239850000000003</v>
      </c>
      <c r="BZ15" s="2">
        <v>1.37323</v>
      </c>
      <c r="CA15" s="3">
        <v>0.25239850000000003</v>
      </c>
      <c r="CB15" s="3">
        <v>0.67959290000000006</v>
      </c>
      <c r="CC15" s="3">
        <v>0.67880680000000004</v>
      </c>
      <c r="CD15" s="2">
        <v>-0.11567470000000001</v>
      </c>
      <c r="CE15" s="3">
        <v>33140.18</v>
      </c>
      <c r="CF15" s="3">
        <v>33232.480000000003</v>
      </c>
      <c r="CG15" s="2">
        <v>0.27853250000000002</v>
      </c>
      <c r="CH15" s="3">
        <v>4.8624000000000001</v>
      </c>
      <c r="CI15" s="2">
        <v>2.8298739999999998</v>
      </c>
      <c r="CJ15" s="3">
        <v>59582.61</v>
      </c>
      <c r="CK15" s="3">
        <v>59603.57</v>
      </c>
      <c r="CL15" s="2">
        <v>3.517866E-2</v>
      </c>
      <c r="CM15" s="3">
        <v>3.515701</v>
      </c>
      <c r="CN15" s="3">
        <v>3.793628</v>
      </c>
      <c r="CO15" s="3">
        <v>3.7619419999999999</v>
      </c>
      <c r="CP15" s="2">
        <v>6.2519429999999998</v>
      </c>
      <c r="CQ15" s="2">
        <v>-1.5322389999999999</v>
      </c>
      <c r="CR15" s="2">
        <v>-0.70286990000000005</v>
      </c>
      <c r="CS15" s="2">
        <v>7.9053040000000001</v>
      </c>
      <c r="CT15" s="2">
        <v>128.1155</v>
      </c>
      <c r="CU15" s="3">
        <v>0.21191570000000001</v>
      </c>
      <c r="CV15" s="2">
        <v>17.243500000000001</v>
      </c>
      <c r="CW15" s="2">
        <v>0.31278309999999998</v>
      </c>
      <c r="CX15" s="2">
        <v>0.61995480000000003</v>
      </c>
      <c r="CY15" s="2">
        <v>15.0303</v>
      </c>
    </row>
    <row r="16" spans="1:103" ht="15" customHeight="1" x14ac:dyDescent="0.2">
      <c r="A16" s="1">
        <f t="shared" si="0"/>
        <v>10</v>
      </c>
      <c r="B16" s="1" t="s">
        <v>36</v>
      </c>
      <c r="C16" s="1" t="s">
        <v>35</v>
      </c>
      <c r="D16" s="1" t="s">
        <v>8</v>
      </c>
      <c r="E16" s="1" t="s">
        <v>9</v>
      </c>
      <c r="F16" s="2">
        <v>2129.2539999999999</v>
      </c>
      <c r="G16" s="2">
        <v>55.443899999999999</v>
      </c>
      <c r="H16" s="2">
        <v>1180.5419999999999</v>
      </c>
      <c r="I16" s="3">
        <v>3.056</v>
      </c>
      <c r="J16" s="3">
        <v>0</v>
      </c>
      <c r="K16" s="2">
        <v>3.7630889999999999</v>
      </c>
      <c r="L16" s="2">
        <v>4.384817</v>
      </c>
      <c r="M16" s="2">
        <v>4.5811520000000003</v>
      </c>
      <c r="N16" s="2">
        <v>4.9083769999999998</v>
      </c>
      <c r="O16" s="2">
        <v>17.976469999999999</v>
      </c>
      <c r="P16" s="2">
        <v>12.1753</v>
      </c>
      <c r="Q16" s="2">
        <v>13.286960000000001</v>
      </c>
      <c r="R16" s="2">
        <v>12.73333</v>
      </c>
      <c r="S16" s="2">
        <v>6.1178530000000002</v>
      </c>
      <c r="T16" s="2">
        <v>7.104819</v>
      </c>
      <c r="U16" s="2">
        <v>7.0162430000000002</v>
      </c>
      <c r="V16" s="2">
        <v>7.0202590000000002</v>
      </c>
      <c r="W16" s="2">
        <v>3.704866</v>
      </c>
      <c r="X16" s="2">
        <v>2.9104760000000001</v>
      </c>
      <c r="Y16" s="2">
        <v>2.4645160000000002</v>
      </c>
      <c r="Z16" s="2">
        <v>1.9189620000000001</v>
      </c>
      <c r="AA16" s="2">
        <v>15.556660000000001</v>
      </c>
      <c r="AB16" s="2">
        <v>17.476099999999999</v>
      </c>
      <c r="AC16" s="2">
        <v>6.7781700000000003</v>
      </c>
      <c r="AD16" s="2">
        <v>4.8049030000000004</v>
      </c>
      <c r="AE16" s="2">
        <v>2.4010820000000002</v>
      </c>
      <c r="AF16" s="2">
        <v>2.519066</v>
      </c>
      <c r="AG16" s="2">
        <v>2.0883720000000001</v>
      </c>
      <c r="AH16" s="2">
        <v>11.03673</v>
      </c>
      <c r="AI16" s="2">
        <v>12.060560000000001</v>
      </c>
      <c r="AJ16" s="2">
        <v>10.238329999999999</v>
      </c>
      <c r="AK16" s="3" t="e">
        <v>#N/A</v>
      </c>
      <c r="AL16" s="3" t="e">
        <v>#N/A</v>
      </c>
      <c r="AM16" s="2">
        <v>25.666440000000001</v>
      </c>
      <c r="AN16" s="2">
        <v>30.71997</v>
      </c>
      <c r="AO16" s="2">
        <v>31.53192</v>
      </c>
      <c r="AP16" s="2">
        <v>31.20851</v>
      </c>
      <c r="AQ16" s="2">
        <v>4.9866840000000003</v>
      </c>
      <c r="AR16" s="2">
        <v>5.5556960000000002</v>
      </c>
      <c r="AS16" s="2">
        <v>5.573601</v>
      </c>
      <c r="AT16" s="2">
        <v>5.6107360000000002</v>
      </c>
      <c r="AU16" s="1" t="s">
        <v>15</v>
      </c>
      <c r="AV16" s="3">
        <v>1.05</v>
      </c>
      <c r="AW16" s="3">
        <v>3.8050000000000002</v>
      </c>
      <c r="AX16" s="2">
        <v>24.509170000000001</v>
      </c>
      <c r="AY16" s="2">
        <v>23.90476</v>
      </c>
      <c r="AZ16" s="2" t="e">
        <v>#N/A</v>
      </c>
      <c r="BA16" s="2">
        <v>8.3688020000000005</v>
      </c>
      <c r="BB16" s="2">
        <v>-2.2392810000000001</v>
      </c>
      <c r="BC16" s="3">
        <v>2.6040000000000001</v>
      </c>
      <c r="BD16" s="2">
        <v>17.35791</v>
      </c>
      <c r="BE16" s="3">
        <v>3.3279999999999998</v>
      </c>
      <c r="BF16" s="2">
        <v>-8.1730789999999995</v>
      </c>
      <c r="BG16" s="2">
        <v>66.351060000000004</v>
      </c>
      <c r="BH16" s="2">
        <v>57.712119999999999</v>
      </c>
      <c r="BI16" s="2">
        <v>62.946710000000003</v>
      </c>
      <c r="BJ16" s="2">
        <v>56.63776</v>
      </c>
      <c r="BK16" s="2">
        <v>9</v>
      </c>
      <c r="BL16" s="2">
        <v>9</v>
      </c>
      <c r="BM16" s="4">
        <v>10</v>
      </c>
      <c r="BN16" s="4">
        <v>1</v>
      </c>
      <c r="BO16" s="4">
        <v>0</v>
      </c>
      <c r="BP16" s="4">
        <v>10</v>
      </c>
      <c r="BQ16" s="2">
        <v>9.0909089999999999</v>
      </c>
      <c r="BR16" s="4">
        <v>10</v>
      </c>
      <c r="BS16" s="4">
        <v>0</v>
      </c>
      <c r="BT16" s="4">
        <v>10</v>
      </c>
      <c r="BU16" s="2">
        <v>100</v>
      </c>
      <c r="BV16" s="2">
        <v>8.0486299999999993</v>
      </c>
      <c r="BW16" s="2">
        <v>696.74549999999999</v>
      </c>
      <c r="BX16" s="3">
        <v>2.1471749999999998</v>
      </c>
      <c r="BY16" s="3">
        <v>0.3081721</v>
      </c>
      <c r="BZ16" s="2">
        <v>1.3414600000000001</v>
      </c>
      <c r="CA16" s="3">
        <v>0.3081721</v>
      </c>
      <c r="CB16" s="3">
        <v>0.22274530000000001</v>
      </c>
      <c r="CC16" s="3">
        <v>0.2260935</v>
      </c>
      <c r="CD16" s="2">
        <v>1.5031220000000001</v>
      </c>
      <c r="CE16" s="3">
        <v>1199.556</v>
      </c>
      <c r="CF16" s="3">
        <v>1209.7670000000001</v>
      </c>
      <c r="CG16" s="2">
        <v>0.85123780000000004</v>
      </c>
      <c r="CH16" s="3">
        <v>3.8044449999999999</v>
      </c>
      <c r="CI16" s="2">
        <v>1.4603140000000001E-2</v>
      </c>
      <c r="CJ16" s="3">
        <v>4699.9030000000002</v>
      </c>
      <c r="CK16" s="3">
        <v>4713.8040000000001</v>
      </c>
      <c r="CL16" s="2">
        <v>0.29575820000000003</v>
      </c>
      <c r="CM16" s="3">
        <v>2.9709349999999999</v>
      </c>
      <c r="CN16" s="3">
        <v>3.1236470000000001</v>
      </c>
      <c r="CO16" s="3">
        <v>3.14</v>
      </c>
      <c r="CP16" s="2">
        <v>2.8632279999999999</v>
      </c>
      <c r="CQ16" s="2">
        <v>-2.1656390000000001</v>
      </c>
      <c r="CR16" s="2">
        <v>-2.67517</v>
      </c>
      <c r="CS16" s="2">
        <v>5.1401849999999998</v>
      </c>
      <c r="CT16" s="2">
        <v>7.3110350000000004</v>
      </c>
      <c r="CU16" s="3">
        <v>0.34336129999999998</v>
      </c>
      <c r="CV16" s="2" t="e">
        <v>#N/A</v>
      </c>
      <c r="CW16" s="2" t="e">
        <v>#N/A</v>
      </c>
      <c r="CX16" s="2" t="e">
        <v>#N/A</v>
      </c>
      <c r="CY16" s="2">
        <v>15.676769999999999</v>
      </c>
    </row>
    <row r="17" spans="1:103" ht="15" customHeight="1" x14ac:dyDescent="0.2">
      <c r="A17" s="1">
        <f t="shared" si="0"/>
        <v>11</v>
      </c>
      <c r="B17" s="1" t="s">
        <v>38</v>
      </c>
      <c r="C17" s="1" t="s">
        <v>37</v>
      </c>
      <c r="D17" s="1" t="s">
        <v>3</v>
      </c>
      <c r="E17" s="1" t="s">
        <v>4</v>
      </c>
      <c r="F17" s="2">
        <v>5141.5140000000001</v>
      </c>
      <c r="G17" s="2">
        <v>70.796599999999998</v>
      </c>
      <c r="H17" s="2">
        <v>3640.0169999999998</v>
      </c>
      <c r="I17" s="3">
        <v>5.72</v>
      </c>
      <c r="J17" s="3">
        <v>-5.9604639999999998E-6</v>
      </c>
      <c r="K17" s="2">
        <v>8.2153500000000008</v>
      </c>
      <c r="L17" s="2">
        <v>8.3109929999999999</v>
      </c>
      <c r="M17" s="2">
        <v>7.6923079999999997</v>
      </c>
      <c r="N17" s="2">
        <v>7.6923079999999997</v>
      </c>
      <c r="O17" s="2">
        <v>6.2857139999999996</v>
      </c>
      <c r="P17" s="2">
        <v>6.1119789999999998</v>
      </c>
      <c r="Q17" s="2">
        <v>6.8915660000000001</v>
      </c>
      <c r="R17" s="2">
        <v>6.7294109999999998</v>
      </c>
      <c r="S17" s="2" t="e">
        <v>#N/A</v>
      </c>
      <c r="T17" s="2" t="e">
        <v>#N/A</v>
      </c>
      <c r="U17" s="2" t="e">
        <v>#N/A</v>
      </c>
      <c r="V17" s="2" t="e">
        <v>#N/A</v>
      </c>
      <c r="W17" s="2">
        <v>0.96621610000000002</v>
      </c>
      <c r="X17" s="2">
        <v>0.89845640000000004</v>
      </c>
      <c r="Y17" s="2">
        <v>0.84812670000000001</v>
      </c>
      <c r="Z17" s="2">
        <v>0.80790960000000001</v>
      </c>
      <c r="AA17" s="2" t="e">
        <v>#N/A</v>
      </c>
      <c r="AB17" s="2" t="e">
        <v>#N/A</v>
      </c>
      <c r="AC17" s="2" t="e">
        <v>#N/A</v>
      </c>
      <c r="AD17" s="2" t="e">
        <v>#N/A</v>
      </c>
      <c r="AE17" s="2" t="e">
        <v>#N/A</v>
      </c>
      <c r="AF17" s="2" t="e">
        <v>#N/A</v>
      </c>
      <c r="AG17" s="2" t="e">
        <v>#N/A</v>
      </c>
      <c r="AH17" s="2" t="e">
        <v>#N/A</v>
      </c>
      <c r="AI17" s="2" t="e">
        <v>#N/A</v>
      </c>
      <c r="AJ17" s="2" t="e">
        <v>#N/A</v>
      </c>
      <c r="AK17" s="3" t="e">
        <v>#N/A</v>
      </c>
      <c r="AL17" s="3" t="e">
        <v>#N/A</v>
      </c>
      <c r="AM17" s="2" t="e">
        <v>#N/A</v>
      </c>
      <c r="AN17" s="2" t="e">
        <v>#N/A</v>
      </c>
      <c r="AO17" s="2" t="e">
        <v>#N/A</v>
      </c>
      <c r="AP17" s="2" t="e">
        <v>#N/A</v>
      </c>
      <c r="AQ17" s="2" t="e">
        <v>#N/A</v>
      </c>
      <c r="AR17" s="2" t="e">
        <v>#N/A</v>
      </c>
      <c r="AS17" s="2" t="e">
        <v>#N/A</v>
      </c>
      <c r="AT17" s="2" t="e">
        <v>#N/A</v>
      </c>
      <c r="AU17" s="1" t="s">
        <v>15</v>
      </c>
      <c r="AV17" s="3">
        <v>1.55</v>
      </c>
      <c r="AW17" s="3">
        <v>7.625</v>
      </c>
      <c r="AX17" s="2">
        <v>33.304200000000002</v>
      </c>
      <c r="AY17" s="2">
        <v>14.69993</v>
      </c>
      <c r="AZ17" s="2">
        <v>-1</v>
      </c>
      <c r="BA17" s="2">
        <v>-13.59517</v>
      </c>
      <c r="BB17" s="2">
        <v>-1.3112550000000001</v>
      </c>
      <c r="BC17" s="3">
        <v>4.9960000000000004</v>
      </c>
      <c r="BD17" s="2">
        <v>14.49159</v>
      </c>
      <c r="BE17" s="3">
        <v>6.9340000000000002</v>
      </c>
      <c r="BF17" s="2">
        <v>-17.507930000000002</v>
      </c>
      <c r="BG17" s="2">
        <v>50.70646</v>
      </c>
      <c r="BH17" s="2">
        <v>50.865229999999997</v>
      </c>
      <c r="BI17" s="2">
        <v>52.140340000000002</v>
      </c>
      <c r="BJ17" s="2">
        <v>52.18309</v>
      </c>
      <c r="BK17" s="2">
        <v>19</v>
      </c>
      <c r="BL17" s="2">
        <v>11</v>
      </c>
      <c r="BM17" s="4">
        <v>20</v>
      </c>
      <c r="BN17" s="4">
        <v>0</v>
      </c>
      <c r="BO17" s="4">
        <v>0</v>
      </c>
      <c r="BP17" s="4">
        <v>18</v>
      </c>
      <c r="BQ17" s="2">
        <v>0</v>
      </c>
      <c r="BR17" s="4">
        <v>12</v>
      </c>
      <c r="BS17" s="4">
        <v>3</v>
      </c>
      <c r="BT17" s="4">
        <v>20</v>
      </c>
      <c r="BU17" s="2">
        <v>60</v>
      </c>
      <c r="BV17" s="2">
        <v>8.1661300000000008</v>
      </c>
      <c r="BW17" s="2">
        <v>898.86609999999996</v>
      </c>
      <c r="BX17" s="3">
        <v>3.0071289999999999</v>
      </c>
      <c r="BY17" s="3">
        <v>0.33454689999999998</v>
      </c>
      <c r="BZ17" s="2">
        <v>0.51098699999999997</v>
      </c>
      <c r="CA17" s="3">
        <v>0.33454689999999998</v>
      </c>
      <c r="CB17" s="3">
        <v>0.91405639999999999</v>
      </c>
      <c r="CC17" s="3">
        <v>0.93786199999999997</v>
      </c>
      <c r="CD17" s="2">
        <v>2.6043889999999998</v>
      </c>
      <c r="CE17" s="3">
        <v>1666.33</v>
      </c>
      <c r="CF17" s="3">
        <v>1720.364</v>
      </c>
      <c r="CG17" s="2">
        <v>3.2426710000000001</v>
      </c>
      <c r="CH17" s="3">
        <v>8.1110000000000007</v>
      </c>
      <c r="CI17" s="2">
        <v>-5.9918639999999996</v>
      </c>
      <c r="CJ17" s="3">
        <v>2703.3009999999999</v>
      </c>
      <c r="CK17" s="3">
        <v>2752.1289999999999</v>
      </c>
      <c r="CL17" s="2">
        <v>1.806235</v>
      </c>
      <c r="CM17" s="3">
        <v>5.8846860000000003</v>
      </c>
      <c r="CN17" s="3">
        <v>6.0370970000000002</v>
      </c>
      <c r="CO17" s="3">
        <v>5.9277689999999996</v>
      </c>
      <c r="CP17" s="2">
        <v>-2.7985570000000002</v>
      </c>
      <c r="CQ17" s="2">
        <v>-5.2524810000000004</v>
      </c>
      <c r="CR17" s="2">
        <v>-3.5050150000000002</v>
      </c>
      <c r="CS17" s="2">
        <v>2.5899649999999999</v>
      </c>
      <c r="CT17" s="2">
        <v>17.410789999999999</v>
      </c>
      <c r="CU17" s="3">
        <v>0.33863159999999998</v>
      </c>
      <c r="CV17" s="2">
        <v>-15.71416</v>
      </c>
      <c r="CW17" s="2">
        <v>-3.8888219999999998</v>
      </c>
      <c r="CX17" s="2">
        <v>-8.8951650000000004</v>
      </c>
      <c r="CY17" s="2">
        <v>16.010100000000001</v>
      </c>
    </row>
    <row r="18" spans="1:103" ht="15" customHeight="1" x14ac:dyDescent="0.2">
      <c r="A18" s="1">
        <f t="shared" si="0"/>
        <v>12</v>
      </c>
      <c r="B18" s="1" t="s">
        <v>40</v>
      </c>
      <c r="C18" s="1" t="s">
        <v>39</v>
      </c>
      <c r="D18" s="1" t="s">
        <v>41</v>
      </c>
      <c r="E18" s="1" t="s">
        <v>42</v>
      </c>
      <c r="F18" s="2">
        <v>123762.2</v>
      </c>
      <c r="G18" s="2">
        <v>40.5749</v>
      </c>
      <c r="H18" s="2">
        <v>50216.41</v>
      </c>
      <c r="I18" s="3">
        <v>39.71</v>
      </c>
      <c r="J18" s="3">
        <v>0</v>
      </c>
      <c r="K18" s="2">
        <v>3.021909</v>
      </c>
      <c r="L18" s="2">
        <v>3.8529339999999999</v>
      </c>
      <c r="M18" s="2">
        <v>4.266915</v>
      </c>
      <c r="N18" s="2">
        <v>4.6084110000000003</v>
      </c>
      <c r="O18" s="2">
        <v>29.92464</v>
      </c>
      <c r="P18" s="2">
        <v>23.087209999999999</v>
      </c>
      <c r="Q18" s="2">
        <v>21.08914</v>
      </c>
      <c r="R18" s="2">
        <v>19.623889999999999</v>
      </c>
      <c r="S18" s="2">
        <v>7.7903580000000003</v>
      </c>
      <c r="T18" s="2">
        <v>11.31467</v>
      </c>
      <c r="U18" s="2">
        <v>10.50339</v>
      </c>
      <c r="V18" s="2">
        <v>9.8636479999999995</v>
      </c>
      <c r="W18" s="2">
        <v>7.2681810000000002</v>
      </c>
      <c r="X18" s="2">
        <v>6.6515909999999998</v>
      </c>
      <c r="Y18" s="2">
        <v>6.2339089999999997</v>
      </c>
      <c r="Z18" s="2">
        <v>5.9314720000000003</v>
      </c>
      <c r="AA18" s="2">
        <v>22.061109999999999</v>
      </c>
      <c r="AB18" s="2">
        <v>15.737349999999999</v>
      </c>
      <c r="AC18" s="2">
        <v>13.915229999999999</v>
      </c>
      <c r="AD18" s="2">
        <v>15.332050000000001</v>
      </c>
      <c r="AE18" s="2">
        <v>5.1726400000000003</v>
      </c>
      <c r="AF18" s="2">
        <v>5.623691</v>
      </c>
      <c r="AG18" s="2">
        <v>5.9975449999999997</v>
      </c>
      <c r="AH18" s="2">
        <v>4.6826780000000001</v>
      </c>
      <c r="AI18" s="2">
        <v>5.0409459999999999</v>
      </c>
      <c r="AJ18" s="2">
        <v>5.3405500000000004</v>
      </c>
      <c r="AK18" s="3">
        <v>2.1136400000000002</v>
      </c>
      <c r="AL18" s="3">
        <v>1.938048</v>
      </c>
      <c r="AM18" s="2">
        <v>26.55593</v>
      </c>
      <c r="AN18" s="2">
        <v>27.311389999999999</v>
      </c>
      <c r="AO18" s="2">
        <v>27.413329999999998</v>
      </c>
      <c r="AP18" s="2">
        <v>27.289400000000001</v>
      </c>
      <c r="AQ18" s="2">
        <v>-1.1642969999999999</v>
      </c>
      <c r="AR18" s="2">
        <v>-1.193181</v>
      </c>
      <c r="AS18" s="2">
        <v>-1.2142139999999999</v>
      </c>
      <c r="AT18" s="2">
        <v>-1.213428</v>
      </c>
      <c r="AU18" s="1" t="s">
        <v>15</v>
      </c>
      <c r="AV18" s="3">
        <v>1.482143</v>
      </c>
      <c r="AW18" s="3">
        <v>40.5</v>
      </c>
      <c r="AX18" s="2">
        <v>1.9894240000000001</v>
      </c>
      <c r="AY18" s="2">
        <v>28.81072</v>
      </c>
      <c r="AZ18" s="2">
        <v>11.132770000000001</v>
      </c>
      <c r="BA18" s="2">
        <v>38.749119999999998</v>
      </c>
      <c r="BB18" s="2">
        <v>0.71011780000000002</v>
      </c>
      <c r="BC18" s="3">
        <v>27.45</v>
      </c>
      <c r="BD18" s="2">
        <v>44.66301</v>
      </c>
      <c r="BE18" s="3">
        <v>40.119999999999997</v>
      </c>
      <c r="BF18" s="2">
        <v>-1.0219339999999999</v>
      </c>
      <c r="BG18" s="2">
        <v>90.393649999999994</v>
      </c>
      <c r="BH18" s="2">
        <v>91.174189999999996</v>
      </c>
      <c r="BI18" s="2">
        <v>91.495670000000004</v>
      </c>
      <c r="BJ18" s="2">
        <v>90.241709999999998</v>
      </c>
      <c r="BK18" s="2">
        <v>27</v>
      </c>
      <c r="BL18" s="2">
        <v>26</v>
      </c>
      <c r="BM18" s="4">
        <v>28</v>
      </c>
      <c r="BN18" s="4">
        <v>0</v>
      </c>
      <c r="BO18" s="4">
        <v>3</v>
      </c>
      <c r="BP18" s="4">
        <v>24</v>
      </c>
      <c r="BQ18" s="2">
        <v>0</v>
      </c>
      <c r="BR18" s="4">
        <v>18</v>
      </c>
      <c r="BS18" s="4">
        <v>2</v>
      </c>
      <c r="BT18" s="4">
        <v>28</v>
      </c>
      <c r="BU18" s="2">
        <v>64.285709999999995</v>
      </c>
      <c r="BV18" s="2">
        <v>7.8749500000000001</v>
      </c>
      <c r="BW18" s="2">
        <v>3116.652</v>
      </c>
      <c r="BX18" s="3">
        <v>2.9077959999999998</v>
      </c>
      <c r="BY18" s="3">
        <v>9.3298710000000007E-2</v>
      </c>
      <c r="BZ18" s="2">
        <v>1.24702</v>
      </c>
      <c r="CA18" s="3">
        <v>9.3298710000000007E-2</v>
      </c>
      <c r="CB18" s="3">
        <v>1.681378</v>
      </c>
      <c r="CC18" s="3">
        <v>1.6875849999999999</v>
      </c>
      <c r="CD18" s="2">
        <v>0.36916729999999998</v>
      </c>
      <c r="CE18" s="3">
        <v>6630.0609999999997</v>
      </c>
      <c r="CF18" s="3">
        <v>6776.5060000000003</v>
      </c>
      <c r="CG18" s="2">
        <v>2.2088049999999999</v>
      </c>
      <c r="CH18" s="3">
        <v>38.434080000000002</v>
      </c>
      <c r="CI18" s="2">
        <v>5.3752300000000002</v>
      </c>
      <c r="CJ18" s="3">
        <v>36181.230000000003</v>
      </c>
      <c r="CK18" s="3">
        <v>36001.08</v>
      </c>
      <c r="CL18" s="2">
        <v>-0.49791930000000001</v>
      </c>
      <c r="CM18" s="3">
        <v>35.04457</v>
      </c>
      <c r="CN18" s="3">
        <v>38.472160000000002</v>
      </c>
      <c r="CO18" s="3">
        <v>38.779620000000001</v>
      </c>
      <c r="CP18" s="2">
        <v>13.312849999999999</v>
      </c>
      <c r="CQ18" s="2">
        <v>3.2175060000000002</v>
      </c>
      <c r="CR18" s="2">
        <v>2.3991470000000001</v>
      </c>
      <c r="CS18" s="2">
        <v>9.7806569999999997</v>
      </c>
      <c r="CT18" s="2">
        <v>80.436940000000007</v>
      </c>
      <c r="CU18" s="3">
        <v>6.4993110000000007E-2</v>
      </c>
      <c r="CV18" s="2">
        <v>0.54109320000000005</v>
      </c>
      <c r="CW18" s="2">
        <v>-1.296818</v>
      </c>
      <c r="CX18" s="2">
        <v>2.9481459999999999</v>
      </c>
      <c r="CY18" s="2">
        <v>16.353529999999999</v>
      </c>
    </row>
    <row r="19" spans="1:103" ht="15" customHeight="1" x14ac:dyDescent="0.2">
      <c r="A19" s="1">
        <f t="shared" si="0"/>
        <v>13</v>
      </c>
      <c r="B19" s="1" t="s">
        <v>44</v>
      </c>
      <c r="C19" s="1" t="s">
        <v>43</v>
      </c>
      <c r="D19" s="1" t="s">
        <v>45</v>
      </c>
      <c r="E19" s="1" t="s">
        <v>46</v>
      </c>
      <c r="F19" s="2">
        <v>16727.02</v>
      </c>
      <c r="G19" s="2">
        <v>95.257599999999996</v>
      </c>
      <c r="H19" s="2">
        <v>15933.76</v>
      </c>
      <c r="I19" s="3">
        <v>13.74</v>
      </c>
      <c r="J19" s="3">
        <v>0</v>
      </c>
      <c r="K19" s="2">
        <v>5.094614</v>
      </c>
      <c r="L19" s="2">
        <v>5.2943959999999999</v>
      </c>
      <c r="M19" s="2">
        <v>5.8224159999999996</v>
      </c>
      <c r="N19" s="2">
        <v>6.1863169999999998</v>
      </c>
      <c r="O19" s="2">
        <v>2.9624199999999998</v>
      </c>
      <c r="P19" s="2">
        <v>3.8276270000000001</v>
      </c>
      <c r="Q19" s="2">
        <v>4.7956440000000002</v>
      </c>
      <c r="R19" s="2">
        <v>4.9963639999999998</v>
      </c>
      <c r="S19" s="2">
        <v>1.6749700000000001</v>
      </c>
      <c r="T19" s="2">
        <v>1.9890220000000001</v>
      </c>
      <c r="U19" s="2">
        <v>2.2400669999999998</v>
      </c>
      <c r="V19" s="2">
        <v>2.3909889999999998</v>
      </c>
      <c r="W19" s="2">
        <v>0.73682099999999995</v>
      </c>
      <c r="X19" s="2">
        <v>0.62339979999999995</v>
      </c>
      <c r="Y19" s="2">
        <v>0.5575772</v>
      </c>
      <c r="Z19" s="2">
        <v>0.51684589999999997</v>
      </c>
      <c r="AA19" s="2">
        <v>2.0707330000000002</v>
      </c>
      <c r="AB19" s="2">
        <v>2.4936479999999999</v>
      </c>
      <c r="AC19" s="2">
        <v>2.583558</v>
      </c>
      <c r="AD19" s="2">
        <v>2.5548639999999998</v>
      </c>
      <c r="AE19" s="2">
        <v>8.4007819999999995</v>
      </c>
      <c r="AF19" s="2">
        <v>9.6778469999999999</v>
      </c>
      <c r="AG19" s="2">
        <v>8.5022369999999992</v>
      </c>
      <c r="AH19" s="2">
        <v>9.5607260000000007</v>
      </c>
      <c r="AI19" s="2">
        <v>11.52955</v>
      </c>
      <c r="AJ19" s="2">
        <v>10.339650000000001</v>
      </c>
      <c r="AK19" s="3" t="e">
        <v>#N/A</v>
      </c>
      <c r="AL19" s="3" t="e">
        <v>#N/A</v>
      </c>
      <c r="AM19" s="2">
        <v>17.41527</v>
      </c>
      <c r="AN19" s="2">
        <v>15.21753</v>
      </c>
      <c r="AO19" s="2">
        <v>14.712680000000001</v>
      </c>
      <c r="AP19" s="2">
        <v>15.28242</v>
      </c>
      <c r="AQ19" s="2">
        <v>0.1830416</v>
      </c>
      <c r="AR19" s="2">
        <v>0.2356955</v>
      </c>
      <c r="AS19" s="2">
        <v>0.35976629999999998</v>
      </c>
      <c r="AT19" s="2">
        <v>0.42489199999999999</v>
      </c>
      <c r="AU19" s="1" t="s">
        <v>5</v>
      </c>
      <c r="AV19" s="3">
        <v>1.5</v>
      </c>
      <c r="AW19" s="3">
        <v>17</v>
      </c>
      <c r="AX19" s="2">
        <v>23.72635</v>
      </c>
      <c r="AY19" s="2">
        <v>16.286850000000001</v>
      </c>
      <c r="AZ19" s="2">
        <v>-10.154629999999999</v>
      </c>
      <c r="BA19" s="2">
        <v>-8.9463229999999996</v>
      </c>
      <c r="BB19" s="2">
        <v>2.1561379999999999</v>
      </c>
      <c r="BC19" s="3">
        <v>12.455</v>
      </c>
      <c r="BD19" s="2">
        <v>10.317130000000001</v>
      </c>
      <c r="BE19" s="3">
        <v>15.87</v>
      </c>
      <c r="BF19" s="2">
        <v>-13.42155</v>
      </c>
      <c r="BG19" s="2">
        <v>14.44557</v>
      </c>
      <c r="BH19" s="2">
        <v>20.718499999999999</v>
      </c>
      <c r="BI19" s="2">
        <v>28.49004</v>
      </c>
      <c r="BJ19" s="2">
        <v>32.501019999999997</v>
      </c>
      <c r="BK19" s="2">
        <v>24</v>
      </c>
      <c r="BL19" s="2">
        <v>22</v>
      </c>
      <c r="BM19" s="4">
        <v>29</v>
      </c>
      <c r="BN19" s="4">
        <v>3</v>
      </c>
      <c r="BO19" s="4">
        <v>3</v>
      </c>
      <c r="BP19" s="4">
        <v>27</v>
      </c>
      <c r="BQ19" s="2">
        <v>9.0909089999999999</v>
      </c>
      <c r="BR19" s="4">
        <v>16</v>
      </c>
      <c r="BS19" s="4">
        <v>1</v>
      </c>
      <c r="BT19" s="4">
        <v>29</v>
      </c>
      <c r="BU19" s="2">
        <v>55.172409999999999</v>
      </c>
      <c r="BV19" s="2">
        <v>9.3197700000000001</v>
      </c>
      <c r="BW19" s="2">
        <v>1217.396</v>
      </c>
      <c r="BX19" s="3">
        <v>5.2102539999999999</v>
      </c>
      <c r="BY19" s="3">
        <v>0.42798340000000001</v>
      </c>
      <c r="BZ19" s="2">
        <v>0.96596499999999996</v>
      </c>
      <c r="CA19" s="3">
        <v>0.42798340000000001</v>
      </c>
      <c r="CB19" s="3">
        <v>3.5223960000000001</v>
      </c>
      <c r="CC19" s="3">
        <v>3.5867499999999999</v>
      </c>
      <c r="CD19" s="2">
        <v>1.827002</v>
      </c>
      <c r="CE19" s="3">
        <v>7187.5349999999999</v>
      </c>
      <c r="CF19" s="3">
        <v>7118.4380000000001</v>
      </c>
      <c r="CG19" s="2">
        <v>-0.96134540000000002</v>
      </c>
      <c r="CH19" s="3">
        <v>17.920390000000001</v>
      </c>
      <c r="CI19" s="2">
        <v>-5.1359709999999996</v>
      </c>
      <c r="CJ19" s="3">
        <v>68749.23</v>
      </c>
      <c r="CK19" s="3">
        <v>69255.429999999993</v>
      </c>
      <c r="CL19" s="2">
        <v>0.73629619999999996</v>
      </c>
      <c r="CM19" s="3">
        <v>13.7889</v>
      </c>
      <c r="CN19" s="3">
        <v>13.56</v>
      </c>
      <c r="CO19" s="3">
        <v>13.345190000000001</v>
      </c>
      <c r="CP19" s="2">
        <v>-0.35465960000000002</v>
      </c>
      <c r="CQ19" s="2">
        <v>1.327431</v>
      </c>
      <c r="CR19" s="2">
        <v>2.9584169999999999</v>
      </c>
      <c r="CS19" s="2">
        <v>-1.6600490000000001</v>
      </c>
      <c r="CT19" s="2">
        <v>65.653999999999996</v>
      </c>
      <c r="CU19" s="3">
        <v>0.39250259999999998</v>
      </c>
      <c r="CV19" s="2">
        <v>27.366029999999999</v>
      </c>
      <c r="CW19" s="2">
        <v>-7.2414519999999998</v>
      </c>
      <c r="CX19" s="2">
        <v>-4.2855629999999998</v>
      </c>
      <c r="CY19" s="2">
        <v>16.464649999999999</v>
      </c>
    </row>
    <row r="20" spans="1:103" ht="15" customHeight="1" x14ac:dyDescent="0.2">
      <c r="A20" s="1">
        <f t="shared" si="0"/>
        <v>14</v>
      </c>
      <c r="B20" s="1" t="s">
        <v>48</v>
      </c>
      <c r="C20" s="1" t="s">
        <v>47</v>
      </c>
      <c r="D20" s="1" t="s">
        <v>49</v>
      </c>
      <c r="E20" s="1" t="s">
        <v>50</v>
      </c>
      <c r="F20" s="2">
        <v>2438.5</v>
      </c>
      <c r="G20" s="2">
        <v>67.235299999999995</v>
      </c>
      <c r="H20" s="2">
        <v>1639.5329999999999</v>
      </c>
      <c r="I20" s="3">
        <v>9.7799999999999994</v>
      </c>
      <c r="J20" s="3">
        <v>0</v>
      </c>
      <c r="K20" s="2">
        <v>6.13497</v>
      </c>
      <c r="L20" s="2">
        <v>6.13497</v>
      </c>
      <c r="M20" s="2">
        <v>6.13497</v>
      </c>
      <c r="N20" s="2">
        <v>6.13497</v>
      </c>
      <c r="O20" s="2">
        <v>4.570093</v>
      </c>
      <c r="P20" s="2">
        <v>6.1124999999999998</v>
      </c>
      <c r="Q20" s="2">
        <v>7.193727</v>
      </c>
      <c r="R20" s="2">
        <v>6.9647699999999997</v>
      </c>
      <c r="S20" s="2">
        <v>2.225997</v>
      </c>
      <c r="T20" s="2">
        <v>4.0652840000000001</v>
      </c>
      <c r="U20" s="2">
        <v>3.8860190000000001</v>
      </c>
      <c r="V20" s="2">
        <v>3.5966450000000001</v>
      </c>
      <c r="W20" s="2">
        <v>1.026233</v>
      </c>
      <c r="X20" s="2">
        <v>0.89678170000000001</v>
      </c>
      <c r="Y20" s="2">
        <v>0.84601530000000003</v>
      </c>
      <c r="Z20" s="2">
        <v>0.79148320000000005</v>
      </c>
      <c r="AA20" s="2">
        <v>2.6256819999999998</v>
      </c>
      <c r="AB20" s="2">
        <v>4.4338230000000003</v>
      </c>
      <c r="AC20" s="2">
        <v>4.8876689999999998</v>
      </c>
      <c r="AD20" s="2">
        <v>4.6023529999999999</v>
      </c>
      <c r="AE20" s="2">
        <v>10.977510000000001</v>
      </c>
      <c r="AF20" s="2">
        <v>11.997999999999999</v>
      </c>
      <c r="AG20" s="2">
        <v>12.338760000000001</v>
      </c>
      <c r="AH20" s="2">
        <v>12.644959999999999</v>
      </c>
      <c r="AI20" s="2">
        <v>13.00418</v>
      </c>
      <c r="AJ20" s="2">
        <v>12.95856</v>
      </c>
      <c r="AK20" s="3" t="e">
        <v>#N/A</v>
      </c>
      <c r="AL20" s="3" t="e">
        <v>#N/A</v>
      </c>
      <c r="AM20" s="2">
        <v>14.686920000000001</v>
      </c>
      <c r="AN20" s="2">
        <v>11.351570000000001</v>
      </c>
      <c r="AO20" s="2">
        <v>10.336270000000001</v>
      </c>
      <c r="AP20" s="2">
        <v>10.220050000000001</v>
      </c>
      <c r="AQ20" s="2">
        <v>0.34482760000000001</v>
      </c>
      <c r="AR20" s="2">
        <v>0.49743870000000001</v>
      </c>
      <c r="AS20" s="2">
        <v>0.30067759999999999</v>
      </c>
      <c r="AT20" s="2">
        <v>0.17202519999999999</v>
      </c>
      <c r="AU20" s="1" t="s">
        <v>15</v>
      </c>
      <c r="AV20" s="3">
        <v>1.2222219999999999</v>
      </c>
      <c r="AW20" s="3">
        <v>13.8</v>
      </c>
      <c r="AX20" s="2">
        <v>41.104309999999998</v>
      </c>
      <c r="AY20" s="2">
        <v>14.671279999999999</v>
      </c>
      <c r="AZ20" s="2">
        <v>-13.772360000000001</v>
      </c>
      <c r="BA20" s="2">
        <v>-1.4510270000000001</v>
      </c>
      <c r="BB20" s="2">
        <v>-8.2121080000000006</v>
      </c>
      <c r="BC20" s="3">
        <v>8.67</v>
      </c>
      <c r="BD20" s="2">
        <v>12.802770000000001</v>
      </c>
      <c r="BE20" s="3">
        <v>10.81</v>
      </c>
      <c r="BF20" s="2">
        <v>-9.528219</v>
      </c>
      <c r="BG20" s="2">
        <v>29.293669999999999</v>
      </c>
      <c r="BH20" s="2">
        <v>37.333080000000002</v>
      </c>
      <c r="BI20" s="2">
        <v>44.610669999999999</v>
      </c>
      <c r="BJ20" s="2">
        <v>41.295659999999998</v>
      </c>
      <c r="BK20" s="2">
        <v>16</v>
      </c>
      <c r="BL20" s="2">
        <v>16</v>
      </c>
      <c r="BM20" s="4">
        <v>18</v>
      </c>
      <c r="BN20" s="4">
        <v>0</v>
      </c>
      <c r="BO20" s="4">
        <v>0</v>
      </c>
      <c r="BP20" s="4">
        <v>18</v>
      </c>
      <c r="BQ20" s="2">
        <v>0</v>
      </c>
      <c r="BR20" s="4">
        <v>16</v>
      </c>
      <c r="BS20" s="4">
        <v>1</v>
      </c>
      <c r="BT20" s="4">
        <v>18</v>
      </c>
      <c r="BU20" s="2">
        <v>88.888890000000004</v>
      </c>
      <c r="BV20" s="2">
        <v>8.9875600000000002</v>
      </c>
      <c r="BW20" s="2">
        <v>249.33539999999999</v>
      </c>
      <c r="BX20" s="3">
        <v>0.83265389999999995</v>
      </c>
      <c r="BY20" s="3">
        <v>0.33394940000000001</v>
      </c>
      <c r="BZ20" s="2">
        <v>1.4111800000000001</v>
      </c>
      <c r="CA20" s="3">
        <v>0.33394940000000001</v>
      </c>
      <c r="CB20" s="3">
        <v>1.572031</v>
      </c>
      <c r="CC20" s="3">
        <v>1.5928659999999999</v>
      </c>
      <c r="CD20" s="2">
        <v>1.3253330000000001</v>
      </c>
      <c r="CE20" s="3">
        <v>591.94320000000005</v>
      </c>
      <c r="CF20" s="3">
        <v>576.09969999999998</v>
      </c>
      <c r="CG20" s="2">
        <v>-2.6765349999999999</v>
      </c>
      <c r="CH20" s="3">
        <v>13.26765</v>
      </c>
      <c r="CI20" s="2">
        <v>4.0124180000000003</v>
      </c>
      <c r="CJ20" s="3">
        <v>6604.1610000000001</v>
      </c>
      <c r="CK20" s="3">
        <v>6690.6580000000004</v>
      </c>
      <c r="CL20" s="2">
        <v>1.309741</v>
      </c>
      <c r="CM20" s="3">
        <v>9.7131790000000002</v>
      </c>
      <c r="CN20" s="3">
        <v>10.25122</v>
      </c>
      <c r="CO20" s="3">
        <v>10.202959999999999</v>
      </c>
      <c r="CP20" s="2">
        <v>0.68794489999999997</v>
      </c>
      <c r="CQ20" s="2">
        <v>-4.596686</v>
      </c>
      <c r="CR20" s="2">
        <v>-4.1454849999999999</v>
      </c>
      <c r="CS20" s="2">
        <v>5.53925</v>
      </c>
      <c r="CT20" s="2">
        <v>8.1024930000000008</v>
      </c>
      <c r="CU20" s="3">
        <v>0.33227370000000001</v>
      </c>
      <c r="CV20" s="2">
        <v>1.818182</v>
      </c>
      <c r="CW20" s="2">
        <v>3.2123350000000002E-2</v>
      </c>
      <c r="CX20" s="2">
        <v>-0.82760549999999999</v>
      </c>
      <c r="CY20" s="2">
        <v>16.505050000000001</v>
      </c>
    </row>
    <row r="21" spans="1:103" ht="15" customHeight="1" x14ac:dyDescent="0.2">
      <c r="A21" s="1">
        <f t="shared" si="0"/>
        <v>15</v>
      </c>
      <c r="B21" s="1" t="s">
        <v>52</v>
      </c>
      <c r="C21" s="1" t="s">
        <v>51</v>
      </c>
      <c r="D21" s="1" t="s">
        <v>18</v>
      </c>
      <c r="E21" s="1" t="s">
        <v>53</v>
      </c>
      <c r="F21" s="2">
        <v>8532.5990000000002</v>
      </c>
      <c r="G21" s="2" t="e">
        <v>#N/A</v>
      </c>
      <c r="H21" s="2" t="e">
        <v>#N/A</v>
      </c>
      <c r="I21" s="3">
        <v>1.7355</v>
      </c>
      <c r="J21" s="3">
        <v>0</v>
      </c>
      <c r="K21" s="2">
        <v>0</v>
      </c>
      <c r="L21" s="2">
        <v>0</v>
      </c>
      <c r="M21" s="2">
        <v>0</v>
      </c>
      <c r="N21" s="2">
        <v>4.9890499999999998</v>
      </c>
      <c r="O21" s="2">
        <v>30.991070000000001</v>
      </c>
      <c r="P21" s="2">
        <v>3.8566669999999998</v>
      </c>
      <c r="Q21" s="2">
        <v>4.3387500000000001</v>
      </c>
      <c r="R21" s="2">
        <v>3.8566669999999998</v>
      </c>
      <c r="S21" s="2">
        <v>5.2377390000000004</v>
      </c>
      <c r="T21" s="2">
        <v>3.2471390000000002</v>
      </c>
      <c r="U21" s="2">
        <v>3.1725300000000001</v>
      </c>
      <c r="V21" s="2">
        <v>2.786092</v>
      </c>
      <c r="W21" s="2">
        <v>4.2753249999999996</v>
      </c>
      <c r="X21" s="2">
        <v>1.988774</v>
      </c>
      <c r="Y21" s="2">
        <v>1.392069</v>
      </c>
      <c r="Z21" s="2">
        <v>1.026923</v>
      </c>
      <c r="AA21" s="2">
        <v>3.3517709999999998</v>
      </c>
      <c r="AB21" s="2">
        <v>1.9744120000000001</v>
      </c>
      <c r="AC21" s="2">
        <v>1.9796910000000001</v>
      </c>
      <c r="AD21" s="2">
        <v>1.92801</v>
      </c>
      <c r="AE21" s="2">
        <v>8.3689990000000005</v>
      </c>
      <c r="AF21" s="2">
        <v>4.1212479999999996</v>
      </c>
      <c r="AG21" s="2">
        <v>6.36829</v>
      </c>
      <c r="AH21" s="2">
        <v>17.383949999999999</v>
      </c>
      <c r="AI21" s="2">
        <v>8.4592150000000004</v>
      </c>
      <c r="AJ21" s="2">
        <v>12.58915</v>
      </c>
      <c r="AK21" s="3">
        <v>5.4138079999999998E-2</v>
      </c>
      <c r="AL21" s="3">
        <v>6.1707140000000001E-2</v>
      </c>
      <c r="AM21" s="2">
        <v>14.31978</v>
      </c>
      <c r="AN21" s="2">
        <v>18.87003</v>
      </c>
      <c r="AO21" s="2">
        <v>18.242740000000001</v>
      </c>
      <c r="AP21" s="2">
        <v>19.093499999999999</v>
      </c>
      <c r="AQ21" s="2">
        <v>3.1441110000000001</v>
      </c>
      <c r="AR21" s="2">
        <v>1.659548</v>
      </c>
      <c r="AS21" s="2">
        <v>1.6250960000000001</v>
      </c>
      <c r="AT21" s="2">
        <v>1.3751439999999999</v>
      </c>
      <c r="AU21" s="1" t="s">
        <v>15</v>
      </c>
      <c r="AV21" s="3">
        <v>1.5</v>
      </c>
      <c r="AW21" s="3">
        <v>2.3530000000000002</v>
      </c>
      <c r="AX21" s="2">
        <v>35.580539999999999</v>
      </c>
      <c r="AY21" s="2">
        <v>51.56718</v>
      </c>
      <c r="AZ21" s="2">
        <v>71.319469999999995</v>
      </c>
      <c r="BA21" s="2">
        <v>-9.1836749999999991</v>
      </c>
      <c r="BB21" s="2">
        <v>-2.5547439999999999</v>
      </c>
      <c r="BC21" s="3">
        <v>1.4635</v>
      </c>
      <c r="BD21" s="2">
        <v>18.58558</v>
      </c>
      <c r="BE21" s="3">
        <v>2.02</v>
      </c>
      <c r="BF21" s="2">
        <v>-14.084160000000001</v>
      </c>
      <c r="BG21" s="2">
        <v>0</v>
      </c>
      <c r="BH21" s="2">
        <v>0</v>
      </c>
      <c r="BI21" s="2">
        <v>7.6167369999999996</v>
      </c>
      <c r="BJ21" s="2">
        <v>13.69459</v>
      </c>
      <c r="BK21" s="2">
        <v>27</v>
      </c>
      <c r="BL21" s="2">
        <v>26</v>
      </c>
      <c r="BM21" s="4">
        <v>30</v>
      </c>
      <c r="BN21" s="4">
        <v>1</v>
      </c>
      <c r="BO21" s="4">
        <v>1</v>
      </c>
      <c r="BP21" s="4">
        <v>24</v>
      </c>
      <c r="BQ21" s="2">
        <v>3.8461539999999999</v>
      </c>
      <c r="BR21" s="4">
        <v>20</v>
      </c>
      <c r="BS21" s="4">
        <v>3</v>
      </c>
      <c r="BT21" s="4">
        <v>30</v>
      </c>
      <c r="BU21" s="2">
        <v>66.666669999999996</v>
      </c>
      <c r="BV21" s="2">
        <v>13.760300000000001</v>
      </c>
      <c r="BW21" s="2">
        <v>4916.5069999999996</v>
      </c>
      <c r="BX21" s="3">
        <v>9.9002770000000009</v>
      </c>
      <c r="BY21" s="3">
        <v>0.20136809999999999</v>
      </c>
      <c r="BZ21" s="2">
        <v>2.1188600000000002</v>
      </c>
      <c r="CA21" s="3">
        <v>0.20136809999999999</v>
      </c>
      <c r="CB21" s="3">
        <v>0.40448060000000002</v>
      </c>
      <c r="CC21" s="3">
        <v>0.44948339999999998</v>
      </c>
      <c r="CD21" s="2">
        <v>11.12607</v>
      </c>
      <c r="CE21" s="3">
        <v>3250.252</v>
      </c>
      <c r="CF21" s="3">
        <v>3470.5880000000002</v>
      </c>
      <c r="CG21" s="2">
        <v>6.779039</v>
      </c>
      <c r="CH21" s="3">
        <v>2.4984999999999999</v>
      </c>
      <c r="CI21" s="2">
        <v>-5.823493</v>
      </c>
      <c r="CJ21" s="3">
        <v>29055.79</v>
      </c>
      <c r="CK21" s="3">
        <v>29344.31</v>
      </c>
      <c r="CL21" s="2">
        <v>0.99300149999999998</v>
      </c>
      <c r="CM21" s="3">
        <v>1.79952</v>
      </c>
      <c r="CN21" s="3">
        <v>1.7824800000000001</v>
      </c>
      <c r="CO21" s="3">
        <v>1.7473270000000001</v>
      </c>
      <c r="CP21" s="2">
        <v>-3.5576159999999999</v>
      </c>
      <c r="CQ21" s="2">
        <v>-2.6356700000000002</v>
      </c>
      <c r="CR21" s="2">
        <v>-0.67686440000000003</v>
      </c>
      <c r="CS21" s="2">
        <v>-0.94690920000000001</v>
      </c>
      <c r="CT21" s="2">
        <v>16.64714</v>
      </c>
      <c r="CU21" s="3">
        <v>0.19510050000000001</v>
      </c>
      <c r="CV21" s="2">
        <v>212.744</v>
      </c>
      <c r="CW21" s="2">
        <v>3.2072560000000001</v>
      </c>
      <c r="CX21" s="2">
        <v>13.57</v>
      </c>
      <c r="CY21" s="2">
        <v>16.589469999999999</v>
      </c>
    </row>
    <row r="22" spans="1:103" ht="15" customHeight="1" x14ac:dyDescent="0.2">
      <c r="A22" s="1">
        <f t="shared" si="0"/>
        <v>16</v>
      </c>
      <c r="B22" s="1" t="s">
        <v>55</v>
      </c>
      <c r="C22" s="1" t="s">
        <v>54</v>
      </c>
      <c r="D22" s="1" t="s">
        <v>3</v>
      </c>
      <c r="E22" s="1" t="s">
        <v>4</v>
      </c>
      <c r="F22" s="2">
        <v>6560.9070000000002</v>
      </c>
      <c r="G22" s="2">
        <v>96.462299999999999</v>
      </c>
      <c r="H22" s="2">
        <v>6328.8029999999999</v>
      </c>
      <c r="I22" s="3">
        <v>1.206</v>
      </c>
      <c r="J22" s="3">
        <v>0</v>
      </c>
      <c r="K22" s="2">
        <v>3.3167499999999999</v>
      </c>
      <c r="L22" s="2">
        <v>9.0381429999999998</v>
      </c>
      <c r="M22" s="2">
        <v>8.9966830000000009</v>
      </c>
      <c r="N22" s="2">
        <v>7.877281</v>
      </c>
      <c r="O22" s="2">
        <v>8.6204850000000004</v>
      </c>
      <c r="P22" s="2">
        <v>5.4601030000000002</v>
      </c>
      <c r="Q22" s="2">
        <v>5.4818179999999996</v>
      </c>
      <c r="R22" s="2">
        <v>6.1204910000000003</v>
      </c>
      <c r="S22" s="2" t="e">
        <v>#N/A</v>
      </c>
      <c r="T22" s="2" t="e">
        <v>#N/A</v>
      </c>
      <c r="U22" s="2" t="e">
        <v>#N/A</v>
      </c>
      <c r="V22" s="2" t="e">
        <v>#N/A</v>
      </c>
      <c r="W22" s="2">
        <v>0.51369980000000004</v>
      </c>
      <c r="X22" s="2">
        <v>0.47294120000000001</v>
      </c>
      <c r="Y22" s="2">
        <v>0.43925229999999998</v>
      </c>
      <c r="Z22" s="2">
        <v>0.43069170000000001</v>
      </c>
      <c r="AA22" s="2" t="e">
        <v>#N/A</v>
      </c>
      <c r="AB22" s="2" t="e">
        <v>#N/A</v>
      </c>
      <c r="AC22" s="2" t="e">
        <v>#N/A</v>
      </c>
      <c r="AD22" s="2" t="e">
        <v>#N/A</v>
      </c>
      <c r="AE22" s="2" t="e">
        <v>#N/A</v>
      </c>
      <c r="AF22" s="2" t="e">
        <v>#N/A</v>
      </c>
      <c r="AG22" s="2" t="e">
        <v>#N/A</v>
      </c>
      <c r="AH22" s="2" t="e">
        <v>#N/A</v>
      </c>
      <c r="AI22" s="2" t="e">
        <v>#N/A</v>
      </c>
      <c r="AJ22" s="2" t="e">
        <v>#N/A</v>
      </c>
      <c r="AK22" s="3">
        <v>0.50625699999999996</v>
      </c>
      <c r="AL22" s="3">
        <v>0.5049669</v>
      </c>
      <c r="AM22" s="2" t="e">
        <v>#N/A</v>
      </c>
      <c r="AN22" s="2" t="e">
        <v>#N/A</v>
      </c>
      <c r="AO22" s="2" t="e">
        <v>#N/A</v>
      </c>
      <c r="AP22" s="2" t="e">
        <v>#N/A</v>
      </c>
      <c r="AQ22" s="2" t="e">
        <v>#N/A</v>
      </c>
      <c r="AR22" s="2" t="e">
        <v>#N/A</v>
      </c>
      <c r="AS22" s="2" t="e">
        <v>#N/A</v>
      </c>
      <c r="AT22" s="2" t="e">
        <v>#N/A</v>
      </c>
      <c r="AU22" s="1" t="s">
        <v>15</v>
      </c>
      <c r="AV22" s="3">
        <v>1.521739</v>
      </c>
      <c r="AW22" s="3">
        <v>1.5249999999999999</v>
      </c>
      <c r="AX22" s="2">
        <v>26.451070000000001</v>
      </c>
      <c r="AY22" s="2">
        <v>8.6617630000000005</v>
      </c>
      <c r="AZ22" s="2">
        <v>10.677770000000001</v>
      </c>
      <c r="BA22" s="2">
        <v>0.70980790000000005</v>
      </c>
      <c r="BB22" s="2">
        <v>8.3557839999999999</v>
      </c>
      <c r="BC22" s="3">
        <v>0.87339999999999995</v>
      </c>
      <c r="BD22" s="2">
        <v>38.081060000000001</v>
      </c>
      <c r="BE22" s="3">
        <v>1.3640000000000001</v>
      </c>
      <c r="BF22" s="2">
        <v>-11.58358</v>
      </c>
      <c r="BG22" s="2">
        <v>29.02468</v>
      </c>
      <c r="BH22" s="2">
        <v>42.584130000000002</v>
      </c>
      <c r="BI22" s="2">
        <v>45.313049999999997</v>
      </c>
      <c r="BJ22" s="2">
        <v>44.626959999999997</v>
      </c>
      <c r="BK22" s="2">
        <v>22</v>
      </c>
      <c r="BL22" s="2">
        <v>13</v>
      </c>
      <c r="BM22" s="4">
        <v>23</v>
      </c>
      <c r="BN22" s="4">
        <v>1</v>
      </c>
      <c r="BO22" s="4">
        <v>1</v>
      </c>
      <c r="BP22" s="4">
        <v>20</v>
      </c>
      <c r="BQ22" s="2">
        <v>4.5454549999999996</v>
      </c>
      <c r="BR22" s="4">
        <v>12</v>
      </c>
      <c r="BS22" s="4">
        <v>2</v>
      </c>
      <c r="BT22" s="4">
        <v>23</v>
      </c>
      <c r="BU22" s="2">
        <v>52.173909999999999</v>
      </c>
      <c r="BV22" s="2">
        <v>12.0642</v>
      </c>
      <c r="BW22" s="2">
        <v>5440.2219999999998</v>
      </c>
      <c r="BX22" s="3">
        <v>27.85088</v>
      </c>
      <c r="BY22" s="3">
        <v>0.51194390000000001</v>
      </c>
      <c r="BZ22" s="2">
        <v>1.49458</v>
      </c>
      <c r="CA22" s="3">
        <v>0.51194390000000001</v>
      </c>
      <c r="CB22" s="3">
        <v>0.22220580000000001</v>
      </c>
      <c r="CC22" s="3">
        <v>0.22309799999999999</v>
      </c>
      <c r="CD22" s="2">
        <v>0.4015088</v>
      </c>
      <c r="CE22" s="3">
        <v>2909.2849999999999</v>
      </c>
      <c r="CF22" s="3">
        <v>2911.8620000000001</v>
      </c>
      <c r="CG22" s="2">
        <v>8.8596339999999996E-2</v>
      </c>
      <c r="CH22" s="3">
        <v>1.6222730000000001</v>
      </c>
      <c r="CI22" s="2">
        <v>-5.9960779999999998</v>
      </c>
      <c r="CJ22" s="3">
        <v>5913.8959999999997</v>
      </c>
      <c r="CK22" s="3">
        <v>5914.8770000000004</v>
      </c>
      <c r="CL22" s="2">
        <v>1.6582010000000001E-2</v>
      </c>
      <c r="CM22" s="3">
        <v>1.10347</v>
      </c>
      <c r="CN22" s="3">
        <v>1.199892</v>
      </c>
      <c r="CO22" s="3">
        <v>1.1611149999999999</v>
      </c>
      <c r="CP22" s="2">
        <v>9.2916249999999998</v>
      </c>
      <c r="CQ22" s="2">
        <v>0.50903560000000003</v>
      </c>
      <c r="CR22" s="2">
        <v>3.8656470000000001</v>
      </c>
      <c r="CS22" s="2">
        <v>8.7381119999999992</v>
      </c>
      <c r="CT22" s="2">
        <v>30.025919999999999</v>
      </c>
      <c r="CU22" s="3">
        <v>0.45764880000000002</v>
      </c>
      <c r="CV22" s="2">
        <v>15.942769999999999</v>
      </c>
      <c r="CW22" s="2">
        <v>4.4967969999999999</v>
      </c>
      <c r="CX22" s="2">
        <v>9.0210290000000004</v>
      </c>
      <c r="CY22" s="2">
        <v>16.848479999999999</v>
      </c>
    </row>
    <row r="23" spans="1:103" ht="15" customHeight="1" x14ac:dyDescent="0.2">
      <c r="A23" s="1">
        <f t="shared" si="0"/>
        <v>17</v>
      </c>
      <c r="B23" s="1" t="s">
        <v>57</v>
      </c>
      <c r="C23" s="1" t="s">
        <v>56</v>
      </c>
      <c r="D23" s="1" t="s">
        <v>58</v>
      </c>
      <c r="E23" s="1" t="s">
        <v>59</v>
      </c>
      <c r="F23" s="2">
        <v>25277.69</v>
      </c>
      <c r="G23" s="2">
        <v>77.506299999999996</v>
      </c>
      <c r="H23" s="2">
        <v>19591.8</v>
      </c>
      <c r="I23" s="3">
        <v>35.78</v>
      </c>
      <c r="J23" s="3">
        <v>0</v>
      </c>
      <c r="K23" s="2">
        <v>0.1397429</v>
      </c>
      <c r="L23" s="2">
        <v>0.16769149999999999</v>
      </c>
      <c r="M23" s="2">
        <v>0.16769149999999999</v>
      </c>
      <c r="N23" s="2">
        <v>0.19564000000000001</v>
      </c>
      <c r="O23" s="2" t="e">
        <v>#N/A</v>
      </c>
      <c r="P23" s="2" t="e">
        <v>#N/A</v>
      </c>
      <c r="Q23" s="2" t="e">
        <v>#N/A</v>
      </c>
      <c r="R23" s="2" t="e">
        <v>#N/A</v>
      </c>
      <c r="S23" s="2">
        <v>15.848750000000001</v>
      </c>
      <c r="T23" s="2">
        <v>15.07147</v>
      </c>
      <c r="U23" s="2">
        <v>14.0913</v>
      </c>
      <c r="V23" s="2">
        <v>13.05574</v>
      </c>
      <c r="W23" s="2">
        <v>1.777447</v>
      </c>
      <c r="X23" s="2">
        <v>1.8154749999999999</v>
      </c>
      <c r="Y23" s="2">
        <v>1.837699</v>
      </c>
      <c r="Z23" s="2">
        <v>1.8516900000000001</v>
      </c>
      <c r="AA23" s="2">
        <v>13.029809999999999</v>
      </c>
      <c r="AB23" s="2">
        <v>15.14423</v>
      </c>
      <c r="AC23" s="2">
        <v>13.40075</v>
      </c>
      <c r="AD23" s="2">
        <v>11.822889999999999</v>
      </c>
      <c r="AE23" s="2">
        <v>0.69368300000000005</v>
      </c>
      <c r="AF23" s="2">
        <v>1.1072379999999999</v>
      </c>
      <c r="AG23" s="2">
        <v>1.7108239999999999</v>
      </c>
      <c r="AH23" s="2">
        <v>1.2474860000000001</v>
      </c>
      <c r="AI23" s="2">
        <v>1.9821709999999999</v>
      </c>
      <c r="AJ23" s="2">
        <v>3.0387970000000002</v>
      </c>
      <c r="AK23" s="3" t="e">
        <v>#N/A</v>
      </c>
      <c r="AL23" s="3" t="e">
        <v>#N/A</v>
      </c>
      <c r="AM23" s="2">
        <v>75.164330000000007</v>
      </c>
      <c r="AN23" s="2">
        <v>74.316230000000004</v>
      </c>
      <c r="AO23" s="2">
        <v>75.312860000000001</v>
      </c>
      <c r="AP23" s="2">
        <v>76.686359999999993</v>
      </c>
      <c r="AQ23" s="2">
        <v>7.5429659999999998</v>
      </c>
      <c r="AR23" s="2">
        <v>6.7032590000000001</v>
      </c>
      <c r="AS23" s="2">
        <v>6.2199159999999996</v>
      </c>
      <c r="AT23" s="2">
        <v>5.705438</v>
      </c>
      <c r="AU23" s="1" t="s">
        <v>15</v>
      </c>
      <c r="AV23" s="3">
        <v>1.3275859999999999</v>
      </c>
      <c r="AW23" s="3">
        <v>42</v>
      </c>
      <c r="AX23" s="2">
        <v>17.38402</v>
      </c>
      <c r="AY23" s="2">
        <v>-1.775898</v>
      </c>
      <c r="AZ23" s="2">
        <v>65.229290000000006</v>
      </c>
      <c r="BA23" s="2">
        <v>-0.2787113</v>
      </c>
      <c r="BB23" s="2">
        <v>0.33650400000000003</v>
      </c>
      <c r="BC23" s="3">
        <v>26.02</v>
      </c>
      <c r="BD23" s="2">
        <v>37.509599999999999</v>
      </c>
      <c r="BE23" s="3">
        <v>38.97</v>
      </c>
      <c r="BF23" s="2">
        <v>-8.1857919999999993</v>
      </c>
      <c r="BG23" s="2" t="e">
        <v>#N/A</v>
      </c>
      <c r="BH23" s="2" t="e">
        <v>#N/A</v>
      </c>
      <c r="BI23" s="2" t="e">
        <v>#N/A</v>
      </c>
      <c r="BJ23" s="2" t="e">
        <v>#N/A</v>
      </c>
      <c r="BK23" s="2">
        <v>24</v>
      </c>
      <c r="BL23" s="2">
        <v>23</v>
      </c>
      <c r="BM23" s="4">
        <v>29</v>
      </c>
      <c r="BN23" s="4">
        <v>1</v>
      </c>
      <c r="BO23" s="4">
        <v>0</v>
      </c>
      <c r="BP23" s="4">
        <v>28</v>
      </c>
      <c r="BQ23" s="2">
        <v>3.4482759999999999</v>
      </c>
      <c r="BR23" s="4">
        <v>21</v>
      </c>
      <c r="BS23" s="4">
        <v>1</v>
      </c>
      <c r="BT23" s="4">
        <v>29</v>
      </c>
      <c r="BU23" s="2">
        <v>72.413790000000006</v>
      </c>
      <c r="BV23" s="2">
        <v>9.5171799999999998</v>
      </c>
      <c r="BW23" s="2">
        <v>706.47540000000004</v>
      </c>
      <c r="BX23" s="3">
        <v>1.1802049999999999</v>
      </c>
      <c r="BY23" s="3">
        <v>0.16705539999999999</v>
      </c>
      <c r="BZ23" s="2">
        <v>1.15218</v>
      </c>
      <c r="CA23" s="3">
        <v>0.16705539999999999</v>
      </c>
      <c r="CB23" s="3">
        <v>-0.35490250000000001</v>
      </c>
      <c r="CC23" s="3">
        <v>-0.37732490000000002</v>
      </c>
      <c r="CD23" s="2">
        <v>6.3179249999999998</v>
      </c>
      <c r="CE23" s="3">
        <v>396.20600000000002</v>
      </c>
      <c r="CF23" s="3">
        <v>396.59339999999997</v>
      </c>
      <c r="CG23" s="2">
        <v>9.7787379999999993E-2</v>
      </c>
      <c r="CH23" s="3">
        <v>43.76464</v>
      </c>
      <c r="CI23" s="2">
        <v>-4.0321049999999996</v>
      </c>
      <c r="CJ23" s="3">
        <v>4107.6210000000001</v>
      </c>
      <c r="CK23" s="3">
        <v>4074.44</v>
      </c>
      <c r="CL23" s="2">
        <v>-0.80779190000000001</v>
      </c>
      <c r="CM23" s="3">
        <v>34.897260000000003</v>
      </c>
      <c r="CN23" s="3">
        <v>35.24353</v>
      </c>
      <c r="CO23" s="3">
        <v>35.130000000000003</v>
      </c>
      <c r="CP23" s="2">
        <v>2.5295260000000002</v>
      </c>
      <c r="CQ23" s="2">
        <v>1.5221830000000001</v>
      </c>
      <c r="CR23" s="2">
        <v>1.850247</v>
      </c>
      <c r="CS23" s="2">
        <v>0.99223850000000002</v>
      </c>
      <c r="CT23" s="2">
        <v>40.097580000000001</v>
      </c>
      <c r="CU23" s="3">
        <v>0.1586284</v>
      </c>
      <c r="CV23" s="2">
        <v>85.901979999999995</v>
      </c>
      <c r="CW23" s="2">
        <v>-2.5040469999999999</v>
      </c>
      <c r="CX23" s="2">
        <v>71.864149999999995</v>
      </c>
      <c r="CY23" s="2">
        <v>16.848479999999999</v>
      </c>
    </row>
    <row r="24" spans="1:103" ht="15" customHeight="1" x14ac:dyDescent="0.2">
      <c r="A24" s="1">
        <f t="shared" si="0"/>
        <v>18</v>
      </c>
      <c r="B24" s="1" t="s">
        <v>61</v>
      </c>
      <c r="C24" s="1" t="s">
        <v>60</v>
      </c>
      <c r="D24" s="1" t="s">
        <v>25</v>
      </c>
      <c r="E24" s="1" t="s">
        <v>26</v>
      </c>
      <c r="F24" s="2">
        <v>29309.48</v>
      </c>
      <c r="G24" s="2">
        <v>97.946299999999994</v>
      </c>
      <c r="H24" s="2">
        <v>28707.55</v>
      </c>
      <c r="I24" s="3">
        <v>65.06</v>
      </c>
      <c r="J24" s="3">
        <v>0</v>
      </c>
      <c r="K24" s="2">
        <v>1.1374120000000001</v>
      </c>
      <c r="L24" s="2">
        <v>1.7675989999999999</v>
      </c>
      <c r="M24" s="2">
        <v>2.1364890000000001</v>
      </c>
      <c r="N24" s="2">
        <v>2.4746389999999998</v>
      </c>
      <c r="O24" s="2">
        <v>39.430300000000003</v>
      </c>
      <c r="P24" s="2">
        <v>27.001449999999998</v>
      </c>
      <c r="Q24" s="2">
        <v>22.501989999999999</v>
      </c>
      <c r="R24" s="2">
        <v>19.81382</v>
      </c>
      <c r="S24" s="2">
        <v>14.806850000000001</v>
      </c>
      <c r="T24" s="2">
        <v>15.220499999999999</v>
      </c>
      <c r="U24" s="2">
        <v>12.896000000000001</v>
      </c>
      <c r="V24" s="2">
        <v>11.250349999999999</v>
      </c>
      <c r="W24" s="2">
        <v>6.3952660000000003</v>
      </c>
      <c r="X24" s="2">
        <v>5.909173</v>
      </c>
      <c r="Y24" s="2">
        <v>5.2089670000000003</v>
      </c>
      <c r="Z24" s="2">
        <v>4.5528339999999998</v>
      </c>
      <c r="AA24" s="2">
        <v>21.181660000000001</v>
      </c>
      <c r="AB24" s="2">
        <v>17.348610000000001</v>
      </c>
      <c r="AC24" s="2">
        <v>14.986969999999999</v>
      </c>
      <c r="AD24" s="2">
        <v>13.38683</v>
      </c>
      <c r="AE24" s="2">
        <v>3.5845050000000001</v>
      </c>
      <c r="AF24" s="2">
        <v>4.2694000000000001</v>
      </c>
      <c r="AG24" s="2">
        <v>4.8139329999999996</v>
      </c>
      <c r="AH24" s="2">
        <v>3.8504429999999998</v>
      </c>
      <c r="AI24" s="2">
        <v>4.4912260000000002</v>
      </c>
      <c r="AJ24" s="2">
        <v>4.9217170000000001</v>
      </c>
      <c r="AK24" s="3">
        <v>1.301005</v>
      </c>
      <c r="AL24" s="3">
        <v>1.084598</v>
      </c>
      <c r="AM24" s="2">
        <v>36.558999999999997</v>
      </c>
      <c r="AN24" s="2">
        <v>37.921529999999997</v>
      </c>
      <c r="AO24" s="2">
        <v>39.100700000000003</v>
      </c>
      <c r="AP24" s="2">
        <v>40.09957</v>
      </c>
      <c r="AQ24" s="2">
        <v>1.4704269999999999</v>
      </c>
      <c r="AR24" s="2">
        <v>1.053947</v>
      </c>
      <c r="AS24" s="2">
        <v>0.63694419999999996</v>
      </c>
      <c r="AT24" s="2">
        <v>0.24637770000000001</v>
      </c>
      <c r="AU24" s="1" t="s">
        <v>5</v>
      </c>
      <c r="AV24" s="3">
        <v>1.519231</v>
      </c>
      <c r="AW24" s="3">
        <v>72.995980000000003</v>
      </c>
      <c r="AX24" s="2">
        <v>12.197950000000001</v>
      </c>
      <c r="AY24" s="2">
        <v>21.884650000000001</v>
      </c>
      <c r="AZ24" s="2">
        <v>20.620339999999999</v>
      </c>
      <c r="BA24" s="2">
        <v>12.75563</v>
      </c>
      <c r="BB24" s="2">
        <v>0.27743580000000001</v>
      </c>
      <c r="BC24" s="3">
        <v>52.56</v>
      </c>
      <c r="BD24" s="2">
        <v>23.782340000000001</v>
      </c>
      <c r="BE24" s="3">
        <v>70.22</v>
      </c>
      <c r="BF24" s="2">
        <v>-7.3483409999999996</v>
      </c>
      <c r="BG24" s="2">
        <v>30.160869999999999</v>
      </c>
      <c r="BH24" s="2">
        <v>44.311970000000002</v>
      </c>
      <c r="BI24" s="2">
        <v>47.101469999999999</v>
      </c>
      <c r="BJ24" s="2">
        <v>47.461910000000003</v>
      </c>
      <c r="BK24" s="2">
        <v>22</v>
      </c>
      <c r="BL24" s="2">
        <v>22</v>
      </c>
      <c r="BM24" s="4">
        <v>26</v>
      </c>
      <c r="BN24" s="4">
        <v>1</v>
      </c>
      <c r="BO24" s="4">
        <v>0</v>
      </c>
      <c r="BP24" s="4">
        <v>26</v>
      </c>
      <c r="BQ24" s="2">
        <v>3.7037040000000001</v>
      </c>
      <c r="BR24" s="4">
        <v>15</v>
      </c>
      <c r="BS24" s="4">
        <v>1</v>
      </c>
      <c r="BT24" s="4">
        <v>26</v>
      </c>
      <c r="BU24" s="2">
        <v>57.692309999999999</v>
      </c>
      <c r="BV24" s="2">
        <v>7.4045399999999999</v>
      </c>
      <c r="BW24" s="2">
        <v>450.49919999999997</v>
      </c>
      <c r="BX24" s="3">
        <v>0.69282069999999996</v>
      </c>
      <c r="BY24" s="3">
        <v>0.1537895</v>
      </c>
      <c r="BZ24" s="2">
        <v>1.13689</v>
      </c>
      <c r="CA24" s="3">
        <v>0.1537895</v>
      </c>
      <c r="CB24" s="3">
        <v>2.3661910000000002</v>
      </c>
      <c r="CC24" s="3">
        <v>2.4251529999999999</v>
      </c>
      <c r="CD24" s="2">
        <v>2.4918439999999999</v>
      </c>
      <c r="CE24" s="3">
        <v>1441.3489999999999</v>
      </c>
      <c r="CF24" s="3">
        <v>1445.827</v>
      </c>
      <c r="CG24" s="2">
        <v>0.3106952</v>
      </c>
      <c r="CH24" s="3">
        <v>70.796679999999995</v>
      </c>
      <c r="CI24" s="2">
        <v>3.1064989999999999</v>
      </c>
      <c r="CJ24" s="3">
        <v>5475.3509999999997</v>
      </c>
      <c r="CK24" s="3">
        <v>5442.8440000000001</v>
      </c>
      <c r="CL24" s="2">
        <v>-0.59370400000000001</v>
      </c>
      <c r="CM24" s="3">
        <v>63.445149999999998</v>
      </c>
      <c r="CN24" s="3">
        <v>64.498440000000002</v>
      </c>
      <c r="CO24" s="3">
        <v>64.524609999999996</v>
      </c>
      <c r="CP24" s="2">
        <v>2.545261</v>
      </c>
      <c r="CQ24" s="2">
        <v>0.87065700000000001</v>
      </c>
      <c r="CR24" s="2">
        <v>0.82973240000000004</v>
      </c>
      <c r="CS24" s="2">
        <v>1.6601440000000001</v>
      </c>
      <c r="CT24" s="2">
        <v>36.921469999999999</v>
      </c>
      <c r="CU24" s="3">
        <v>0.1259711</v>
      </c>
      <c r="CV24" s="2">
        <v>14.015359999999999</v>
      </c>
      <c r="CW24" s="2">
        <v>-9.8066340000000002E-2</v>
      </c>
      <c r="CX24" s="2">
        <v>4.4264559999999999</v>
      </c>
      <c r="CY24" s="2">
        <v>17.181819999999998</v>
      </c>
    </row>
    <row r="25" spans="1:103" ht="15" customHeight="1" x14ac:dyDescent="0.2">
      <c r="A25" s="1">
        <f t="shared" si="0"/>
        <v>19</v>
      </c>
      <c r="B25" s="1" t="s">
        <v>63</v>
      </c>
      <c r="C25" s="1" t="s">
        <v>62</v>
      </c>
      <c r="D25" s="1" t="s">
        <v>8</v>
      </c>
      <c r="E25" s="1" t="s">
        <v>9</v>
      </c>
      <c r="F25" s="2">
        <v>10178.040000000001</v>
      </c>
      <c r="G25" s="2">
        <v>74.051599999999993</v>
      </c>
      <c r="H25" s="2">
        <v>7537.0039999999999</v>
      </c>
      <c r="I25" s="3">
        <v>36.590000000000003</v>
      </c>
      <c r="J25" s="3">
        <v>0</v>
      </c>
      <c r="K25" s="2">
        <v>5.4659740000000001</v>
      </c>
      <c r="L25" s="2">
        <v>5.4659740000000001</v>
      </c>
      <c r="M25" s="2">
        <v>5.4659740000000001</v>
      </c>
      <c r="N25" s="2">
        <v>5.4659740000000001</v>
      </c>
      <c r="O25" s="2">
        <v>14.635999999999999</v>
      </c>
      <c r="P25" s="2">
        <v>15.636749999999999</v>
      </c>
      <c r="Q25" s="2">
        <v>16.408069999999999</v>
      </c>
      <c r="R25" s="2">
        <v>13.30545</v>
      </c>
      <c r="S25" s="2">
        <v>4.2261550000000003</v>
      </c>
      <c r="T25" s="2">
        <v>6.1334920000000004</v>
      </c>
      <c r="U25" s="2">
        <v>5.4887569999999997</v>
      </c>
      <c r="V25" s="2">
        <v>4.795814</v>
      </c>
      <c r="W25" s="2" t="e">
        <v>#N/A</v>
      </c>
      <c r="X25" s="2">
        <v>1.8569070000000001</v>
      </c>
      <c r="Y25" s="2">
        <v>1.881718</v>
      </c>
      <c r="Z25" s="2">
        <v>1.8113859999999999</v>
      </c>
      <c r="AA25" s="2">
        <v>8.8050789999999992</v>
      </c>
      <c r="AB25" s="2">
        <v>7.5133470000000004</v>
      </c>
      <c r="AC25" s="2">
        <v>8.3999369999999995</v>
      </c>
      <c r="AD25" s="2">
        <v>8.1543500000000009</v>
      </c>
      <c r="AE25" s="2">
        <v>8.6810759999999991</v>
      </c>
      <c r="AF25" s="2">
        <v>9.9250959999999999</v>
      </c>
      <c r="AG25" s="2">
        <v>10.51545</v>
      </c>
      <c r="AH25" s="2">
        <v>9.0337890000000005</v>
      </c>
      <c r="AI25" s="2">
        <v>10.470750000000001</v>
      </c>
      <c r="AJ25" s="2">
        <v>10.60327</v>
      </c>
      <c r="AK25" s="3" t="e">
        <v>#N/A</v>
      </c>
      <c r="AL25" s="3" t="e">
        <v>#N/A</v>
      </c>
      <c r="AM25" s="2">
        <v>5.1970850000000004</v>
      </c>
      <c r="AN25" s="2">
        <v>5.3006799999999998</v>
      </c>
      <c r="AO25" s="2">
        <v>5.3174489999999999</v>
      </c>
      <c r="AP25" s="2">
        <v>5.6489719999999997</v>
      </c>
      <c r="AQ25" s="2">
        <v>-0.1282161</v>
      </c>
      <c r="AR25" s="2">
        <v>0.21894640000000001</v>
      </c>
      <c r="AS25" s="2">
        <v>0.2860297</v>
      </c>
      <c r="AT25" s="2">
        <v>3.9719629999999999E-2</v>
      </c>
      <c r="AU25" s="1" t="s">
        <v>64</v>
      </c>
      <c r="AV25" s="3">
        <v>2</v>
      </c>
      <c r="AW25" s="3">
        <v>35.354999999999997</v>
      </c>
      <c r="AX25" s="2">
        <v>-3.375238</v>
      </c>
      <c r="AY25" s="2">
        <v>11.87528</v>
      </c>
      <c r="AZ25" s="2" t="e">
        <v>#N/A</v>
      </c>
      <c r="BA25" s="2">
        <v>34.819459999999999</v>
      </c>
      <c r="BB25" s="2">
        <v>-8.8894420000000007</v>
      </c>
      <c r="BC25" s="3">
        <v>26.57</v>
      </c>
      <c r="BD25" s="2">
        <v>37.7117</v>
      </c>
      <c r="BE25" s="3">
        <v>40.840000000000003</v>
      </c>
      <c r="BF25" s="2">
        <v>-10.406459999999999</v>
      </c>
      <c r="BG25" s="2">
        <v>81.05</v>
      </c>
      <c r="BH25" s="2">
        <v>88.977490000000003</v>
      </c>
      <c r="BI25" s="2">
        <v>91.129159999999999</v>
      </c>
      <c r="BJ25" s="2">
        <v>79.63279</v>
      </c>
      <c r="BK25" s="2">
        <v>10</v>
      </c>
      <c r="BL25" s="2">
        <v>10</v>
      </c>
      <c r="BM25" s="4">
        <v>11</v>
      </c>
      <c r="BN25" s="4">
        <v>0</v>
      </c>
      <c r="BO25" s="4">
        <v>0</v>
      </c>
      <c r="BP25" s="4">
        <v>9</v>
      </c>
      <c r="BQ25" s="2">
        <v>0</v>
      </c>
      <c r="BR25" s="4">
        <v>3</v>
      </c>
      <c r="BS25" s="4">
        <v>3</v>
      </c>
      <c r="BT25" s="4">
        <v>11</v>
      </c>
      <c r="BU25" s="2">
        <v>27.272729999999999</v>
      </c>
      <c r="BV25" s="2">
        <v>6.2055199999999999</v>
      </c>
      <c r="BW25" s="2">
        <v>278.16460000000001</v>
      </c>
      <c r="BX25" s="3">
        <v>0.50649440000000001</v>
      </c>
      <c r="BY25" s="3">
        <v>0.18208440000000001</v>
      </c>
      <c r="BZ25" s="2">
        <v>0.68139700000000003</v>
      </c>
      <c r="CA25" s="3">
        <v>0.18208440000000001</v>
      </c>
      <c r="CB25" s="3">
        <v>2.2322860000000002</v>
      </c>
      <c r="CC25" s="3">
        <v>2.2861090000000002</v>
      </c>
      <c r="CD25" s="2">
        <v>2.4111030000000002</v>
      </c>
      <c r="CE25" s="3">
        <v>1278.443</v>
      </c>
      <c r="CF25" s="3">
        <v>1223.739</v>
      </c>
      <c r="CG25" s="2">
        <v>-4.2789820000000001</v>
      </c>
      <c r="CH25" s="3">
        <v>33.459229999999998</v>
      </c>
      <c r="CI25" s="2">
        <v>5.6658980000000003</v>
      </c>
      <c r="CJ25" s="3">
        <v>35081.949999999997</v>
      </c>
      <c r="CK25" s="3">
        <v>35639.699999999997</v>
      </c>
      <c r="CL25" s="2">
        <v>1.5898589999999999</v>
      </c>
      <c r="CM25" s="3">
        <v>33.759210000000003</v>
      </c>
      <c r="CN25" s="3">
        <v>38.675879999999999</v>
      </c>
      <c r="CO25" s="3">
        <v>39.380000000000003</v>
      </c>
      <c r="CP25" s="2">
        <v>8.3852410000000006</v>
      </c>
      <c r="CQ25" s="2">
        <v>-5.3932310000000001</v>
      </c>
      <c r="CR25" s="2">
        <v>-7.0848170000000001</v>
      </c>
      <c r="CS25" s="2">
        <v>14.563940000000001</v>
      </c>
      <c r="CT25" s="2">
        <v>20.021619999999999</v>
      </c>
      <c r="CU25" s="3">
        <v>0.1967139</v>
      </c>
      <c r="CV25" s="2" t="e">
        <v>#N/A</v>
      </c>
      <c r="CW25" s="2">
        <v>1.927055</v>
      </c>
      <c r="CX25" s="2">
        <v>-8.5201790000000006</v>
      </c>
      <c r="CY25" s="2">
        <v>18.262630000000001</v>
      </c>
    </row>
    <row r="26" spans="1:103" ht="15" customHeight="1" x14ac:dyDescent="0.2">
      <c r="A26" s="1">
        <f t="shared" si="0"/>
        <v>20</v>
      </c>
      <c r="B26" s="1" t="s">
        <v>66</v>
      </c>
      <c r="C26" s="1" t="s">
        <v>65</v>
      </c>
      <c r="D26" s="1" t="s">
        <v>67</v>
      </c>
      <c r="E26" s="1" t="s">
        <v>68</v>
      </c>
      <c r="F26" s="2">
        <v>1385.2139999999999</v>
      </c>
      <c r="G26" s="2">
        <v>44.979199999999999</v>
      </c>
      <c r="H26" s="2">
        <v>623.05820000000006</v>
      </c>
      <c r="I26" s="3">
        <v>6.2850000000000001</v>
      </c>
      <c r="J26" s="3">
        <v>0</v>
      </c>
      <c r="K26" s="2">
        <v>0</v>
      </c>
      <c r="L26" s="2">
        <v>0</v>
      </c>
      <c r="M26" s="2">
        <v>0</v>
      </c>
      <c r="N26" s="2">
        <v>0</v>
      </c>
      <c r="O26" s="2">
        <v>12.57</v>
      </c>
      <c r="P26" s="2">
        <v>13.50506</v>
      </c>
      <c r="Q26" s="2">
        <v>12.61476</v>
      </c>
      <c r="R26" s="2">
        <v>11.578709999999999</v>
      </c>
      <c r="S26" s="2">
        <v>8.5453320000000001</v>
      </c>
      <c r="T26" s="2">
        <v>8.0390979999999992</v>
      </c>
      <c r="U26" s="2">
        <v>7.8639380000000001</v>
      </c>
      <c r="V26" s="2">
        <v>7.3069030000000001</v>
      </c>
      <c r="W26" s="2">
        <v>3.3524949999999998</v>
      </c>
      <c r="X26" s="2">
        <v>2.69109</v>
      </c>
      <c r="Y26" s="2">
        <v>2.2366549999999998</v>
      </c>
      <c r="Z26" s="2">
        <v>1.901222</v>
      </c>
      <c r="AA26" s="2">
        <v>5.2835039999999998</v>
      </c>
      <c r="AB26" s="2">
        <v>6.4793810000000001</v>
      </c>
      <c r="AC26" s="2">
        <v>6.4793810000000001</v>
      </c>
      <c r="AD26" s="2">
        <v>5.3598949999999999</v>
      </c>
      <c r="AE26" s="2">
        <v>3.2990390000000001</v>
      </c>
      <c r="AF26" s="2">
        <v>4.6148110000000004</v>
      </c>
      <c r="AG26" s="2">
        <v>4.8398669999999999</v>
      </c>
      <c r="AH26" s="2">
        <v>9.3090309999999992</v>
      </c>
      <c r="AI26" s="2">
        <v>12.667</v>
      </c>
      <c r="AJ26" s="2">
        <v>12.99474</v>
      </c>
      <c r="AK26" s="3">
        <v>0.64154370000000005</v>
      </c>
      <c r="AL26" s="3">
        <v>0.61328179999999999</v>
      </c>
      <c r="AM26" s="2">
        <v>25.46557</v>
      </c>
      <c r="AN26" s="2">
        <v>25.456150000000001</v>
      </c>
      <c r="AO26" s="2">
        <v>25.731770000000001</v>
      </c>
      <c r="AP26" s="2">
        <v>26.196539999999999</v>
      </c>
      <c r="AQ26" s="2">
        <v>6.2036199999999999</v>
      </c>
      <c r="AR26" s="2">
        <v>5.2869999999999999</v>
      </c>
      <c r="AS26" s="2">
        <v>4.9989660000000002</v>
      </c>
      <c r="AT26" s="2">
        <v>4.5854619999999997</v>
      </c>
      <c r="AU26" s="1" t="s">
        <v>64</v>
      </c>
      <c r="AV26" s="3">
        <v>1.571429</v>
      </c>
      <c r="AW26" s="3">
        <v>7.1481709999999996</v>
      </c>
      <c r="AX26" s="2">
        <v>13.733829999999999</v>
      </c>
      <c r="AY26" s="2">
        <v>19.92653</v>
      </c>
      <c r="AZ26" s="2">
        <v>21.12379</v>
      </c>
      <c r="BA26" s="2">
        <v>3.0327920000000002</v>
      </c>
      <c r="BB26" s="2">
        <v>5.4530139999999996</v>
      </c>
      <c r="BC26" s="3">
        <v>5.0650000000000004</v>
      </c>
      <c r="BD26" s="2">
        <v>24.086870000000001</v>
      </c>
      <c r="BE26" s="3">
        <v>6.8949999999999996</v>
      </c>
      <c r="BF26" s="2">
        <v>-8.8469920000000002</v>
      </c>
      <c r="BG26" s="2">
        <v>2.301431</v>
      </c>
      <c r="BH26" s="2">
        <v>2.709543</v>
      </c>
      <c r="BI26" s="2">
        <v>8.1042339999999999</v>
      </c>
      <c r="BJ26" s="2">
        <v>25.724360000000001</v>
      </c>
      <c r="BK26" s="2">
        <v>12</v>
      </c>
      <c r="BL26" s="2">
        <v>11</v>
      </c>
      <c r="BM26" s="4">
        <v>14</v>
      </c>
      <c r="BN26" s="4">
        <v>1</v>
      </c>
      <c r="BO26" s="4">
        <v>0</v>
      </c>
      <c r="BP26" s="4">
        <v>13</v>
      </c>
      <c r="BQ26" s="2">
        <v>7.1428580000000004</v>
      </c>
      <c r="BR26" s="4">
        <v>6</v>
      </c>
      <c r="BS26" s="4">
        <v>0</v>
      </c>
      <c r="BT26" s="4">
        <v>14</v>
      </c>
      <c r="BU26" s="2">
        <v>42.857140000000001</v>
      </c>
      <c r="BV26" s="2">
        <v>11.3819</v>
      </c>
      <c r="BW26" s="2">
        <v>220.4</v>
      </c>
      <c r="BX26" s="3">
        <v>0.68874709999999995</v>
      </c>
      <c r="BY26" s="3">
        <v>0.31249870000000002</v>
      </c>
      <c r="BZ26" s="2">
        <v>1.6622699999999999</v>
      </c>
      <c r="CA26" s="3">
        <v>0.31249870000000002</v>
      </c>
      <c r="CB26" s="3">
        <v>0.44485659999999999</v>
      </c>
      <c r="CC26" s="3">
        <v>0.46377489999999999</v>
      </c>
      <c r="CD26" s="2">
        <v>4.2526599999999997</v>
      </c>
      <c r="CE26" s="3">
        <v>218.69309999999999</v>
      </c>
      <c r="CF26" s="3">
        <v>222.774</v>
      </c>
      <c r="CG26" s="2">
        <v>1.866066</v>
      </c>
      <c r="CH26" s="3">
        <v>7.0807690000000001</v>
      </c>
      <c r="CI26" s="2">
        <v>0.95189809999999997</v>
      </c>
      <c r="CJ26" s="3">
        <v>1873.8579999999999</v>
      </c>
      <c r="CK26" s="3">
        <v>1873.5239999999999</v>
      </c>
      <c r="CL26" s="2">
        <v>-1.7791990000000001E-2</v>
      </c>
      <c r="CM26" s="3">
        <v>5.9624119999999996</v>
      </c>
      <c r="CN26" s="3">
        <v>6.0051959999999998</v>
      </c>
      <c r="CO26" s="3">
        <v>6.0315390000000004</v>
      </c>
      <c r="CP26" s="2">
        <v>5.410361</v>
      </c>
      <c r="CQ26" s="2">
        <v>4.6593669999999996</v>
      </c>
      <c r="CR26" s="2">
        <v>4.2022589999999997</v>
      </c>
      <c r="CS26" s="2">
        <v>0.71755650000000004</v>
      </c>
      <c r="CT26" s="2">
        <v>3.1209880000000001</v>
      </c>
      <c r="CU26" s="3">
        <v>0.22530729999999999</v>
      </c>
      <c r="CV26" s="2" t="e">
        <v>#N/A</v>
      </c>
      <c r="CW26" s="2">
        <v>3.0045639999999998</v>
      </c>
      <c r="CX26" s="2">
        <v>5.4461769999999996</v>
      </c>
      <c r="CY26" s="2">
        <v>18.282830000000001</v>
      </c>
    </row>
    <row r="27" spans="1:103" ht="15" customHeight="1" x14ac:dyDescent="0.2">
      <c r="A27" s="1">
        <f t="shared" si="0"/>
        <v>21</v>
      </c>
      <c r="B27" s="1" t="s">
        <v>70</v>
      </c>
      <c r="C27" s="1" t="s">
        <v>69</v>
      </c>
      <c r="D27" s="1" t="s">
        <v>71</v>
      </c>
      <c r="E27" s="1" t="s">
        <v>72</v>
      </c>
      <c r="F27" s="2">
        <v>70964.36</v>
      </c>
      <c r="G27" s="2">
        <v>98.371399999999994</v>
      </c>
      <c r="H27" s="2">
        <v>69808.63</v>
      </c>
      <c r="I27" s="3">
        <v>11.175000000000001</v>
      </c>
      <c r="J27" s="3">
        <v>0</v>
      </c>
      <c r="K27" s="2">
        <v>4.3847880000000004</v>
      </c>
      <c r="L27" s="2">
        <v>4.7427289999999998</v>
      </c>
      <c r="M27" s="2">
        <v>4.9217000000000004</v>
      </c>
      <c r="N27" s="2">
        <v>5.190156</v>
      </c>
      <c r="O27" s="2">
        <v>16.931819999999998</v>
      </c>
      <c r="P27" s="2">
        <v>14.9916</v>
      </c>
      <c r="Q27" s="2">
        <v>14.326919999999999</v>
      </c>
      <c r="R27" s="2">
        <v>13.51768</v>
      </c>
      <c r="S27" s="2">
        <v>8.5641590000000001</v>
      </c>
      <c r="T27" s="2">
        <v>8.1402970000000003</v>
      </c>
      <c r="U27" s="2">
        <v>7.8735429999999997</v>
      </c>
      <c r="V27" s="2">
        <v>7.6450870000000002</v>
      </c>
      <c r="W27" s="2">
        <v>1.665157</v>
      </c>
      <c r="X27" s="2">
        <v>1.636164</v>
      </c>
      <c r="Y27" s="2">
        <v>1.5761639999999999</v>
      </c>
      <c r="Z27" s="2">
        <v>1.5224800000000001</v>
      </c>
      <c r="AA27" s="2">
        <v>7.5547800000000001</v>
      </c>
      <c r="AB27" s="2">
        <v>6.8845809999999998</v>
      </c>
      <c r="AC27" s="2">
        <v>6.243017</v>
      </c>
      <c r="AD27" s="2">
        <v>6.0574260000000004</v>
      </c>
      <c r="AE27" s="2">
        <v>1.163321</v>
      </c>
      <c r="AF27" s="2">
        <v>-2.0498210000000001</v>
      </c>
      <c r="AG27" s="2">
        <v>0.41944399999999998</v>
      </c>
      <c r="AH27" s="2">
        <v>1.8673379999999999</v>
      </c>
      <c r="AI27" s="2">
        <v>-3.4184369999999999</v>
      </c>
      <c r="AJ27" s="2">
        <v>0.71972879999999995</v>
      </c>
      <c r="AK27" s="3">
        <v>2.0845400000000001</v>
      </c>
      <c r="AL27" s="3">
        <v>2.0111650000000001</v>
      </c>
      <c r="AM27" s="2">
        <v>24.519449999999999</v>
      </c>
      <c r="AN27" s="2">
        <v>25.42324</v>
      </c>
      <c r="AO27" s="2">
        <v>26.976769999999998</v>
      </c>
      <c r="AP27" s="2">
        <v>27.72926</v>
      </c>
      <c r="AQ27" s="2">
        <v>3.3073030000000001</v>
      </c>
      <c r="AR27" s="2">
        <v>2.9545499999999998</v>
      </c>
      <c r="AS27" s="2">
        <v>3.1522749999999999</v>
      </c>
      <c r="AT27" s="2">
        <v>3.1896779999999998</v>
      </c>
      <c r="AU27" s="1" t="s">
        <v>64</v>
      </c>
      <c r="AV27" s="3">
        <v>1.62</v>
      </c>
      <c r="AW27" s="3">
        <v>12.4</v>
      </c>
      <c r="AX27" s="2">
        <v>10.961959999999999</v>
      </c>
      <c r="AY27" s="2">
        <v>10.913869999999999</v>
      </c>
      <c r="AZ27" s="2">
        <v>7.1854420000000001</v>
      </c>
      <c r="BA27" s="2">
        <v>4.001868</v>
      </c>
      <c r="BB27" s="2">
        <v>-5.8550950000000004</v>
      </c>
      <c r="BC27" s="3">
        <v>9.8819999999999997</v>
      </c>
      <c r="BD27" s="2">
        <v>13.0844</v>
      </c>
      <c r="BE27" s="3">
        <v>12.244999999999999</v>
      </c>
      <c r="BF27" s="2">
        <v>-8.7382559999999998</v>
      </c>
      <c r="BG27" s="2">
        <v>72.764390000000006</v>
      </c>
      <c r="BH27" s="2">
        <v>70.855739999999997</v>
      </c>
      <c r="BI27" s="2">
        <v>70.963229999999996</v>
      </c>
      <c r="BJ27" s="2">
        <v>70.237030000000004</v>
      </c>
      <c r="BK27" s="2">
        <v>20</v>
      </c>
      <c r="BL27" s="2">
        <v>19</v>
      </c>
      <c r="BM27" s="4">
        <v>25</v>
      </c>
      <c r="BN27" s="4">
        <v>3</v>
      </c>
      <c r="BO27" s="4">
        <v>1</v>
      </c>
      <c r="BP27" s="4">
        <v>21</v>
      </c>
      <c r="BQ27" s="2">
        <v>12</v>
      </c>
      <c r="BR27" s="4">
        <v>11</v>
      </c>
      <c r="BS27" s="4">
        <v>1</v>
      </c>
      <c r="BT27" s="4">
        <v>25</v>
      </c>
      <c r="BU27" s="2">
        <v>44</v>
      </c>
      <c r="BV27" s="2">
        <v>6.4482400000000002</v>
      </c>
      <c r="BW27" s="2">
        <v>6350.2780000000002</v>
      </c>
      <c r="BX27" s="3">
        <v>10.835100000000001</v>
      </c>
      <c r="BY27" s="3">
        <v>0.170624</v>
      </c>
      <c r="BZ27" s="2">
        <v>0.69923800000000003</v>
      </c>
      <c r="CA27" s="3">
        <v>0.170624</v>
      </c>
      <c r="CB27" s="3">
        <v>0.74010330000000002</v>
      </c>
      <c r="CC27" s="3">
        <v>0.7460772</v>
      </c>
      <c r="CD27" s="2">
        <v>0.8071661</v>
      </c>
      <c r="CE27" s="3">
        <v>9130.7579999999998</v>
      </c>
      <c r="CF27" s="3">
        <v>9125.4619999999995</v>
      </c>
      <c r="CG27" s="2">
        <v>-5.8001280000000002E-2</v>
      </c>
      <c r="CH27" s="3">
        <v>12.43463</v>
      </c>
      <c r="CI27" s="2">
        <v>-0.27853250000000002</v>
      </c>
      <c r="CJ27" s="3">
        <v>57162.559999999998</v>
      </c>
      <c r="CK27" s="3">
        <v>56590.84</v>
      </c>
      <c r="CL27" s="2">
        <v>-1.0001599999999999</v>
      </c>
      <c r="CM27" s="3">
        <v>11.230510000000001</v>
      </c>
      <c r="CN27" s="3">
        <v>11.554209999999999</v>
      </c>
      <c r="CO27" s="3">
        <v>11.520189999999999</v>
      </c>
      <c r="CP27" s="2">
        <v>-0.49424170000000001</v>
      </c>
      <c r="CQ27" s="2">
        <v>-3.2820399999999998</v>
      </c>
      <c r="CR27" s="2">
        <v>-2.9964089999999999</v>
      </c>
      <c r="CS27" s="2">
        <v>2.882409</v>
      </c>
      <c r="CT27" s="2">
        <v>113.3494</v>
      </c>
      <c r="CU27" s="3">
        <v>0.15972720000000001</v>
      </c>
      <c r="CV27" s="2">
        <v>16.26343</v>
      </c>
      <c r="CW27" s="2">
        <v>-26.172910000000002</v>
      </c>
      <c r="CX27" s="2">
        <v>6.2421449999999998</v>
      </c>
      <c r="CY27" s="2">
        <v>18.41414</v>
      </c>
    </row>
    <row r="28" spans="1:103" ht="15" customHeight="1" x14ac:dyDescent="0.2">
      <c r="A28" s="1">
        <f t="shared" si="0"/>
        <v>22</v>
      </c>
      <c r="B28" s="1" t="s">
        <v>74</v>
      </c>
      <c r="C28" s="1" t="s">
        <v>73</v>
      </c>
      <c r="D28" s="1" t="s">
        <v>13</v>
      </c>
      <c r="E28" s="1" t="s">
        <v>14</v>
      </c>
      <c r="F28" s="2">
        <v>4323.0870000000004</v>
      </c>
      <c r="G28" s="2">
        <v>68.853099999999998</v>
      </c>
      <c r="H28" s="2">
        <v>2976.5790000000002</v>
      </c>
      <c r="I28" s="3">
        <v>10.145</v>
      </c>
      <c r="J28" s="3">
        <v>0</v>
      </c>
      <c r="K28" s="2">
        <v>0</v>
      </c>
      <c r="L28" s="2">
        <v>0</v>
      </c>
      <c r="M28" s="2">
        <v>0</v>
      </c>
      <c r="N28" s="2">
        <v>2.7686959999999998</v>
      </c>
      <c r="O28" s="2">
        <v>20.29</v>
      </c>
      <c r="P28" s="2">
        <v>29.012350000000001</v>
      </c>
      <c r="Q28" s="2">
        <v>11.39888</v>
      </c>
      <c r="R28" s="2">
        <v>8.8214889999999997</v>
      </c>
      <c r="S28" s="2">
        <v>13.50792</v>
      </c>
      <c r="T28" s="2">
        <v>13.345789999999999</v>
      </c>
      <c r="U28" s="2">
        <v>7.9202959999999996</v>
      </c>
      <c r="V28" s="2">
        <v>6.9483319999999997</v>
      </c>
      <c r="W28" s="2">
        <v>1.1299090000000001</v>
      </c>
      <c r="X28" s="2">
        <v>1.1027180000000001</v>
      </c>
      <c r="Y28" s="2">
        <v>1.0009870000000001</v>
      </c>
      <c r="Z28" s="2">
        <v>0.93718250000000003</v>
      </c>
      <c r="AA28" s="2">
        <v>34.031610000000001</v>
      </c>
      <c r="AB28" s="2">
        <v>12.22289</v>
      </c>
      <c r="AC28" s="2">
        <v>7.5708960000000003</v>
      </c>
      <c r="AD28" s="2">
        <v>6.3012420000000002</v>
      </c>
      <c r="AE28" s="2">
        <v>1.6715930000000001</v>
      </c>
      <c r="AF28" s="2">
        <v>5.4130140000000004</v>
      </c>
      <c r="AG28" s="2">
        <v>6.5055820000000004</v>
      </c>
      <c r="AH28" s="2">
        <v>5.5213010000000002</v>
      </c>
      <c r="AI28" s="2">
        <v>16.232379999999999</v>
      </c>
      <c r="AJ28" s="2">
        <v>19.170369999999998</v>
      </c>
      <c r="AK28" s="3">
        <v>0.93767040000000001</v>
      </c>
      <c r="AL28" s="3">
        <v>0.42383599999999999</v>
      </c>
      <c r="AM28" s="2">
        <v>20.5641</v>
      </c>
      <c r="AN28" s="2">
        <v>21.889800000000001</v>
      </c>
      <c r="AO28" s="2">
        <v>26.461179999999999</v>
      </c>
      <c r="AP28" s="2">
        <v>27.721599999999999</v>
      </c>
      <c r="AQ28" s="2">
        <v>8.1860470000000003</v>
      </c>
      <c r="AR28" s="2">
        <v>6.8845850000000004</v>
      </c>
      <c r="AS28" s="2">
        <v>4.5953869999999997</v>
      </c>
      <c r="AT28" s="2">
        <v>3.9867360000000001</v>
      </c>
      <c r="AU28" s="1" t="s">
        <v>15</v>
      </c>
      <c r="AV28" s="3">
        <v>1.2777780000000001</v>
      </c>
      <c r="AW28" s="3">
        <v>18</v>
      </c>
      <c r="AX28" s="2">
        <v>77.427289999999999</v>
      </c>
      <c r="AY28" s="2">
        <v>3.8008549999999999</v>
      </c>
      <c r="AZ28" s="2">
        <v>25.579840000000001</v>
      </c>
      <c r="BA28" s="2">
        <v>-16.329889999999999</v>
      </c>
      <c r="BB28" s="2">
        <v>-34.357810000000001</v>
      </c>
      <c r="BC28" s="3">
        <v>8.1</v>
      </c>
      <c r="BD28" s="2">
        <v>25.246919999999999</v>
      </c>
      <c r="BE28" s="3">
        <v>15.92</v>
      </c>
      <c r="BF28" s="2">
        <v>-36.275120000000001</v>
      </c>
      <c r="BG28" s="2">
        <v>0</v>
      </c>
      <c r="BH28" s="2">
        <v>1.6055960000000001E-2</v>
      </c>
      <c r="BI28" s="2">
        <v>4.8459289999999999</v>
      </c>
      <c r="BJ28" s="2">
        <v>21.04318</v>
      </c>
      <c r="BK28" s="2">
        <v>17</v>
      </c>
      <c r="BL28" s="2">
        <v>16</v>
      </c>
      <c r="BM28" s="4">
        <v>18</v>
      </c>
      <c r="BN28" s="4">
        <v>2</v>
      </c>
      <c r="BO28" s="4">
        <v>0</v>
      </c>
      <c r="BP28" s="4">
        <v>17</v>
      </c>
      <c r="BQ28" s="2">
        <v>10.52632</v>
      </c>
      <c r="BR28" s="4">
        <v>14</v>
      </c>
      <c r="BS28" s="4">
        <v>0</v>
      </c>
      <c r="BT28" s="4">
        <v>18</v>
      </c>
      <c r="BU28" s="2">
        <v>77.777780000000007</v>
      </c>
      <c r="BV28" s="2">
        <v>12.550800000000001</v>
      </c>
      <c r="BW28" s="2">
        <v>426.12979999999999</v>
      </c>
      <c r="BX28" s="3">
        <v>1.8111740000000001</v>
      </c>
      <c r="BY28" s="3">
        <v>0.42502869999999998</v>
      </c>
      <c r="BZ28" s="2">
        <v>1.37337</v>
      </c>
      <c r="CA28" s="3">
        <v>0.42502869999999998</v>
      </c>
      <c r="CB28" s="3">
        <v>0.52834669999999995</v>
      </c>
      <c r="CC28" s="3">
        <v>0.40705849999999999</v>
      </c>
      <c r="CD28" s="2">
        <v>-22.95618</v>
      </c>
      <c r="CE28" s="3">
        <v>911.28949999999998</v>
      </c>
      <c r="CF28" s="3">
        <v>914.11180000000002</v>
      </c>
      <c r="CG28" s="2">
        <v>0.30970569999999997</v>
      </c>
      <c r="CH28" s="3">
        <v>18.777650000000001</v>
      </c>
      <c r="CI28" s="2">
        <v>-4.141343</v>
      </c>
      <c r="CJ28" s="3">
        <v>6602.3770000000004</v>
      </c>
      <c r="CK28" s="3">
        <v>6602.6989999999996</v>
      </c>
      <c r="CL28" s="2">
        <v>4.8637389999999997E-3</v>
      </c>
      <c r="CM28" s="3">
        <v>12.05025</v>
      </c>
      <c r="CN28" s="3">
        <v>12.45506</v>
      </c>
      <c r="CO28" s="3">
        <v>11.29377</v>
      </c>
      <c r="CP28" s="2">
        <v>-15.8109</v>
      </c>
      <c r="CQ28" s="2">
        <v>-18.547149999999998</v>
      </c>
      <c r="CR28" s="2">
        <v>-10.17169</v>
      </c>
      <c r="CS28" s="2">
        <v>3.3593060000000001</v>
      </c>
      <c r="CT28" s="2">
        <v>34.47645</v>
      </c>
      <c r="CU28" s="3">
        <v>0.79749619999999999</v>
      </c>
      <c r="CV28" s="2">
        <v>-26.10913</v>
      </c>
      <c r="CW28" s="2">
        <v>-6.4985160000000004</v>
      </c>
      <c r="CX28" s="2">
        <v>2.8092160000000002</v>
      </c>
      <c r="CY28" s="2">
        <v>18.505050000000001</v>
      </c>
    </row>
    <row r="29" spans="1:103" ht="15" customHeight="1" x14ac:dyDescent="0.2">
      <c r="A29" s="1">
        <f t="shared" si="0"/>
        <v>23</v>
      </c>
      <c r="B29" s="1" t="s">
        <v>76</v>
      </c>
      <c r="C29" s="1" t="s">
        <v>75</v>
      </c>
      <c r="D29" s="1" t="s">
        <v>58</v>
      </c>
      <c r="E29" s="1" t="s">
        <v>59</v>
      </c>
      <c r="F29" s="2">
        <v>21772.65</v>
      </c>
      <c r="G29" s="2">
        <v>85.188100000000006</v>
      </c>
      <c r="H29" s="2">
        <v>18547.71</v>
      </c>
      <c r="I29" s="3">
        <v>3.77</v>
      </c>
      <c r="J29" s="3">
        <v>0</v>
      </c>
      <c r="K29" s="2">
        <v>7.95756</v>
      </c>
      <c r="L29" s="2">
        <v>7.95756</v>
      </c>
      <c r="M29" s="2">
        <v>7.95756</v>
      </c>
      <c r="N29" s="2">
        <v>7.95756</v>
      </c>
      <c r="O29" s="2">
        <v>11.424239999999999</v>
      </c>
      <c r="P29" s="2">
        <v>12.360659999999999</v>
      </c>
      <c r="Q29" s="2">
        <v>11.253729999999999</v>
      </c>
      <c r="R29" s="2">
        <v>11.055720000000001</v>
      </c>
      <c r="S29" s="2">
        <v>4.2860440000000004</v>
      </c>
      <c r="T29" s="2">
        <v>4.3680870000000001</v>
      </c>
      <c r="U29" s="2">
        <v>4.2761290000000001</v>
      </c>
      <c r="V29" s="2">
        <v>4.1994230000000003</v>
      </c>
      <c r="W29" s="2">
        <v>0.86256679999999997</v>
      </c>
      <c r="X29" s="2">
        <v>0.85620010000000002</v>
      </c>
      <c r="Y29" s="2">
        <v>0.85460740000000002</v>
      </c>
      <c r="Z29" s="2">
        <v>0.85241060000000002</v>
      </c>
      <c r="AA29" s="2">
        <v>1.953368</v>
      </c>
      <c r="AB29" s="2">
        <v>2.0983520000000002</v>
      </c>
      <c r="AC29" s="2">
        <v>2.0492680000000001</v>
      </c>
      <c r="AD29" s="2">
        <v>2.0444529999999999</v>
      </c>
      <c r="AE29" s="2">
        <v>6.4239980000000001</v>
      </c>
      <c r="AF29" s="2">
        <v>6.6058060000000003</v>
      </c>
      <c r="AG29" s="2">
        <v>6.8495039999999996</v>
      </c>
      <c r="AH29" s="2">
        <v>17.03023</v>
      </c>
      <c r="AI29" s="2">
        <v>17.168800000000001</v>
      </c>
      <c r="AJ29" s="2">
        <v>17.659880000000001</v>
      </c>
      <c r="AK29" s="3">
        <v>0.65664960000000006</v>
      </c>
      <c r="AL29" s="3">
        <v>0.60516020000000004</v>
      </c>
      <c r="AM29" s="2">
        <v>32.136699999999998</v>
      </c>
      <c r="AN29" s="2">
        <v>31.58982</v>
      </c>
      <c r="AO29" s="2">
        <v>32.14425</v>
      </c>
      <c r="AP29" s="2">
        <v>32.25826</v>
      </c>
      <c r="AQ29" s="2">
        <v>2.7649949999999999</v>
      </c>
      <c r="AR29" s="2">
        <v>2.7861850000000001</v>
      </c>
      <c r="AS29" s="2">
        <v>2.6308609999999999</v>
      </c>
      <c r="AT29" s="2">
        <v>2.570649</v>
      </c>
      <c r="AU29" s="1" t="s">
        <v>64</v>
      </c>
      <c r="AV29" s="3">
        <v>1.6904760000000001</v>
      </c>
      <c r="AW29" s="3">
        <v>4.25</v>
      </c>
      <c r="AX29" s="2">
        <v>12.732100000000001</v>
      </c>
      <c r="AY29" s="2">
        <v>6.9268179999999999</v>
      </c>
      <c r="AZ29" s="2">
        <v>18.829429999999999</v>
      </c>
      <c r="BA29" s="2">
        <v>8.1158640000000002</v>
      </c>
      <c r="BB29" s="2">
        <v>6.6779849999999996</v>
      </c>
      <c r="BC29" s="3">
        <v>3.4169999999999998</v>
      </c>
      <c r="BD29" s="2">
        <v>10.3307</v>
      </c>
      <c r="BE29" s="3">
        <v>4.1470000000000002</v>
      </c>
      <c r="BF29" s="2">
        <v>-9.0909060000000004</v>
      </c>
      <c r="BG29" s="2">
        <v>90.909099999999995</v>
      </c>
      <c r="BH29" s="2">
        <v>98.389979999999994</v>
      </c>
      <c r="BI29" s="2">
        <v>91.052800000000005</v>
      </c>
      <c r="BJ29" s="2">
        <v>87.424430000000001</v>
      </c>
      <c r="BK29" s="2">
        <v>12</v>
      </c>
      <c r="BL29" s="2">
        <v>11</v>
      </c>
      <c r="BM29" s="4">
        <v>21</v>
      </c>
      <c r="BN29" s="4">
        <v>0</v>
      </c>
      <c r="BO29" s="4">
        <v>1</v>
      </c>
      <c r="BP29" s="4">
        <v>19</v>
      </c>
      <c r="BQ29" s="2">
        <v>0</v>
      </c>
      <c r="BR29" s="4">
        <v>9</v>
      </c>
      <c r="BS29" s="4">
        <v>2</v>
      </c>
      <c r="BT29" s="4">
        <v>21</v>
      </c>
      <c r="BU29" s="2">
        <v>42.857140000000001</v>
      </c>
      <c r="BV29" s="2">
        <v>6.5683999999999996</v>
      </c>
      <c r="BW29" s="2">
        <v>5775.2380000000003</v>
      </c>
      <c r="BX29" s="3">
        <v>16.29092</v>
      </c>
      <c r="BY29" s="3">
        <v>0.28208230000000001</v>
      </c>
      <c r="BZ29" s="2">
        <v>0.44818799999999998</v>
      </c>
      <c r="CA29" s="3">
        <v>0.28208230000000001</v>
      </c>
      <c r="CB29" s="3">
        <v>0.30901509999999999</v>
      </c>
      <c r="CC29" s="3">
        <v>0.30490909999999999</v>
      </c>
      <c r="CD29" s="2">
        <v>-1.3287310000000001</v>
      </c>
      <c r="CE29" s="3">
        <v>4175.0020000000004</v>
      </c>
      <c r="CF29" s="3">
        <v>4151.2209999999995</v>
      </c>
      <c r="CG29" s="2">
        <v>-0.5696118</v>
      </c>
      <c r="CH29" s="3">
        <v>4.0734779999999997</v>
      </c>
      <c r="CI29" s="2">
        <v>4.3334359999999998</v>
      </c>
      <c r="CJ29" s="3">
        <v>40905.11</v>
      </c>
      <c r="CK29" s="3">
        <v>40746.230000000003</v>
      </c>
      <c r="CL29" s="2">
        <v>-0.38840170000000002</v>
      </c>
      <c r="CM29" s="3">
        <v>3.7822819999999999</v>
      </c>
      <c r="CN29" s="3">
        <v>3.7621570000000002</v>
      </c>
      <c r="CO29" s="3">
        <v>3.7194229999999999</v>
      </c>
      <c r="CP29" s="2">
        <v>-0.32473210000000002</v>
      </c>
      <c r="CQ29" s="2">
        <v>0.2084732</v>
      </c>
      <c r="CR29" s="2">
        <v>1.3598079999999999</v>
      </c>
      <c r="CS29" s="2">
        <v>-0.53210259999999998</v>
      </c>
      <c r="CT29" s="2">
        <v>63.313720000000004</v>
      </c>
      <c r="CU29" s="3">
        <v>0.29079480000000002</v>
      </c>
      <c r="CV29" s="2">
        <v>12.5</v>
      </c>
      <c r="CW29" s="2">
        <v>-1.6596679999999999</v>
      </c>
      <c r="CX29" s="2">
        <v>8.270721</v>
      </c>
      <c r="CY29" s="2">
        <v>18.979800000000001</v>
      </c>
    </row>
    <row r="30" spans="1:103" ht="15" customHeight="1" x14ac:dyDescent="0.2">
      <c r="A30" s="1">
        <f t="shared" si="0"/>
        <v>24</v>
      </c>
      <c r="B30" s="1" t="s">
        <v>78</v>
      </c>
      <c r="C30" s="1" t="s">
        <v>77</v>
      </c>
      <c r="D30" s="1" t="s">
        <v>71</v>
      </c>
      <c r="E30" s="1" t="s">
        <v>79</v>
      </c>
      <c r="F30" s="2">
        <v>1711.202</v>
      </c>
      <c r="G30" s="2">
        <v>53.16</v>
      </c>
      <c r="H30" s="2">
        <v>909.67520000000002</v>
      </c>
      <c r="I30" s="3">
        <v>13.695</v>
      </c>
      <c r="J30" s="3">
        <v>0</v>
      </c>
      <c r="K30" s="2">
        <v>0</v>
      </c>
      <c r="L30" s="2">
        <v>0</v>
      </c>
      <c r="M30" s="2">
        <v>0</v>
      </c>
      <c r="N30" s="2">
        <v>0</v>
      </c>
      <c r="O30" s="2">
        <v>19.02083</v>
      </c>
      <c r="P30" s="2">
        <v>16.008369999999999</v>
      </c>
      <c r="Q30" s="2">
        <v>13.698119999999999</v>
      </c>
      <c r="R30" s="2">
        <v>12.013159999999999</v>
      </c>
      <c r="S30" s="2">
        <v>19.51952</v>
      </c>
      <c r="T30" s="2">
        <v>16.959520000000001</v>
      </c>
      <c r="U30" s="2">
        <v>12.697979999999999</v>
      </c>
      <c r="V30" s="2">
        <v>11.41596</v>
      </c>
      <c r="W30" s="2">
        <v>4.9800000000000004</v>
      </c>
      <c r="X30" s="2">
        <v>3.8041670000000001</v>
      </c>
      <c r="Y30" s="2">
        <v>3.0032890000000001</v>
      </c>
      <c r="Z30" s="2">
        <v>2.428191</v>
      </c>
      <c r="AA30" s="2">
        <v>14.87523</v>
      </c>
      <c r="AB30" s="2">
        <v>11.98298</v>
      </c>
      <c r="AC30" s="2">
        <v>9.7871659999999991</v>
      </c>
      <c r="AD30" s="2">
        <v>8.3506099999999996</v>
      </c>
      <c r="AE30" s="2">
        <v>-10.742000000000001</v>
      </c>
      <c r="AF30" s="2">
        <v>-10.14629</v>
      </c>
      <c r="AG30" s="2">
        <v>-9.1318020000000004</v>
      </c>
      <c r="AH30" s="2">
        <v>-17.352160000000001</v>
      </c>
      <c r="AI30" s="2">
        <v>-18.521470000000001</v>
      </c>
      <c r="AJ30" s="2">
        <v>-18.337230000000002</v>
      </c>
      <c r="AK30" s="3">
        <v>1.0705960000000001</v>
      </c>
      <c r="AL30" s="3">
        <v>0.96072760000000001</v>
      </c>
      <c r="AM30" s="2">
        <v>90.486459999999994</v>
      </c>
      <c r="AN30" s="2">
        <v>89.327349999999996</v>
      </c>
      <c r="AO30" s="2">
        <v>87.285319999999999</v>
      </c>
      <c r="AP30" s="2">
        <v>89.317499999999995</v>
      </c>
      <c r="AQ30" s="2">
        <v>4.971419</v>
      </c>
      <c r="AR30" s="2">
        <v>5.2861450000000003</v>
      </c>
      <c r="AS30" s="2">
        <v>5.7418699999999996</v>
      </c>
      <c r="AT30" s="2">
        <v>5.7308969999999997</v>
      </c>
      <c r="AU30" s="1" t="s">
        <v>5</v>
      </c>
      <c r="AV30" s="3">
        <v>1.6315789999999999</v>
      </c>
      <c r="AW30" s="3">
        <v>19</v>
      </c>
      <c r="AX30" s="2">
        <v>38.73677</v>
      </c>
      <c r="AY30" s="2">
        <v>23.76361</v>
      </c>
      <c r="AZ30" s="2">
        <v>14.7</v>
      </c>
      <c r="BA30" s="2">
        <v>-27.09609</v>
      </c>
      <c r="BB30" s="2">
        <v>-26.410540000000001</v>
      </c>
      <c r="BC30" s="3">
        <v>12.484999999999999</v>
      </c>
      <c r="BD30" s="2">
        <v>9.6916309999999992</v>
      </c>
      <c r="BE30" s="3">
        <v>19.245000000000001</v>
      </c>
      <c r="BF30" s="2">
        <v>-28.83867</v>
      </c>
      <c r="BG30" s="2">
        <v>0</v>
      </c>
      <c r="BH30" s="2">
        <v>0</v>
      </c>
      <c r="BI30" s="2">
        <v>0</v>
      </c>
      <c r="BJ30" s="2">
        <v>0</v>
      </c>
      <c r="BK30" s="2">
        <v>18</v>
      </c>
      <c r="BL30" s="2">
        <v>17</v>
      </c>
      <c r="BM30" s="4">
        <v>19</v>
      </c>
      <c r="BN30" s="4">
        <v>0</v>
      </c>
      <c r="BO30" s="4">
        <v>1</v>
      </c>
      <c r="BP30" s="4">
        <v>16</v>
      </c>
      <c r="BQ30" s="2">
        <v>0</v>
      </c>
      <c r="BR30" s="4">
        <v>10</v>
      </c>
      <c r="BS30" s="4">
        <v>2</v>
      </c>
      <c r="BT30" s="4">
        <v>19</v>
      </c>
      <c r="BU30" s="2">
        <v>52.63158</v>
      </c>
      <c r="BV30" s="2">
        <v>10.9877</v>
      </c>
      <c r="BW30" s="2">
        <v>124.9509</v>
      </c>
      <c r="BX30" s="3">
        <v>0.51315980000000005</v>
      </c>
      <c r="BY30" s="3">
        <v>0.41068919999999998</v>
      </c>
      <c r="BZ30" s="2">
        <v>0.97082000000000002</v>
      </c>
      <c r="CA30" s="3">
        <v>0.41068919999999998</v>
      </c>
      <c r="CB30" s="3">
        <v>0.837121</v>
      </c>
      <c r="CC30" s="3">
        <v>0.87020039999999999</v>
      </c>
      <c r="CD30" s="2">
        <v>3.9515729999999998</v>
      </c>
      <c r="CE30" s="3">
        <v>162.57</v>
      </c>
      <c r="CF30" s="3">
        <v>165.62970000000001</v>
      </c>
      <c r="CG30" s="2">
        <v>1.8820520000000001</v>
      </c>
      <c r="CH30" s="3">
        <v>18.977779999999999</v>
      </c>
      <c r="CI30" s="2">
        <v>0.1170993</v>
      </c>
      <c r="CJ30" s="3">
        <v>223.80850000000001</v>
      </c>
      <c r="CK30" s="3">
        <v>220.85769999999999</v>
      </c>
      <c r="CL30" s="2">
        <v>-1.3184670000000001</v>
      </c>
      <c r="CM30" s="3">
        <v>14.658580000000001</v>
      </c>
      <c r="CN30" s="3">
        <v>16.68431</v>
      </c>
      <c r="CO30" s="3">
        <v>15.92769</v>
      </c>
      <c r="CP30" s="2">
        <v>-6.5735159999999997</v>
      </c>
      <c r="CQ30" s="2">
        <v>-17.916899999999998</v>
      </c>
      <c r="CR30" s="2">
        <v>-14.01768</v>
      </c>
      <c r="CS30" s="2">
        <v>13.8194</v>
      </c>
      <c r="CT30" s="2">
        <v>9.5230569999999997</v>
      </c>
      <c r="CU30" s="3">
        <v>0.55651269999999997</v>
      </c>
      <c r="CV30" s="2">
        <v>44.982599999999998</v>
      </c>
      <c r="CW30" s="2">
        <v>16.47335</v>
      </c>
      <c r="CX30" s="2">
        <v>13.590260000000001</v>
      </c>
      <c r="CY30" s="2">
        <v>19.08081</v>
      </c>
    </row>
    <row r="31" spans="1:103" ht="15" customHeight="1" x14ac:dyDescent="0.2">
      <c r="A31" s="1">
        <f t="shared" si="0"/>
        <v>25</v>
      </c>
      <c r="B31" s="1" t="s">
        <v>81</v>
      </c>
      <c r="C31" s="1" t="s">
        <v>80</v>
      </c>
      <c r="D31" s="1" t="s">
        <v>3</v>
      </c>
      <c r="E31" s="1" t="s">
        <v>82</v>
      </c>
      <c r="F31" s="2">
        <v>6282.2889999999998</v>
      </c>
      <c r="G31" s="2">
        <v>29.558900000000001</v>
      </c>
      <c r="H31" s="2">
        <v>1856.9749999999999</v>
      </c>
      <c r="I31" s="3">
        <v>2.04</v>
      </c>
      <c r="J31" s="3">
        <v>0</v>
      </c>
      <c r="K31" s="2">
        <v>7.3529419999999996</v>
      </c>
      <c r="L31" s="2">
        <v>7.3529419999999996</v>
      </c>
      <c r="M31" s="2">
        <v>7.3529419999999996</v>
      </c>
      <c r="N31" s="2">
        <v>7.5980400000000001</v>
      </c>
      <c r="O31" s="2">
        <v>9.7142859999999995</v>
      </c>
      <c r="P31" s="2">
        <v>8.9892090000000007</v>
      </c>
      <c r="Q31" s="2">
        <v>7.1578949999999999</v>
      </c>
      <c r="R31" s="2">
        <v>6.7489679999999996</v>
      </c>
      <c r="S31" s="2" t="e">
        <v>#N/A</v>
      </c>
      <c r="T31" s="2" t="e">
        <v>#N/A</v>
      </c>
      <c r="U31" s="2" t="e">
        <v>#N/A</v>
      </c>
      <c r="V31" s="2" t="e">
        <v>#N/A</v>
      </c>
      <c r="W31" s="2">
        <v>0.86075950000000001</v>
      </c>
      <c r="X31" s="2">
        <v>0.81599999999999995</v>
      </c>
      <c r="Y31" s="2">
        <v>0.75977649999999997</v>
      </c>
      <c r="Z31" s="2">
        <v>0.70223749999999996</v>
      </c>
      <c r="AA31" s="2" t="e">
        <v>#N/A</v>
      </c>
      <c r="AB31" s="2" t="e">
        <v>#N/A</v>
      </c>
      <c r="AC31" s="2" t="e">
        <v>#N/A</v>
      </c>
      <c r="AD31" s="2" t="e">
        <v>#N/A</v>
      </c>
      <c r="AE31" s="2" t="e">
        <v>#N/A</v>
      </c>
      <c r="AF31" s="2" t="e">
        <v>#N/A</v>
      </c>
      <c r="AG31" s="2" t="e">
        <v>#N/A</v>
      </c>
      <c r="AH31" s="2">
        <v>12.320349999999999</v>
      </c>
      <c r="AI31" s="2">
        <v>10.999180000000001</v>
      </c>
      <c r="AJ31" s="2">
        <v>11.667719999999999</v>
      </c>
      <c r="AK31" s="3">
        <v>0.70056609999999997</v>
      </c>
      <c r="AL31" s="3">
        <v>0.56539510000000004</v>
      </c>
      <c r="AM31" s="2" t="e">
        <v>#N/A</v>
      </c>
      <c r="AN31" s="2" t="e">
        <v>#N/A</v>
      </c>
      <c r="AO31" s="2" t="e">
        <v>#N/A</v>
      </c>
      <c r="AP31" s="2" t="e">
        <v>#N/A</v>
      </c>
      <c r="AQ31" s="2" t="e">
        <v>#N/A</v>
      </c>
      <c r="AR31" s="2" t="e">
        <v>#N/A</v>
      </c>
      <c r="AS31" s="2" t="e">
        <v>#N/A</v>
      </c>
      <c r="AT31" s="2" t="e">
        <v>#N/A</v>
      </c>
      <c r="AU31" s="1" t="s">
        <v>64</v>
      </c>
      <c r="AV31" s="3">
        <v>1.95</v>
      </c>
      <c r="AW31" s="3">
        <v>2.2349999999999999</v>
      </c>
      <c r="AX31" s="2">
        <v>9.558821</v>
      </c>
      <c r="AY31" s="2">
        <v>9.0775509999999997</v>
      </c>
      <c r="AZ31" s="2">
        <v>12.306319999999999</v>
      </c>
      <c r="BA31" s="2">
        <v>10.56911</v>
      </c>
      <c r="BB31" s="2">
        <v>4.9922700000000004</v>
      </c>
      <c r="BC31" s="3">
        <v>1.7490000000000001</v>
      </c>
      <c r="BD31" s="2">
        <v>16.638079999999999</v>
      </c>
      <c r="BE31" s="3">
        <v>2.11</v>
      </c>
      <c r="BF31" s="2">
        <v>-3.3175349999999999</v>
      </c>
      <c r="BG31" s="2">
        <v>70.238100000000003</v>
      </c>
      <c r="BH31" s="2">
        <v>62.600610000000003</v>
      </c>
      <c r="BI31" s="2">
        <v>54.785550000000001</v>
      </c>
      <c r="BJ31" s="2">
        <v>53.432319999999997</v>
      </c>
      <c r="BK31" s="2">
        <v>10</v>
      </c>
      <c r="BL31" s="2">
        <v>3</v>
      </c>
      <c r="BM31" s="4">
        <v>10</v>
      </c>
      <c r="BN31" s="4">
        <v>0</v>
      </c>
      <c r="BO31" s="4">
        <v>0</v>
      </c>
      <c r="BP31" s="4">
        <v>10</v>
      </c>
      <c r="BQ31" s="2">
        <v>0</v>
      </c>
      <c r="BR31" s="4">
        <v>4</v>
      </c>
      <c r="BS31" s="4">
        <v>3</v>
      </c>
      <c r="BT31" s="4">
        <v>10</v>
      </c>
      <c r="BU31" s="2">
        <v>40</v>
      </c>
      <c r="BV31" s="2">
        <v>5.2396099999999999</v>
      </c>
      <c r="BW31" s="2">
        <v>3079.5529999999999</v>
      </c>
      <c r="BX31" s="3">
        <v>2.7563420000000001</v>
      </c>
      <c r="BY31" s="3">
        <v>8.9504600000000004E-2</v>
      </c>
      <c r="BZ31" s="2">
        <v>0.45070900000000003</v>
      </c>
      <c r="CA31" s="3">
        <v>8.9504600000000004E-2</v>
      </c>
      <c r="CB31" s="3">
        <v>0.23970469999999999</v>
      </c>
      <c r="CC31" s="3">
        <v>0.23662079999999999</v>
      </c>
      <c r="CD31" s="2">
        <v>-1.2865359999999999</v>
      </c>
      <c r="CE31" s="3">
        <v>1737.2570000000001</v>
      </c>
      <c r="CF31" s="3">
        <v>1768.5619999999999</v>
      </c>
      <c r="CG31" s="2">
        <v>1.8019559999999999</v>
      </c>
      <c r="CH31" s="3">
        <v>2.2955559999999999</v>
      </c>
      <c r="CI31" s="2">
        <v>-2.637953</v>
      </c>
      <c r="CJ31" s="3">
        <v>26064.07</v>
      </c>
      <c r="CK31" s="3">
        <v>26489.75</v>
      </c>
      <c r="CL31" s="2">
        <v>1.633227</v>
      </c>
      <c r="CM31" s="3">
        <v>1.9217059999999999</v>
      </c>
      <c r="CN31" s="3">
        <v>1.99949</v>
      </c>
      <c r="CO31" s="3">
        <v>1.995039</v>
      </c>
      <c r="CP31" s="2">
        <v>6.1556579999999999</v>
      </c>
      <c r="CQ31" s="2">
        <v>2.0260099999999999</v>
      </c>
      <c r="CR31" s="2">
        <v>2.2536640000000001</v>
      </c>
      <c r="CS31" s="2">
        <v>4.0476320000000001</v>
      </c>
      <c r="CT31" s="2">
        <v>4.8450110000000004</v>
      </c>
      <c r="CU31" s="3">
        <v>7.7121759999999998E-2</v>
      </c>
      <c r="CV31" s="2" t="e">
        <v>#N/A</v>
      </c>
      <c r="CW31" s="2">
        <v>-5.0036659999999999</v>
      </c>
      <c r="CX31" s="2" t="e">
        <v>#N/A</v>
      </c>
      <c r="CY31" s="2">
        <v>20.121210000000001</v>
      </c>
    </row>
    <row r="32" spans="1:103" ht="15" customHeight="1" x14ac:dyDescent="0.2">
      <c r="A32" s="1">
        <f t="shared" si="0"/>
        <v>26</v>
      </c>
      <c r="B32" s="1" t="s">
        <v>84</v>
      </c>
      <c r="C32" s="1" t="s">
        <v>83</v>
      </c>
      <c r="D32" s="1" t="s">
        <v>8</v>
      </c>
      <c r="E32" s="1" t="s">
        <v>9</v>
      </c>
      <c r="F32" s="2">
        <v>6596.5129999999999</v>
      </c>
      <c r="G32" s="2">
        <v>43.486199999999997</v>
      </c>
      <c r="H32" s="2">
        <v>2868.5729999999999</v>
      </c>
      <c r="I32" s="3">
        <v>120.25</v>
      </c>
      <c r="J32" s="3">
        <v>0</v>
      </c>
      <c r="K32" s="2">
        <v>3.7422040000000001</v>
      </c>
      <c r="L32" s="2">
        <v>3.9085239999999999</v>
      </c>
      <c r="M32" s="2">
        <v>3.9334720000000001</v>
      </c>
      <c r="N32" s="2">
        <v>4.1247400000000001</v>
      </c>
      <c r="O32" s="2">
        <v>14.956469999999999</v>
      </c>
      <c r="P32" s="2">
        <v>11.686870000000001</v>
      </c>
      <c r="Q32" s="2">
        <v>14.155390000000001</v>
      </c>
      <c r="R32" s="2">
        <v>13.39833</v>
      </c>
      <c r="S32" s="2">
        <v>7.1000290000000001</v>
      </c>
      <c r="T32" s="2">
        <v>7.6988120000000002</v>
      </c>
      <c r="U32" s="2">
        <v>7.1216540000000004</v>
      </c>
      <c r="V32" s="2">
        <v>6.7885229999999996</v>
      </c>
      <c r="W32" s="2">
        <v>1.350668</v>
      </c>
      <c r="X32" s="2">
        <v>1.2731319999999999</v>
      </c>
      <c r="Y32" s="2">
        <v>1.23207</v>
      </c>
      <c r="Z32" s="2">
        <v>1.1710100000000001</v>
      </c>
      <c r="AA32" s="2">
        <v>4.3023249999999997</v>
      </c>
      <c r="AB32" s="2">
        <v>6.4657549999999997</v>
      </c>
      <c r="AC32" s="2">
        <v>4.816376</v>
      </c>
      <c r="AD32" s="2">
        <v>5.1853740000000004</v>
      </c>
      <c r="AE32" s="2">
        <v>-13.16742</v>
      </c>
      <c r="AF32" s="2">
        <v>-5.0575239999999999</v>
      </c>
      <c r="AG32" s="2">
        <v>-3.7201339999999998</v>
      </c>
      <c r="AH32" s="2">
        <v>-27.923400000000001</v>
      </c>
      <c r="AI32" s="2">
        <v>-11.60281</v>
      </c>
      <c r="AJ32" s="2">
        <v>-9.1039809999999992</v>
      </c>
      <c r="AK32" s="3" t="e">
        <v>#N/A</v>
      </c>
      <c r="AL32" s="3" t="e">
        <v>#N/A</v>
      </c>
      <c r="AM32" s="2">
        <v>18.472529999999999</v>
      </c>
      <c r="AN32" s="2">
        <v>11.8954</v>
      </c>
      <c r="AO32" s="2">
        <v>11.706049999999999</v>
      </c>
      <c r="AP32" s="2">
        <v>12.96195</v>
      </c>
      <c r="AQ32" s="2">
        <v>2.5401349999999998</v>
      </c>
      <c r="AR32" s="2">
        <v>3.8703340000000002</v>
      </c>
      <c r="AS32" s="2">
        <v>4.0174120000000002</v>
      </c>
      <c r="AT32" s="2">
        <v>4.0145479999999996</v>
      </c>
      <c r="AU32" s="1" t="s">
        <v>15</v>
      </c>
      <c r="AV32" s="3">
        <v>1.4090910000000001</v>
      </c>
      <c r="AW32" s="3">
        <v>153</v>
      </c>
      <c r="AX32" s="2">
        <v>27.234919999999999</v>
      </c>
      <c r="AY32" s="2">
        <v>10.893700000000001</v>
      </c>
      <c r="AZ32" s="2" t="e">
        <v>#N/A</v>
      </c>
      <c r="BA32" s="2">
        <v>-32.82123</v>
      </c>
      <c r="BB32" s="2">
        <v>-9.789949</v>
      </c>
      <c r="BC32" s="3">
        <v>112.05</v>
      </c>
      <c r="BD32" s="2">
        <v>7.3181630000000002</v>
      </c>
      <c r="BE32" s="3">
        <v>190</v>
      </c>
      <c r="BF32" s="2">
        <v>-36.710529999999999</v>
      </c>
      <c r="BG32" s="2">
        <v>54.966119999999997</v>
      </c>
      <c r="BH32" s="2">
        <v>47.986499999999999</v>
      </c>
      <c r="BI32" s="2">
        <v>55.273539999999997</v>
      </c>
      <c r="BJ32" s="2">
        <v>54.133650000000003</v>
      </c>
      <c r="BK32" s="2">
        <v>10</v>
      </c>
      <c r="BL32" s="2">
        <v>9</v>
      </c>
      <c r="BM32" s="4">
        <v>11</v>
      </c>
      <c r="BN32" s="4">
        <v>1</v>
      </c>
      <c r="BO32" s="4">
        <v>1</v>
      </c>
      <c r="BP32" s="4">
        <v>9</v>
      </c>
      <c r="BQ32" s="2">
        <v>9.0909089999999999</v>
      </c>
      <c r="BR32" s="4">
        <v>7</v>
      </c>
      <c r="BS32" s="4">
        <v>0</v>
      </c>
      <c r="BT32" s="4">
        <v>11</v>
      </c>
      <c r="BU32" s="2">
        <v>63.636360000000003</v>
      </c>
      <c r="BV32" s="2">
        <v>7.2385900000000003</v>
      </c>
      <c r="BW32" s="2">
        <v>54.856650000000002</v>
      </c>
      <c r="BX32" s="3">
        <v>8.7256940000000005E-2</v>
      </c>
      <c r="BY32" s="3">
        <v>0.1590635</v>
      </c>
      <c r="BZ32" s="2">
        <v>0.68035500000000004</v>
      </c>
      <c r="CA32" s="3">
        <v>0.1590635</v>
      </c>
      <c r="CB32" s="3">
        <v>10.142989999999999</v>
      </c>
      <c r="CC32" s="3">
        <v>9.8993179999999992</v>
      </c>
      <c r="CD32" s="2">
        <v>-2.402323</v>
      </c>
      <c r="CE32" s="3">
        <v>1293.848</v>
      </c>
      <c r="CF32" s="3">
        <v>1285.018</v>
      </c>
      <c r="CG32" s="2">
        <v>-0.68249700000000002</v>
      </c>
      <c r="CH32" s="3">
        <v>176.76750000000001</v>
      </c>
      <c r="CI32" s="2">
        <v>-13.44563</v>
      </c>
      <c r="CJ32" s="3">
        <v>12816.52</v>
      </c>
      <c r="CK32" s="3">
        <v>15462.34</v>
      </c>
      <c r="CL32" s="2">
        <v>20.643809999999998</v>
      </c>
      <c r="CM32" s="3">
        <v>136.2552</v>
      </c>
      <c r="CN32" s="3">
        <v>127.87649999999999</v>
      </c>
      <c r="CO32" s="3">
        <v>124.9289</v>
      </c>
      <c r="CP32" s="2">
        <v>-11.746499999999999</v>
      </c>
      <c r="CQ32" s="2">
        <v>-5.9639329999999999</v>
      </c>
      <c r="CR32" s="2">
        <v>-3.7452220000000001</v>
      </c>
      <c r="CS32" s="2">
        <v>-6.1493099999999998</v>
      </c>
      <c r="CT32" s="2">
        <v>12.203569999999999</v>
      </c>
      <c r="CU32" s="3">
        <v>0.18500030000000001</v>
      </c>
      <c r="CV32" s="2" t="e">
        <v>#N/A</v>
      </c>
      <c r="CW32" s="2" t="e">
        <v>#N/A</v>
      </c>
      <c r="CX32" s="2" t="e">
        <v>#N/A</v>
      </c>
      <c r="CY32" s="2">
        <v>20.434339999999999</v>
      </c>
    </row>
    <row r="33" spans="1:103" ht="15" customHeight="1" x14ac:dyDescent="0.2">
      <c r="A33" s="1">
        <f t="shared" si="0"/>
        <v>27</v>
      </c>
      <c r="B33" s="1" t="s">
        <v>86</v>
      </c>
      <c r="C33" s="1" t="s">
        <v>85</v>
      </c>
      <c r="D33" s="1" t="s">
        <v>71</v>
      </c>
      <c r="E33" s="1" t="s">
        <v>87</v>
      </c>
      <c r="F33" s="2">
        <v>3953.43</v>
      </c>
      <c r="G33" s="2">
        <v>86.550600000000003</v>
      </c>
      <c r="H33" s="2">
        <v>3421.7179999999998</v>
      </c>
      <c r="I33" s="3">
        <v>15.09</v>
      </c>
      <c r="J33" s="3">
        <v>0</v>
      </c>
      <c r="K33" s="2">
        <v>11.39828</v>
      </c>
      <c r="L33" s="2">
        <v>11.53082</v>
      </c>
      <c r="M33" s="2">
        <v>11.53082</v>
      </c>
      <c r="N33" s="2">
        <v>11.53082</v>
      </c>
      <c r="O33" s="2">
        <v>10.55245</v>
      </c>
      <c r="P33" s="2">
        <v>12.36885</v>
      </c>
      <c r="Q33" s="2">
        <v>16.225809999999999</v>
      </c>
      <c r="R33" s="2">
        <v>18.470009999999998</v>
      </c>
      <c r="S33" s="2">
        <v>9.4850709999999996</v>
      </c>
      <c r="T33" s="2">
        <v>9.938682</v>
      </c>
      <c r="U33" s="2">
        <v>10.51239</v>
      </c>
      <c r="V33" s="2">
        <v>11.23362</v>
      </c>
      <c r="W33" s="2">
        <v>1.234861</v>
      </c>
      <c r="X33" s="2">
        <v>1.286475</v>
      </c>
      <c r="Y33" s="2">
        <v>1.384517</v>
      </c>
      <c r="Z33" s="2">
        <v>1.5142530000000001</v>
      </c>
      <c r="AA33" s="2">
        <v>5.7187419999999998</v>
      </c>
      <c r="AB33" s="2">
        <v>6.7418189999999996</v>
      </c>
      <c r="AC33" s="2">
        <v>7.3769559999999998</v>
      </c>
      <c r="AD33" s="2">
        <v>8.0136459999999996</v>
      </c>
      <c r="AE33" s="2">
        <v>4.8104789999999999</v>
      </c>
      <c r="AF33" s="2">
        <v>4.8589969999999996</v>
      </c>
      <c r="AG33" s="2">
        <v>3.4117099999999998</v>
      </c>
      <c r="AH33" s="2">
        <v>9.2736509999999992</v>
      </c>
      <c r="AI33" s="2">
        <v>9.3868489999999998</v>
      </c>
      <c r="AJ33" s="2">
        <v>6.6987810000000003</v>
      </c>
      <c r="AK33" s="3" t="e">
        <v>#N/A</v>
      </c>
      <c r="AL33" s="3" t="e">
        <v>#N/A</v>
      </c>
      <c r="AM33" s="2">
        <v>82.180769999999995</v>
      </c>
      <c r="AN33" s="2">
        <v>81.926410000000004</v>
      </c>
      <c r="AO33" s="2">
        <v>81.175089999999997</v>
      </c>
      <c r="AP33" s="2">
        <v>81.459310000000002</v>
      </c>
      <c r="AQ33" s="2">
        <v>4.3842489999999996</v>
      </c>
      <c r="AR33" s="2">
        <v>4.7546309999999998</v>
      </c>
      <c r="AS33" s="2">
        <v>5.0707690000000003</v>
      </c>
      <c r="AT33" s="2">
        <v>5.5123009999999999</v>
      </c>
      <c r="AU33" s="1" t="s">
        <v>88</v>
      </c>
      <c r="AV33" s="3">
        <v>2.2999999999999998</v>
      </c>
      <c r="AW33" s="3">
        <v>15.8</v>
      </c>
      <c r="AX33" s="2">
        <v>4.7051069999999999</v>
      </c>
      <c r="AY33" s="2">
        <v>10.400919999999999</v>
      </c>
      <c r="AZ33" s="2">
        <v>-16.3157</v>
      </c>
      <c r="BA33" s="2">
        <v>-8.3510460000000002</v>
      </c>
      <c r="BB33" s="2">
        <v>-1.146412</v>
      </c>
      <c r="BC33" s="3">
        <v>14.85</v>
      </c>
      <c r="BD33" s="2">
        <v>1.6161559999999999</v>
      </c>
      <c r="BE33" s="3">
        <v>18.55</v>
      </c>
      <c r="BF33" s="2">
        <v>-18.652280000000001</v>
      </c>
      <c r="BG33" s="2">
        <v>116.815</v>
      </c>
      <c r="BH33" s="2">
        <v>142.4622</v>
      </c>
      <c r="BI33" s="2">
        <v>180.24529999999999</v>
      </c>
      <c r="BJ33" s="2">
        <v>200.08600000000001</v>
      </c>
      <c r="BK33" s="2">
        <v>17</v>
      </c>
      <c r="BL33" s="2">
        <v>14</v>
      </c>
      <c r="BM33" s="4">
        <v>20</v>
      </c>
      <c r="BN33" s="4">
        <v>0</v>
      </c>
      <c r="BO33" s="4">
        <v>0</v>
      </c>
      <c r="BP33" s="4">
        <v>19</v>
      </c>
      <c r="BQ33" s="2">
        <v>0</v>
      </c>
      <c r="BR33" s="4">
        <v>3</v>
      </c>
      <c r="BS33" s="4">
        <v>10</v>
      </c>
      <c r="BT33" s="4">
        <v>20</v>
      </c>
      <c r="BU33" s="2">
        <v>15</v>
      </c>
      <c r="BV33" s="2">
        <v>5.1853100000000003</v>
      </c>
      <c r="BW33" s="2">
        <v>261.99009999999998</v>
      </c>
      <c r="BX33" s="3">
        <v>0.81934600000000002</v>
      </c>
      <c r="BY33" s="3">
        <v>0.3127393</v>
      </c>
      <c r="BZ33" s="2">
        <v>0.45277899999999999</v>
      </c>
      <c r="CA33" s="3">
        <v>0.3127393</v>
      </c>
      <c r="CB33" s="3">
        <v>1.164137</v>
      </c>
      <c r="CC33" s="3">
        <v>1.1883859999999999</v>
      </c>
      <c r="CD33" s="2">
        <v>2.0829559999999998</v>
      </c>
      <c r="CE33" s="3">
        <v>449.39210000000003</v>
      </c>
      <c r="CF33" s="3">
        <v>451.19659999999999</v>
      </c>
      <c r="CG33" s="2">
        <v>0.40153260000000002</v>
      </c>
      <c r="CH33" s="3">
        <v>16.793890000000001</v>
      </c>
      <c r="CI33" s="2">
        <v>-5.9181509999999999</v>
      </c>
      <c r="CJ33" s="3">
        <v>937.53359999999998</v>
      </c>
      <c r="CK33" s="3">
        <v>941.47990000000004</v>
      </c>
      <c r="CL33" s="2">
        <v>0.42091610000000002</v>
      </c>
      <c r="CM33" s="3">
        <v>16.452259999999999</v>
      </c>
      <c r="CN33" s="3">
        <v>15.99118</v>
      </c>
      <c r="CO33" s="3">
        <v>15.440580000000001</v>
      </c>
      <c r="CP33" s="2">
        <v>-8.2800750000000001</v>
      </c>
      <c r="CQ33" s="2">
        <v>-5.6354759999999997</v>
      </c>
      <c r="CR33" s="2">
        <v>-2.2704900000000001</v>
      </c>
      <c r="CS33" s="2">
        <v>-2.8025329999999999</v>
      </c>
      <c r="CT33" s="2">
        <v>13.65005</v>
      </c>
      <c r="CU33" s="3">
        <v>0.34527089999999999</v>
      </c>
      <c r="CV33" s="2">
        <v>-21.992660000000001</v>
      </c>
      <c r="CW33" s="2">
        <v>-1.0376559999999999</v>
      </c>
      <c r="CX33" s="2">
        <v>-1.431897</v>
      </c>
      <c r="CY33" s="2">
        <v>20.626259999999998</v>
      </c>
    </row>
    <row r="34" spans="1:103" ht="15" customHeight="1" x14ac:dyDescent="0.2">
      <c r="A34" s="1">
        <f t="shared" si="0"/>
        <v>28</v>
      </c>
      <c r="B34" s="1" t="s">
        <v>90</v>
      </c>
      <c r="C34" s="1" t="s">
        <v>89</v>
      </c>
      <c r="D34" s="1" t="s">
        <v>8</v>
      </c>
      <c r="E34" s="1" t="s">
        <v>9</v>
      </c>
      <c r="F34" s="2">
        <v>8348.8639999999996</v>
      </c>
      <c r="G34" s="2">
        <v>69.720699999999994</v>
      </c>
      <c r="H34" s="2">
        <v>5820.8869999999997</v>
      </c>
      <c r="I34" s="3">
        <v>15.43</v>
      </c>
      <c r="J34" s="3">
        <v>0</v>
      </c>
      <c r="K34" s="2">
        <v>6.4808820000000003</v>
      </c>
      <c r="L34" s="2">
        <v>6.4808820000000003</v>
      </c>
      <c r="M34" s="2">
        <v>5.1847050000000001</v>
      </c>
      <c r="N34" s="2">
        <v>5.1847050000000001</v>
      </c>
      <c r="O34" s="2">
        <v>12.54472</v>
      </c>
      <c r="P34" s="2">
        <v>12.54472</v>
      </c>
      <c r="Q34" s="2">
        <v>16.771740000000001</v>
      </c>
      <c r="R34" s="2">
        <v>16.24211</v>
      </c>
      <c r="S34" s="2">
        <v>9.0086929999999992</v>
      </c>
      <c r="T34" s="2">
        <v>8.9091539999999991</v>
      </c>
      <c r="U34" s="2">
        <v>10.507210000000001</v>
      </c>
      <c r="V34" s="2">
        <v>10.464639999999999</v>
      </c>
      <c r="W34" s="2">
        <v>1.743325</v>
      </c>
      <c r="X34" s="2">
        <v>1.69923</v>
      </c>
      <c r="Y34" s="2">
        <v>1.7049719999999999</v>
      </c>
      <c r="Z34" s="2">
        <v>1.6734869999999999</v>
      </c>
      <c r="AA34" s="2">
        <v>6.9222270000000004</v>
      </c>
      <c r="AB34" s="2">
        <v>6.9759789999999997</v>
      </c>
      <c r="AC34" s="2">
        <v>8.0647649999999995</v>
      </c>
      <c r="AD34" s="2">
        <v>7.6386139999999996</v>
      </c>
      <c r="AE34" s="2">
        <v>-1.4225460000000001</v>
      </c>
      <c r="AF34" s="2">
        <v>0.2383584</v>
      </c>
      <c r="AG34" s="2">
        <v>0.1885857</v>
      </c>
      <c r="AH34" s="2">
        <v>-2.3445149999999999</v>
      </c>
      <c r="AI34" s="2">
        <v>0.40677750000000001</v>
      </c>
      <c r="AJ34" s="2">
        <v>0.33069150000000003</v>
      </c>
      <c r="AK34" s="3" t="e">
        <v>#N/A</v>
      </c>
      <c r="AL34" s="3" t="e">
        <v>#N/A</v>
      </c>
      <c r="AM34" s="2">
        <v>73.99503</v>
      </c>
      <c r="AN34" s="2">
        <v>73.139110000000002</v>
      </c>
      <c r="AO34" s="2">
        <v>71.515690000000006</v>
      </c>
      <c r="AP34" s="2">
        <v>71.578410000000005</v>
      </c>
      <c r="AQ34" s="2">
        <v>3.1079810000000001</v>
      </c>
      <c r="AR34" s="2">
        <v>3.576616</v>
      </c>
      <c r="AS34" s="2">
        <v>4.3503249999999998</v>
      </c>
      <c r="AT34" s="2">
        <v>4.496899</v>
      </c>
      <c r="AU34" s="1" t="s">
        <v>64</v>
      </c>
      <c r="AV34" s="3">
        <v>1.9750000000000001</v>
      </c>
      <c r="AW34" s="3">
        <v>16.149999999999999</v>
      </c>
      <c r="AX34" s="2">
        <v>4.6662330000000001</v>
      </c>
      <c r="AY34" s="2">
        <v>13.545389999999999</v>
      </c>
      <c r="AZ34" s="2">
        <v>-8.6290279999999999</v>
      </c>
      <c r="BA34" s="2">
        <v>-4.9876810000000003</v>
      </c>
      <c r="BB34" s="2">
        <v>3.4875989999999999</v>
      </c>
      <c r="BC34" s="3">
        <v>14.404999999999999</v>
      </c>
      <c r="BD34" s="2">
        <v>7.1155910000000002</v>
      </c>
      <c r="BE34" s="3">
        <v>16.78</v>
      </c>
      <c r="BF34" s="2">
        <v>-8.0452919999999999</v>
      </c>
      <c r="BG34" s="2">
        <v>81.394409999999993</v>
      </c>
      <c r="BH34" s="2">
        <v>78.94068</v>
      </c>
      <c r="BI34" s="2">
        <v>88.797460000000001</v>
      </c>
      <c r="BJ34" s="2">
        <v>87.063389999999998</v>
      </c>
      <c r="BK34" s="2">
        <v>17</v>
      </c>
      <c r="BL34" s="2">
        <v>15</v>
      </c>
      <c r="BM34" s="4">
        <v>20</v>
      </c>
      <c r="BN34" s="4">
        <v>0</v>
      </c>
      <c r="BO34" s="4">
        <v>1</v>
      </c>
      <c r="BP34" s="4">
        <v>16</v>
      </c>
      <c r="BQ34" s="2">
        <v>0</v>
      </c>
      <c r="BR34" s="4">
        <v>5</v>
      </c>
      <c r="BS34" s="4">
        <v>4</v>
      </c>
      <c r="BT34" s="4">
        <v>20</v>
      </c>
      <c r="BU34" s="2">
        <v>25</v>
      </c>
      <c r="BV34" s="2">
        <v>5.0949200000000001</v>
      </c>
      <c r="BW34" s="2">
        <v>541.08000000000004</v>
      </c>
      <c r="BX34" s="3">
        <v>1.1222589999999999</v>
      </c>
      <c r="BY34" s="3">
        <v>0.20741100000000001</v>
      </c>
      <c r="BZ34" s="2">
        <v>0.395152</v>
      </c>
      <c r="CA34" s="3">
        <v>0.20741100000000001</v>
      </c>
      <c r="CB34" s="3">
        <v>1.2292829999999999</v>
      </c>
      <c r="CC34" s="3">
        <v>1.232993</v>
      </c>
      <c r="CD34" s="2">
        <v>0.30179020000000001</v>
      </c>
      <c r="CE34" s="3">
        <v>989.29830000000004</v>
      </c>
      <c r="CF34" s="3">
        <v>982.26009999999997</v>
      </c>
      <c r="CG34" s="2">
        <v>-0.71143509999999999</v>
      </c>
      <c r="CH34" s="3">
        <v>16.59</v>
      </c>
      <c r="CI34" s="2">
        <v>-2.6522039999999998</v>
      </c>
      <c r="CJ34" s="3">
        <v>2082.4969999999998</v>
      </c>
      <c r="CK34" s="3">
        <v>2080.2939999999999</v>
      </c>
      <c r="CL34" s="2">
        <v>-0.10574459999999999</v>
      </c>
      <c r="CM34" s="3">
        <v>15.290430000000001</v>
      </c>
      <c r="CN34" s="3">
        <v>15.105880000000001</v>
      </c>
      <c r="CO34" s="3">
        <v>14.993270000000001</v>
      </c>
      <c r="CP34" s="2">
        <v>0.91280939999999999</v>
      </c>
      <c r="CQ34" s="2">
        <v>2.145648</v>
      </c>
      <c r="CR34" s="2">
        <v>2.912855</v>
      </c>
      <c r="CS34" s="2">
        <v>-1.2069460000000001</v>
      </c>
      <c r="CT34" s="2">
        <v>16.223310000000001</v>
      </c>
      <c r="CU34" s="3">
        <v>0.19431760000000001</v>
      </c>
      <c r="CV34" s="2">
        <v>0.3527169</v>
      </c>
      <c r="CW34" s="2">
        <v>-3.5228389999999998</v>
      </c>
      <c r="CX34" s="2">
        <v>2.379343</v>
      </c>
      <c r="CY34" s="2">
        <v>20.727270000000001</v>
      </c>
    </row>
    <row r="35" spans="1:103" ht="15" customHeight="1" x14ac:dyDescent="0.2">
      <c r="A35" s="1">
        <f t="shared" si="0"/>
        <v>29</v>
      </c>
      <c r="B35" s="1" t="s">
        <v>92</v>
      </c>
      <c r="C35" s="1" t="s">
        <v>91</v>
      </c>
      <c r="D35" s="1" t="s">
        <v>49</v>
      </c>
      <c r="E35" s="1" t="s">
        <v>50</v>
      </c>
      <c r="F35" s="2">
        <v>21857.51</v>
      </c>
      <c r="G35" s="2" t="e">
        <v>#N/A</v>
      </c>
      <c r="H35" s="2" t="e">
        <v>#N/A</v>
      </c>
      <c r="I35" s="3">
        <v>25.63</v>
      </c>
      <c r="J35" s="3">
        <v>0</v>
      </c>
      <c r="K35" s="2">
        <v>1.5951850000000001</v>
      </c>
      <c r="L35" s="2">
        <v>1.6438649999999999</v>
      </c>
      <c r="M35" s="2">
        <v>1.7618050000000001</v>
      </c>
      <c r="N35" s="2">
        <v>1.908263</v>
      </c>
      <c r="O35" s="2">
        <v>2.7095289999999999</v>
      </c>
      <c r="P35" s="2">
        <v>11.23335</v>
      </c>
      <c r="Q35" s="2">
        <v>6.2818630000000004</v>
      </c>
      <c r="R35" s="2">
        <v>5.1883080000000001</v>
      </c>
      <c r="S35" s="2">
        <v>1.7991600000000001</v>
      </c>
      <c r="T35" s="2">
        <v>3.628104</v>
      </c>
      <c r="U35" s="2">
        <v>3.7781259999999999</v>
      </c>
      <c r="V35" s="2">
        <v>3.4531420000000002</v>
      </c>
      <c r="W35" s="2">
        <v>0.45935320000000002</v>
      </c>
      <c r="X35" s="2">
        <v>0.42071350000000002</v>
      </c>
      <c r="Y35" s="2">
        <v>0.3891598</v>
      </c>
      <c r="Z35" s="2">
        <v>0.36027589999999998</v>
      </c>
      <c r="AA35" s="2">
        <v>2.2883930000000001</v>
      </c>
      <c r="AB35" s="2">
        <v>3.4325410000000001</v>
      </c>
      <c r="AC35" s="2">
        <v>3.6150389999999999</v>
      </c>
      <c r="AD35" s="2">
        <v>3.2046570000000001</v>
      </c>
      <c r="AE35" s="2">
        <v>10.249079999999999</v>
      </c>
      <c r="AF35" s="2">
        <v>5.5706949999999997</v>
      </c>
      <c r="AG35" s="2">
        <v>7.2596129999999999</v>
      </c>
      <c r="AH35" s="2">
        <v>11.756959999999999</v>
      </c>
      <c r="AI35" s="2">
        <v>6.388884</v>
      </c>
      <c r="AJ35" s="2">
        <v>8.1798420000000007</v>
      </c>
      <c r="AK35" s="3" t="e">
        <v>#N/A</v>
      </c>
      <c r="AL35" s="3" t="e">
        <v>#N/A</v>
      </c>
      <c r="AM35" s="2">
        <v>17.73583</v>
      </c>
      <c r="AN35" s="2">
        <v>10.84361</v>
      </c>
      <c r="AO35" s="2">
        <v>10.877330000000001</v>
      </c>
      <c r="AP35" s="2">
        <v>11.812709999999999</v>
      </c>
      <c r="AQ35" s="2">
        <v>0.1597297</v>
      </c>
      <c r="AR35" s="2">
        <v>0.46460790000000002</v>
      </c>
      <c r="AS35" s="2">
        <v>0.48417539999999998</v>
      </c>
      <c r="AT35" s="2">
        <v>0.38874829999999999</v>
      </c>
      <c r="AU35" s="1" t="s">
        <v>15</v>
      </c>
      <c r="AV35" s="3">
        <v>1.266667</v>
      </c>
      <c r="AW35" s="3">
        <v>31</v>
      </c>
      <c r="AX35" s="2">
        <v>20.952010000000001</v>
      </c>
      <c r="AY35" s="2">
        <v>3.7452169999999998</v>
      </c>
      <c r="AZ35" s="2">
        <v>-15.673579999999999</v>
      </c>
      <c r="BA35" s="2">
        <v>-9.6580919999999999</v>
      </c>
      <c r="BB35" s="2">
        <v>-0.13638140000000001</v>
      </c>
      <c r="BC35" s="3">
        <v>19.920000000000002</v>
      </c>
      <c r="BD35" s="2">
        <v>28.664650000000002</v>
      </c>
      <c r="BE35" s="3">
        <v>30.5</v>
      </c>
      <c r="BF35" s="2">
        <v>-15.96721</v>
      </c>
      <c r="BG35" s="2">
        <v>4.3336629999999996</v>
      </c>
      <c r="BH35" s="2">
        <v>18.756710000000002</v>
      </c>
      <c r="BI35" s="2">
        <v>12.208209999999999</v>
      </c>
      <c r="BJ35" s="2">
        <v>10.83024</v>
      </c>
      <c r="BK35" s="2">
        <v>9</v>
      </c>
      <c r="BL35" s="2">
        <v>11</v>
      </c>
      <c r="BM35" s="4">
        <v>15</v>
      </c>
      <c r="BN35" s="4">
        <v>2</v>
      </c>
      <c r="BO35" s="4">
        <v>1</v>
      </c>
      <c r="BP35" s="4">
        <v>13</v>
      </c>
      <c r="BQ35" s="2">
        <v>12.5</v>
      </c>
      <c r="BR35" s="4">
        <v>11</v>
      </c>
      <c r="BS35" s="4">
        <v>0</v>
      </c>
      <c r="BT35" s="4">
        <v>15</v>
      </c>
      <c r="BU35" s="2">
        <v>73.333340000000007</v>
      </c>
      <c r="BV35" s="2">
        <v>11.2193</v>
      </c>
      <c r="BW35" s="2">
        <v>852.8098</v>
      </c>
      <c r="BX35" s="3">
        <v>0.24755440000000001</v>
      </c>
      <c r="BY35" s="3">
        <v>2.9028089999999999E-2</v>
      </c>
      <c r="BZ35" s="2">
        <v>1.80284</v>
      </c>
      <c r="CA35" s="3">
        <v>2.9028089999999999E-2</v>
      </c>
      <c r="CB35" s="3">
        <v>4.7200300000000004</v>
      </c>
      <c r="CC35" s="3">
        <v>2.3502299999999998</v>
      </c>
      <c r="CD35" s="2">
        <v>-50.20729</v>
      </c>
      <c r="CE35" s="3">
        <v>4757.9380000000001</v>
      </c>
      <c r="CF35" s="3">
        <v>3999.9009999999998</v>
      </c>
      <c r="CG35" s="2">
        <v>-15.93206</v>
      </c>
      <c r="CH35" s="3">
        <v>31.137160000000002</v>
      </c>
      <c r="CI35" s="2">
        <v>-0.44050220000000001</v>
      </c>
      <c r="CJ35" s="3">
        <v>66607.11</v>
      </c>
      <c r="CK35" s="3">
        <v>63841.06</v>
      </c>
      <c r="CL35" s="2">
        <v>-4.152787</v>
      </c>
      <c r="CM35" s="3">
        <v>24.091000000000001</v>
      </c>
      <c r="CN35" s="3">
        <v>24.62725</v>
      </c>
      <c r="CO35" s="3">
        <v>25.080770000000001</v>
      </c>
      <c r="CP35" s="2">
        <v>6.3882830000000004</v>
      </c>
      <c r="CQ35" s="2">
        <v>4.071701</v>
      </c>
      <c r="CR35" s="2">
        <v>2.1898390000000001</v>
      </c>
      <c r="CS35" s="2">
        <v>2.225959</v>
      </c>
      <c r="CT35" s="2">
        <v>5.5172319999999999</v>
      </c>
      <c r="CU35" s="3">
        <v>2.524181E-2</v>
      </c>
      <c r="CV35" s="2">
        <v>8.9489610000000006</v>
      </c>
      <c r="CW35" s="2">
        <v>-2.1083029999999998</v>
      </c>
      <c r="CX35" s="2">
        <v>6.5454840000000001</v>
      </c>
      <c r="CY35" s="2">
        <v>20.863160000000001</v>
      </c>
    </row>
    <row r="36" spans="1:103" ht="15" customHeight="1" x14ac:dyDescent="0.2">
      <c r="A36" s="1">
        <f t="shared" si="0"/>
        <v>30</v>
      </c>
      <c r="B36" s="1" t="s">
        <v>94</v>
      </c>
      <c r="C36" s="1" t="s">
        <v>93</v>
      </c>
      <c r="D36" s="1" t="s">
        <v>95</v>
      </c>
      <c r="E36" s="1" t="s">
        <v>96</v>
      </c>
      <c r="F36" s="2">
        <v>3865.6370000000002</v>
      </c>
      <c r="G36" s="2">
        <v>43.299700000000001</v>
      </c>
      <c r="H36" s="2">
        <v>1673.809</v>
      </c>
      <c r="I36" s="3">
        <v>20.12</v>
      </c>
      <c r="J36" s="3">
        <v>0</v>
      </c>
      <c r="K36" s="2">
        <v>3.4791249999999998</v>
      </c>
      <c r="L36" s="2">
        <v>2.5391520000000001</v>
      </c>
      <c r="M36" s="2">
        <v>2.7335980000000002</v>
      </c>
      <c r="N36" s="2">
        <v>3.2306159999999999</v>
      </c>
      <c r="O36" s="2">
        <v>14.618550000000001</v>
      </c>
      <c r="P36" s="2">
        <v>19.53398</v>
      </c>
      <c r="Q36" s="2">
        <v>21.404260000000001</v>
      </c>
      <c r="R36" s="2">
        <v>15.242419999999999</v>
      </c>
      <c r="S36" s="2">
        <v>8.1360039999999998</v>
      </c>
      <c r="T36" s="2">
        <v>11.33325</v>
      </c>
      <c r="U36" s="2">
        <v>10.705209999999999</v>
      </c>
      <c r="V36" s="2">
        <v>9.6717189999999995</v>
      </c>
      <c r="W36" s="2">
        <v>2.3354620000000001</v>
      </c>
      <c r="X36" s="2">
        <v>2.3588100000000001</v>
      </c>
      <c r="Y36" s="2">
        <v>2.2696000000000001</v>
      </c>
      <c r="Z36" s="2">
        <v>2.170442</v>
      </c>
      <c r="AA36" s="2">
        <v>13.36436</v>
      </c>
      <c r="AB36" s="2">
        <v>14.77434</v>
      </c>
      <c r="AC36" s="2">
        <v>13.383570000000001</v>
      </c>
      <c r="AD36" s="2">
        <v>11.399430000000001</v>
      </c>
      <c r="AE36" s="2">
        <v>5.9153710000000004</v>
      </c>
      <c r="AF36" s="2">
        <v>4.9869899999999996</v>
      </c>
      <c r="AG36" s="2">
        <v>5.2680759999999998</v>
      </c>
      <c r="AH36" s="2">
        <v>7.7440129999999998</v>
      </c>
      <c r="AI36" s="2">
        <v>6.3676919999999999</v>
      </c>
      <c r="AJ36" s="2">
        <v>6.544162</v>
      </c>
      <c r="AK36" s="3">
        <v>8.0856209999999997</v>
      </c>
      <c r="AL36" s="3">
        <v>8.5243730000000006</v>
      </c>
      <c r="AM36" s="2">
        <v>21.431560000000001</v>
      </c>
      <c r="AN36" s="2">
        <v>20.852070000000001</v>
      </c>
      <c r="AO36" s="2">
        <v>22.079979999999999</v>
      </c>
      <c r="AP36" s="2">
        <v>22.694569999999999</v>
      </c>
      <c r="AQ36" s="2">
        <v>2.5880860000000001</v>
      </c>
      <c r="AR36" s="2">
        <v>2.8117649999999998</v>
      </c>
      <c r="AS36" s="2">
        <v>2.321202</v>
      </c>
      <c r="AT36" s="2">
        <v>1.885947</v>
      </c>
      <c r="AU36" s="1" t="s">
        <v>64</v>
      </c>
      <c r="AV36" s="3">
        <v>1.75</v>
      </c>
      <c r="AW36" s="3">
        <v>20.45</v>
      </c>
      <c r="AX36" s="2">
        <v>1.640153</v>
      </c>
      <c r="AY36" s="2">
        <v>12.075419999999999</v>
      </c>
      <c r="AZ36" s="2">
        <v>2.3932069999999999</v>
      </c>
      <c r="BA36" s="2">
        <v>24.504960000000001</v>
      </c>
      <c r="BB36" s="2">
        <v>6.7373989999999999</v>
      </c>
      <c r="BC36" s="3">
        <v>14.52</v>
      </c>
      <c r="BD36" s="2">
        <v>38.567500000000003</v>
      </c>
      <c r="BE36" s="3">
        <v>21.82</v>
      </c>
      <c r="BF36" s="2">
        <v>-7.7910130000000004</v>
      </c>
      <c r="BG36" s="2">
        <v>55.802410000000002</v>
      </c>
      <c r="BH36" s="2">
        <v>50.542619999999999</v>
      </c>
      <c r="BI36" s="2">
        <v>53.142389999999999</v>
      </c>
      <c r="BJ36" s="2">
        <v>47.756489999999999</v>
      </c>
      <c r="BK36" s="2">
        <v>7</v>
      </c>
      <c r="BL36" s="2">
        <v>15</v>
      </c>
      <c r="BM36" s="4">
        <v>16</v>
      </c>
      <c r="BN36" s="4">
        <v>1</v>
      </c>
      <c r="BO36" s="4">
        <v>1</v>
      </c>
      <c r="BP36" s="4">
        <v>15</v>
      </c>
      <c r="BQ36" s="2">
        <v>5.8823530000000002</v>
      </c>
      <c r="BR36" s="4">
        <v>6</v>
      </c>
      <c r="BS36" s="4">
        <v>2</v>
      </c>
      <c r="BT36" s="4">
        <v>16</v>
      </c>
      <c r="BU36" s="2">
        <v>37.5</v>
      </c>
      <c r="BV36" s="2">
        <v>9.2255000000000003</v>
      </c>
      <c r="BW36" s="2">
        <v>192.12909999999999</v>
      </c>
      <c r="BX36" s="3">
        <v>0.49122169999999998</v>
      </c>
      <c r="BY36" s="3">
        <v>0.25567279999999998</v>
      </c>
      <c r="BZ36" s="2">
        <v>1.0363100000000001</v>
      </c>
      <c r="CA36" s="3">
        <v>0.25567279999999998</v>
      </c>
      <c r="CB36" s="3">
        <v>1.053766</v>
      </c>
      <c r="CC36" s="3">
        <v>1.039763</v>
      </c>
      <c r="CD36" s="2">
        <v>-1.328832</v>
      </c>
      <c r="CE36" s="3">
        <v>260.2543</v>
      </c>
      <c r="CF36" s="3">
        <v>246.52610000000001</v>
      </c>
      <c r="CG36" s="2">
        <v>-5.2749449999999998</v>
      </c>
      <c r="CH36" s="3">
        <v>20.434999999999999</v>
      </c>
      <c r="CI36" s="2">
        <v>7.3409080000000002E-2</v>
      </c>
      <c r="CJ36" s="3">
        <v>2051.904</v>
      </c>
      <c r="CK36" s="3">
        <v>2043.1189999999999</v>
      </c>
      <c r="CL36" s="2">
        <v>-0.42814020000000003</v>
      </c>
      <c r="CM36" s="3">
        <v>18.299610000000001</v>
      </c>
      <c r="CN36" s="3">
        <v>18.935490000000001</v>
      </c>
      <c r="CO36" s="3">
        <v>19.048079999999999</v>
      </c>
      <c r="CP36" s="2">
        <v>9.9477290000000007</v>
      </c>
      <c r="CQ36" s="2">
        <v>6.2554959999999999</v>
      </c>
      <c r="CR36" s="2">
        <v>5.6274649999999999</v>
      </c>
      <c r="CS36" s="2">
        <v>3.4748549999999998</v>
      </c>
      <c r="CT36" s="2">
        <v>5.8024709999999997</v>
      </c>
      <c r="CU36" s="3">
        <v>0.15010390000000001</v>
      </c>
      <c r="CV36" s="2">
        <v>-19.441870000000002</v>
      </c>
      <c r="CW36" s="2">
        <v>-4.2084149999999996</v>
      </c>
      <c r="CX36" s="2">
        <v>-26.299790000000002</v>
      </c>
      <c r="CY36" s="2">
        <v>21.22222</v>
      </c>
    </row>
    <row r="37" spans="1:103" ht="15" customHeight="1" x14ac:dyDescent="0.2">
      <c r="A37" s="1">
        <f t="shared" si="0"/>
        <v>31</v>
      </c>
      <c r="B37" s="1" t="s">
        <v>98</v>
      </c>
      <c r="C37" s="1" t="s">
        <v>97</v>
      </c>
      <c r="D37" s="1" t="s">
        <v>71</v>
      </c>
      <c r="E37" s="1" t="s">
        <v>79</v>
      </c>
      <c r="F37" s="2">
        <v>7934.9390000000003</v>
      </c>
      <c r="G37" s="2">
        <v>16.527899999999999</v>
      </c>
      <c r="H37" s="2">
        <v>1311.479</v>
      </c>
      <c r="I37" s="3">
        <v>24.1</v>
      </c>
      <c r="J37" s="3">
        <v>0</v>
      </c>
      <c r="K37" s="2">
        <v>2.9045640000000001</v>
      </c>
      <c r="L37" s="2">
        <v>2.4481329999999999</v>
      </c>
      <c r="M37" s="2">
        <v>2.0539420000000002</v>
      </c>
      <c r="N37" s="2">
        <v>2.0331950000000001</v>
      </c>
      <c r="O37" s="2">
        <v>10.478260000000001</v>
      </c>
      <c r="P37" s="2">
        <v>14.816750000000001</v>
      </c>
      <c r="Q37" s="2">
        <v>17.136060000000001</v>
      </c>
      <c r="R37" s="2">
        <v>18.722809999999999</v>
      </c>
      <c r="S37" s="2">
        <v>8.4211229999999997</v>
      </c>
      <c r="T37" s="2">
        <v>10.22195</v>
      </c>
      <c r="U37" s="2">
        <v>8.9223700000000008</v>
      </c>
      <c r="V37" s="2">
        <v>9.1082920000000005</v>
      </c>
      <c r="W37" s="2">
        <v>1.3516550000000001</v>
      </c>
      <c r="X37" s="2">
        <v>1.2849969999999999</v>
      </c>
      <c r="Y37" s="2">
        <v>1.2400310000000001</v>
      </c>
      <c r="Z37" s="2">
        <v>1.1969209999999999</v>
      </c>
      <c r="AA37" s="2">
        <v>6.9352520000000002</v>
      </c>
      <c r="AB37" s="2">
        <v>9.3050189999999997</v>
      </c>
      <c r="AC37" s="2">
        <v>7.9897090000000004</v>
      </c>
      <c r="AD37" s="2">
        <v>7.905589</v>
      </c>
      <c r="AE37" s="2">
        <v>-13.85853</v>
      </c>
      <c r="AF37" s="2">
        <v>-7.3951549999999999</v>
      </c>
      <c r="AG37" s="2">
        <v>-5.4086420000000004</v>
      </c>
      <c r="AH37" s="2">
        <v>-20.455839999999998</v>
      </c>
      <c r="AI37" s="2">
        <v>-11.575060000000001</v>
      </c>
      <c r="AJ37" s="2">
        <v>-8.9676279999999995</v>
      </c>
      <c r="AK37" s="3" t="e">
        <v>#N/A</v>
      </c>
      <c r="AL37" s="3" t="e">
        <v>#N/A</v>
      </c>
      <c r="AM37" s="2">
        <v>37.99127</v>
      </c>
      <c r="AN37" s="2">
        <v>36.44726</v>
      </c>
      <c r="AO37" s="2">
        <v>39.70337</v>
      </c>
      <c r="AP37" s="2">
        <v>40.572859999999999</v>
      </c>
      <c r="AQ37" s="2">
        <v>1.2226250000000001</v>
      </c>
      <c r="AR37" s="2">
        <v>2.9649999999999999</v>
      </c>
      <c r="AS37" s="2">
        <v>3.2219829999999998</v>
      </c>
      <c r="AT37" s="2">
        <v>3.614811</v>
      </c>
      <c r="AU37" s="1" t="s">
        <v>99</v>
      </c>
      <c r="AV37" s="3">
        <v>1.5625</v>
      </c>
      <c r="AW37" s="3">
        <v>31.2</v>
      </c>
      <c r="AX37" s="2">
        <v>29.46058</v>
      </c>
      <c r="AY37" s="2">
        <v>8.6725960000000004</v>
      </c>
      <c r="AZ37" s="2">
        <v>-16.8</v>
      </c>
      <c r="BA37" s="2">
        <v>-35.767589999999998</v>
      </c>
      <c r="BB37" s="2">
        <v>-14.17379</v>
      </c>
      <c r="BC37" s="3">
        <v>22.5</v>
      </c>
      <c r="BD37" s="2">
        <v>7.1111079999999998</v>
      </c>
      <c r="BE37" s="3">
        <v>38.5</v>
      </c>
      <c r="BF37" s="2">
        <v>-37.4026</v>
      </c>
      <c r="BG37" s="2">
        <v>24.33248</v>
      </c>
      <c r="BH37" s="2">
        <v>36.655610000000003</v>
      </c>
      <c r="BI37" s="2">
        <v>37.4527</v>
      </c>
      <c r="BJ37" s="2">
        <v>39.081150000000001</v>
      </c>
      <c r="BK37" s="2">
        <v>22</v>
      </c>
      <c r="BL37" s="2">
        <v>21</v>
      </c>
      <c r="BM37" s="4">
        <v>24</v>
      </c>
      <c r="BN37" s="4">
        <v>1</v>
      </c>
      <c r="BO37" s="4">
        <v>0</v>
      </c>
      <c r="BP37" s="4">
        <v>21</v>
      </c>
      <c r="BQ37" s="2">
        <v>4.5454549999999996</v>
      </c>
      <c r="BR37" s="4">
        <v>12</v>
      </c>
      <c r="BS37" s="4">
        <v>1</v>
      </c>
      <c r="BT37" s="4">
        <v>24</v>
      </c>
      <c r="BU37" s="2">
        <v>50</v>
      </c>
      <c r="BV37" s="2">
        <v>7.3337599999999998</v>
      </c>
      <c r="BW37" s="2">
        <v>329.25060000000002</v>
      </c>
      <c r="BX37" s="3">
        <v>0.34271600000000002</v>
      </c>
      <c r="BY37" s="3">
        <v>0.10408969999999999</v>
      </c>
      <c r="BZ37" s="2">
        <v>0.38106400000000001</v>
      </c>
      <c r="CA37" s="3">
        <v>0.10408969999999999</v>
      </c>
      <c r="CB37" s="3">
        <v>1.5717760000000001</v>
      </c>
      <c r="CC37" s="3">
        <v>1.5688869999999999</v>
      </c>
      <c r="CD37" s="2">
        <v>-0.183779</v>
      </c>
      <c r="CE37" s="3">
        <v>904.31619999999998</v>
      </c>
      <c r="CF37" s="3">
        <v>897.03510000000006</v>
      </c>
      <c r="CG37" s="2">
        <v>-0.80515150000000002</v>
      </c>
      <c r="CH37" s="3">
        <v>34.277389999999997</v>
      </c>
      <c r="CI37" s="2">
        <v>-8.9778959999999994</v>
      </c>
      <c r="CJ37" s="3">
        <v>3477.1010000000001</v>
      </c>
      <c r="CK37" s="3">
        <v>3511.125</v>
      </c>
      <c r="CL37" s="2">
        <v>0.97851750000000004</v>
      </c>
      <c r="CM37" s="3">
        <v>27.7422</v>
      </c>
      <c r="CN37" s="3">
        <v>26.25412</v>
      </c>
      <c r="CO37" s="3">
        <v>25.286149999999999</v>
      </c>
      <c r="CP37" s="2">
        <v>-13.12872</v>
      </c>
      <c r="CQ37" s="2">
        <v>-8.2048839999999998</v>
      </c>
      <c r="CR37" s="2">
        <v>-4.6909150000000004</v>
      </c>
      <c r="CS37" s="2">
        <v>-5.3639409999999996</v>
      </c>
      <c r="CT37" s="2">
        <v>9.4058449999999993</v>
      </c>
      <c r="CU37" s="3">
        <v>0.11853710000000001</v>
      </c>
      <c r="CV37" s="2">
        <v>28.571429999999999</v>
      </c>
      <c r="CW37" s="2">
        <v>7.3037609999999997</v>
      </c>
      <c r="CX37" s="2" t="e">
        <v>#N/A</v>
      </c>
      <c r="CY37" s="2">
        <v>22.393940000000001</v>
      </c>
    </row>
    <row r="38" spans="1:103" ht="15" customHeight="1" x14ac:dyDescent="0.2">
      <c r="A38" s="1">
        <f t="shared" si="0"/>
        <v>32</v>
      </c>
      <c r="B38" s="1" t="s">
        <v>101</v>
      </c>
      <c r="C38" s="1" t="s">
        <v>100</v>
      </c>
      <c r="D38" s="1" t="s">
        <v>3</v>
      </c>
      <c r="E38" s="1" t="s">
        <v>4</v>
      </c>
      <c r="F38" s="2">
        <v>2356.165</v>
      </c>
      <c r="G38" s="2">
        <v>42.8322</v>
      </c>
      <c r="H38" s="2">
        <v>1009.197</v>
      </c>
      <c r="I38" s="3">
        <v>0.88749999999999996</v>
      </c>
      <c r="J38" s="3">
        <v>0</v>
      </c>
      <c r="K38" s="2">
        <v>5.6338030000000003</v>
      </c>
      <c r="L38" s="2">
        <v>5.6338030000000003</v>
      </c>
      <c r="M38" s="2">
        <v>9.0140840000000004</v>
      </c>
      <c r="N38" s="2">
        <v>9.0140840000000004</v>
      </c>
      <c r="O38" s="2">
        <v>9.6742899999999992</v>
      </c>
      <c r="P38" s="2">
        <v>8.3672339999999998</v>
      </c>
      <c r="Q38" s="2">
        <v>5.4708300000000003</v>
      </c>
      <c r="R38" s="2">
        <v>5.7667789999999997</v>
      </c>
      <c r="S38" s="2" t="e">
        <v>#N/A</v>
      </c>
      <c r="T38" s="2" t="e">
        <v>#N/A</v>
      </c>
      <c r="U38" s="2" t="e">
        <v>#N/A</v>
      </c>
      <c r="V38" s="2" t="e">
        <v>#N/A</v>
      </c>
      <c r="W38" s="2">
        <v>0.3652263</v>
      </c>
      <c r="X38" s="2">
        <v>0.35786289999999998</v>
      </c>
      <c r="Y38" s="2">
        <v>0.34600389999999998</v>
      </c>
      <c r="Z38" s="2">
        <v>0.33133760000000001</v>
      </c>
      <c r="AA38" s="2" t="e">
        <v>#N/A</v>
      </c>
      <c r="AB38" s="2" t="e">
        <v>#N/A</v>
      </c>
      <c r="AC38" s="2" t="e">
        <v>#N/A</v>
      </c>
      <c r="AD38" s="2" t="e">
        <v>#N/A</v>
      </c>
      <c r="AE38" s="2" t="e">
        <v>#N/A</v>
      </c>
      <c r="AF38" s="2" t="e">
        <v>#N/A</v>
      </c>
      <c r="AG38" s="2" t="e">
        <v>#N/A</v>
      </c>
      <c r="AH38" s="2" t="e">
        <v>#N/A</v>
      </c>
      <c r="AI38" s="2" t="e">
        <v>#N/A</v>
      </c>
      <c r="AJ38" s="2" t="e">
        <v>#N/A</v>
      </c>
      <c r="AK38" s="3">
        <v>0.3290573</v>
      </c>
      <c r="AL38" s="3">
        <v>0.21942229999999999</v>
      </c>
      <c r="AM38" s="2" t="e">
        <v>#N/A</v>
      </c>
      <c r="AN38" s="2" t="e">
        <v>#N/A</v>
      </c>
      <c r="AO38" s="2" t="e">
        <v>#N/A</v>
      </c>
      <c r="AP38" s="2" t="e">
        <v>#N/A</v>
      </c>
      <c r="AQ38" s="2" t="e">
        <v>#N/A</v>
      </c>
      <c r="AR38" s="2" t="e">
        <v>#N/A</v>
      </c>
      <c r="AS38" s="2" t="e">
        <v>#N/A</v>
      </c>
      <c r="AT38" s="2" t="e">
        <v>#N/A</v>
      </c>
      <c r="AU38" s="1" t="s">
        <v>5</v>
      </c>
      <c r="AV38" s="3">
        <v>1.625</v>
      </c>
      <c r="AW38" s="3">
        <v>1.29</v>
      </c>
      <c r="AX38" s="2">
        <v>45.352110000000003</v>
      </c>
      <c r="AY38" s="2">
        <v>4.2769560000000002</v>
      </c>
      <c r="AZ38" s="2">
        <v>23.85211</v>
      </c>
      <c r="BA38" s="2">
        <v>-21.251110000000001</v>
      </c>
      <c r="BB38" s="2">
        <v>-0.2808988</v>
      </c>
      <c r="BC38" s="3">
        <v>0.83350000000000002</v>
      </c>
      <c r="BD38" s="2">
        <v>6.4787030000000003</v>
      </c>
      <c r="BE38" s="3">
        <v>1.224</v>
      </c>
      <c r="BF38" s="2">
        <v>-27.49183</v>
      </c>
      <c r="BG38" s="2">
        <v>49.803489999999996</v>
      </c>
      <c r="BH38" s="2">
        <v>51.471310000000003</v>
      </c>
      <c r="BI38" s="2">
        <v>49.474609999999998</v>
      </c>
      <c r="BJ38" s="2">
        <v>51.453479999999999</v>
      </c>
      <c r="BK38" s="2">
        <v>16</v>
      </c>
      <c r="BL38" s="2">
        <v>11</v>
      </c>
      <c r="BM38" s="4">
        <v>16</v>
      </c>
      <c r="BN38" s="4">
        <v>1</v>
      </c>
      <c r="BO38" s="4">
        <v>2</v>
      </c>
      <c r="BP38" s="4">
        <v>13</v>
      </c>
      <c r="BQ38" s="2">
        <v>6.25</v>
      </c>
      <c r="BR38" s="4">
        <v>8</v>
      </c>
      <c r="BS38" s="4">
        <v>2</v>
      </c>
      <c r="BT38" s="4">
        <v>16</v>
      </c>
      <c r="BU38" s="2">
        <v>50</v>
      </c>
      <c r="BV38" s="2">
        <v>10.4368</v>
      </c>
      <c r="BW38" s="2">
        <v>2654.8330000000001</v>
      </c>
      <c r="BX38" s="3">
        <v>8.4415549999999993</v>
      </c>
      <c r="BY38" s="3">
        <v>0.31796930000000001</v>
      </c>
      <c r="BZ38" s="2">
        <v>1.0757099999999999</v>
      </c>
      <c r="CA38" s="3">
        <v>0.31796930000000001</v>
      </c>
      <c r="CB38" s="3">
        <v>0.1353926</v>
      </c>
      <c r="CC38" s="3">
        <v>0.11307589999999999</v>
      </c>
      <c r="CD38" s="2">
        <v>-16.482939999999999</v>
      </c>
      <c r="CE38" s="3">
        <v>882.62099999999998</v>
      </c>
      <c r="CF38" s="3">
        <v>879.75009999999997</v>
      </c>
      <c r="CG38" s="2">
        <v>-0.32526850000000002</v>
      </c>
      <c r="CH38" s="3">
        <v>1.413125</v>
      </c>
      <c r="CI38" s="2">
        <v>-8.7129650000000005</v>
      </c>
      <c r="CJ38" s="3">
        <v>1747.498</v>
      </c>
      <c r="CK38" s="3">
        <v>1750.2950000000001</v>
      </c>
      <c r="CL38" s="2">
        <v>0.16002659999999999</v>
      </c>
      <c r="CM38" s="3">
        <v>0.96903989999999995</v>
      </c>
      <c r="CN38" s="3">
        <v>0.92882359999999997</v>
      </c>
      <c r="CO38" s="3">
        <v>0.8926731</v>
      </c>
      <c r="CP38" s="2">
        <v>-8.4145009999999996</v>
      </c>
      <c r="CQ38" s="2">
        <v>-4.4490280000000002</v>
      </c>
      <c r="CR38" s="2">
        <v>-0.57950619999999997</v>
      </c>
      <c r="CS38" s="2">
        <v>-4.1501159999999997</v>
      </c>
      <c r="CT38" s="2">
        <v>8.3521439999999991</v>
      </c>
      <c r="CU38" s="3">
        <v>0.35448049999999998</v>
      </c>
      <c r="CV38" s="2">
        <v>-16.66667</v>
      </c>
      <c r="CW38" s="2">
        <v>1.8888940000000001</v>
      </c>
      <c r="CX38" s="2">
        <v>2.598373</v>
      </c>
      <c r="CY38" s="2">
        <v>22.535350000000001</v>
      </c>
    </row>
    <row r="39" spans="1:103" ht="15" customHeight="1" x14ac:dyDescent="0.2">
      <c r="A39" s="1">
        <f t="shared" si="0"/>
        <v>33</v>
      </c>
      <c r="B39" s="1" t="s">
        <v>103</v>
      </c>
      <c r="C39" s="1" t="s">
        <v>102</v>
      </c>
      <c r="D39" s="1" t="s">
        <v>71</v>
      </c>
      <c r="E39" s="1" t="s">
        <v>72</v>
      </c>
      <c r="F39" s="2">
        <v>19438.689999999999</v>
      </c>
      <c r="G39" s="2">
        <v>29.875</v>
      </c>
      <c r="H39" s="2">
        <v>5807.3090000000002</v>
      </c>
      <c r="I39" s="3">
        <v>18.36</v>
      </c>
      <c r="J39" s="3">
        <v>0</v>
      </c>
      <c r="K39" s="2">
        <v>8.6601309999999998</v>
      </c>
      <c r="L39" s="2">
        <v>5.4466229999999998</v>
      </c>
      <c r="M39" s="2">
        <v>6.0729850000000001</v>
      </c>
      <c r="N39" s="2">
        <v>7.0806089999999999</v>
      </c>
      <c r="O39" s="2">
        <v>8.1238939999999999</v>
      </c>
      <c r="P39" s="2">
        <v>14.11905</v>
      </c>
      <c r="Q39" s="2">
        <v>11.547169999999999</v>
      </c>
      <c r="R39" s="2">
        <v>9.9907550000000001</v>
      </c>
      <c r="S39" s="2">
        <v>5.3137629999999998</v>
      </c>
      <c r="T39" s="2">
        <v>7.5767550000000004</v>
      </c>
      <c r="U39" s="2">
        <v>6.2566189999999997</v>
      </c>
      <c r="V39" s="2">
        <v>5.9256589999999996</v>
      </c>
      <c r="W39" s="2">
        <v>3.4961669999999998</v>
      </c>
      <c r="X39" s="2">
        <v>3.8988969999999998</v>
      </c>
      <c r="Y39" s="2">
        <v>3.438202</v>
      </c>
      <c r="Z39" s="2">
        <v>3.0365950000000002</v>
      </c>
      <c r="AA39" s="2">
        <v>4.4516020000000003</v>
      </c>
      <c r="AB39" s="2">
        <v>6.2298150000000003</v>
      </c>
      <c r="AC39" s="2">
        <v>5.3500639999999997</v>
      </c>
      <c r="AD39" s="2">
        <v>4.9572320000000003</v>
      </c>
      <c r="AE39" s="2">
        <v>4.3079460000000003</v>
      </c>
      <c r="AF39" s="2">
        <v>4.317755</v>
      </c>
      <c r="AG39" s="2">
        <v>4.3107959999999999</v>
      </c>
      <c r="AH39" s="2">
        <v>6.8238950000000003</v>
      </c>
      <c r="AI39" s="2">
        <v>6.8783849999999997</v>
      </c>
      <c r="AJ39" s="2">
        <v>6.8990039999999997</v>
      </c>
      <c r="AK39" s="3" t="e">
        <v>#N/A</v>
      </c>
      <c r="AL39" s="3" t="e">
        <v>#N/A</v>
      </c>
      <c r="AM39" s="2">
        <v>16.91695</v>
      </c>
      <c r="AN39" s="2">
        <v>16.93122</v>
      </c>
      <c r="AO39" s="2">
        <v>21.588280000000001</v>
      </c>
      <c r="AP39" s="2">
        <v>23.769639999999999</v>
      </c>
      <c r="AQ39" s="2">
        <v>1.9586699999999999</v>
      </c>
      <c r="AR39" s="2">
        <v>2.783954</v>
      </c>
      <c r="AS39" s="2">
        <v>2.329164</v>
      </c>
      <c r="AT39" s="2">
        <v>2.223052</v>
      </c>
      <c r="AU39" s="1" t="s">
        <v>15</v>
      </c>
      <c r="AV39" s="3">
        <v>1.5238100000000001</v>
      </c>
      <c r="AW39" s="3">
        <v>21.9</v>
      </c>
      <c r="AX39" s="2">
        <v>19.281040000000001</v>
      </c>
      <c r="AY39" s="2">
        <v>27.614439999999998</v>
      </c>
      <c r="AZ39" s="2">
        <v>-2.1381869999999998</v>
      </c>
      <c r="BA39" s="2">
        <v>0.4926085</v>
      </c>
      <c r="BB39" s="2">
        <v>-0.54170490000000004</v>
      </c>
      <c r="BC39" s="3">
        <v>17.54</v>
      </c>
      <c r="BD39" s="2">
        <v>4.6750309999999997</v>
      </c>
      <c r="BE39" s="3">
        <v>21.51</v>
      </c>
      <c r="BF39" s="2">
        <v>-14.644349999999999</v>
      </c>
      <c r="BG39" s="2">
        <v>68.862390000000005</v>
      </c>
      <c r="BH39" s="2">
        <v>86.137020000000007</v>
      </c>
      <c r="BI39" s="2">
        <v>69.206190000000007</v>
      </c>
      <c r="BJ39" s="2">
        <v>70.605860000000007</v>
      </c>
      <c r="BK39" s="2">
        <v>19</v>
      </c>
      <c r="BL39" s="2">
        <v>18</v>
      </c>
      <c r="BM39" s="4">
        <v>21</v>
      </c>
      <c r="BN39" s="4">
        <v>1</v>
      </c>
      <c r="BO39" s="4">
        <v>2</v>
      </c>
      <c r="BP39" s="4">
        <v>15</v>
      </c>
      <c r="BQ39" s="2">
        <v>5.5555560000000002</v>
      </c>
      <c r="BR39" s="4">
        <v>13</v>
      </c>
      <c r="BS39" s="4">
        <v>2</v>
      </c>
      <c r="BT39" s="4">
        <v>21</v>
      </c>
      <c r="BU39" s="2">
        <v>61.904760000000003</v>
      </c>
      <c r="BV39" s="2">
        <v>6.4359999999999999</v>
      </c>
      <c r="BW39" s="2">
        <v>1058.752</v>
      </c>
      <c r="BX39" s="3">
        <v>1.3310930000000001</v>
      </c>
      <c r="BY39" s="3">
        <v>0.1257228</v>
      </c>
      <c r="BZ39" s="2">
        <v>0.86282000000000003</v>
      </c>
      <c r="CA39" s="3">
        <v>0.1257228</v>
      </c>
      <c r="CB39" s="3">
        <v>1.4787809999999999</v>
      </c>
      <c r="CC39" s="3">
        <v>1.239368</v>
      </c>
      <c r="CD39" s="2">
        <v>-16.189879999999999</v>
      </c>
      <c r="CE39" s="3">
        <v>2703.4490000000001</v>
      </c>
      <c r="CF39" s="3">
        <v>2308.462</v>
      </c>
      <c r="CG39" s="2">
        <v>-14.610480000000001</v>
      </c>
      <c r="CH39" s="3">
        <v>22.233129999999999</v>
      </c>
      <c r="CI39" s="2">
        <v>-1.4983299999999999</v>
      </c>
      <c r="CJ39" s="3">
        <v>25357.17</v>
      </c>
      <c r="CK39" s="3">
        <v>23676.15</v>
      </c>
      <c r="CL39" s="2">
        <v>-6.629372</v>
      </c>
      <c r="CM39" s="3">
        <v>19.417459999999998</v>
      </c>
      <c r="CN39" s="3">
        <v>19.125779999999999</v>
      </c>
      <c r="CO39" s="3">
        <v>18.904810000000001</v>
      </c>
      <c r="CP39" s="2">
        <v>-5.4459390000000001</v>
      </c>
      <c r="CQ39" s="2">
        <v>-4.0039239999999996</v>
      </c>
      <c r="CR39" s="2">
        <v>-2.8818489999999999</v>
      </c>
      <c r="CS39" s="2">
        <v>-1.502162</v>
      </c>
      <c r="CT39" s="2">
        <v>25.965109999999999</v>
      </c>
      <c r="CU39" s="3">
        <v>0.13357440000000001</v>
      </c>
      <c r="CV39" s="2">
        <v>-59.516910000000003</v>
      </c>
      <c r="CW39" s="2">
        <v>-37.186280000000004</v>
      </c>
      <c r="CX39" s="2">
        <v>-6.0655739999999998</v>
      </c>
      <c r="CY39" s="2">
        <v>23.131309999999999</v>
      </c>
    </row>
    <row r="40" spans="1:103" ht="15" customHeight="1" x14ac:dyDescent="0.2">
      <c r="A40" s="1">
        <f t="shared" si="0"/>
        <v>34</v>
      </c>
      <c r="B40" s="1" t="s">
        <v>105</v>
      </c>
      <c r="C40" s="1" t="s">
        <v>104</v>
      </c>
      <c r="D40" s="1" t="s">
        <v>3</v>
      </c>
      <c r="E40" s="1" t="s">
        <v>29</v>
      </c>
      <c r="F40" s="2">
        <v>3019.1489999999999</v>
      </c>
      <c r="G40" s="2">
        <v>41.942599999999999</v>
      </c>
      <c r="H40" s="2">
        <v>1266.31</v>
      </c>
      <c r="I40" s="3">
        <v>5.5949999999999998</v>
      </c>
      <c r="J40" s="3">
        <v>-5.9604639999999998E-6</v>
      </c>
      <c r="K40" s="2">
        <v>4.2895450000000004</v>
      </c>
      <c r="L40" s="2">
        <v>4.5129580000000002</v>
      </c>
      <c r="M40" s="2">
        <v>4.8429450000000003</v>
      </c>
      <c r="N40" s="2">
        <v>5.1831990000000001</v>
      </c>
      <c r="O40" s="2">
        <v>18.751950000000001</v>
      </c>
      <c r="P40" s="2">
        <v>18.048390000000001</v>
      </c>
      <c r="Q40" s="2">
        <v>16.903320000000001</v>
      </c>
      <c r="R40" s="2">
        <v>15.985709999999999</v>
      </c>
      <c r="S40" s="2">
        <v>30.312380000000001</v>
      </c>
      <c r="T40" s="2">
        <v>27.68431</v>
      </c>
      <c r="U40" s="2">
        <v>24.251349999999999</v>
      </c>
      <c r="V40" s="2">
        <v>22.82217</v>
      </c>
      <c r="W40" s="2">
        <v>0.4903593</v>
      </c>
      <c r="X40" s="2">
        <v>0.56401210000000002</v>
      </c>
      <c r="Y40" s="2">
        <v>0.60615859999999999</v>
      </c>
      <c r="Z40" s="2">
        <v>0.59425879999999998</v>
      </c>
      <c r="AA40" s="2">
        <v>26.724460000000001</v>
      </c>
      <c r="AB40" s="2">
        <v>15.53196</v>
      </c>
      <c r="AC40" s="2">
        <v>17.093630000000001</v>
      </c>
      <c r="AD40" s="2">
        <v>13.92633</v>
      </c>
      <c r="AE40" s="2">
        <v>3.3807640000000001</v>
      </c>
      <c r="AF40" s="2">
        <v>2.8606250000000002</v>
      </c>
      <c r="AG40" s="2">
        <v>2.9487199999999998</v>
      </c>
      <c r="AH40" s="2">
        <v>8.8810939999999992</v>
      </c>
      <c r="AI40" s="2">
        <v>7.4862380000000002</v>
      </c>
      <c r="AJ40" s="2">
        <v>7.6899749999999996</v>
      </c>
      <c r="AK40" s="3">
        <v>2.7710819999999998</v>
      </c>
      <c r="AL40" s="3">
        <v>2.5989529999999998</v>
      </c>
      <c r="AM40" s="2">
        <v>79.436610000000002</v>
      </c>
      <c r="AN40" s="2">
        <v>80.331760000000003</v>
      </c>
      <c r="AO40" s="2">
        <v>81.252139999999997</v>
      </c>
      <c r="AP40" s="2">
        <v>81.176469999999995</v>
      </c>
      <c r="AQ40" s="2">
        <v>18.812059999999999</v>
      </c>
      <c r="AR40" s="2">
        <v>16.099640000000001</v>
      </c>
      <c r="AS40" s="2">
        <v>14.98448</v>
      </c>
      <c r="AT40" s="2">
        <v>14.071009999999999</v>
      </c>
      <c r="AU40" s="1" t="s">
        <v>99</v>
      </c>
      <c r="AV40" s="3">
        <v>1.75</v>
      </c>
      <c r="AW40" s="3">
        <v>6.7</v>
      </c>
      <c r="AX40" s="2">
        <v>19.749770000000002</v>
      </c>
      <c r="AY40" s="2">
        <v>3.125</v>
      </c>
      <c r="AZ40" s="2">
        <v>6.5149020000000002</v>
      </c>
      <c r="BA40" s="2">
        <v>-16.242519999999999</v>
      </c>
      <c r="BB40" s="2">
        <v>-14.580159999999999</v>
      </c>
      <c r="BC40" s="3">
        <v>4.9020000000000001</v>
      </c>
      <c r="BD40" s="2">
        <v>14.137090000000001</v>
      </c>
      <c r="BE40" s="3">
        <v>7.01</v>
      </c>
      <c r="BF40" s="2">
        <v>-20.185449999999999</v>
      </c>
      <c r="BG40" s="2">
        <v>83.793779999999998</v>
      </c>
      <c r="BH40" s="2">
        <v>82.413899999999998</v>
      </c>
      <c r="BI40" s="2">
        <v>82.088409999999996</v>
      </c>
      <c r="BJ40" s="2">
        <v>81.376339999999999</v>
      </c>
      <c r="BK40" s="2">
        <v>18</v>
      </c>
      <c r="BL40" s="2">
        <v>9</v>
      </c>
      <c r="BM40" s="4">
        <v>20</v>
      </c>
      <c r="BN40" s="4">
        <v>0</v>
      </c>
      <c r="BO40" s="4">
        <v>0</v>
      </c>
      <c r="BP40" s="4">
        <v>17</v>
      </c>
      <c r="BQ40" s="2">
        <v>0</v>
      </c>
      <c r="BR40" s="4">
        <v>10</v>
      </c>
      <c r="BS40" s="4">
        <v>5</v>
      </c>
      <c r="BT40" s="4">
        <v>20</v>
      </c>
      <c r="BU40" s="2">
        <v>50</v>
      </c>
      <c r="BV40" s="2">
        <v>7.6947299999999998</v>
      </c>
      <c r="BW40" s="2">
        <v>539.61559999999997</v>
      </c>
      <c r="BX40" s="3">
        <v>1.0308619999999999</v>
      </c>
      <c r="BY40" s="3">
        <v>0.1910364</v>
      </c>
      <c r="BZ40" s="2">
        <v>1.21739</v>
      </c>
      <c r="CA40" s="3">
        <v>0.1910364</v>
      </c>
      <c r="CB40" s="3">
        <v>0.3116255</v>
      </c>
      <c r="CC40" s="3">
        <v>0.3099152</v>
      </c>
      <c r="CD40" s="2">
        <v>-0.54885150000000005</v>
      </c>
      <c r="CE40" s="3">
        <v>301.2466</v>
      </c>
      <c r="CF40" s="3">
        <v>294.92270000000002</v>
      </c>
      <c r="CG40" s="2">
        <v>-2.0992700000000002</v>
      </c>
      <c r="CH40" s="3">
        <v>6.7807149999999998</v>
      </c>
      <c r="CI40" s="2">
        <v>-1.190358</v>
      </c>
      <c r="CJ40" s="3">
        <v>379.21039999999999</v>
      </c>
      <c r="CK40" s="3">
        <v>376.34789999999998</v>
      </c>
      <c r="CL40" s="2">
        <v>-0.75486299999999995</v>
      </c>
      <c r="CM40" s="3">
        <v>5.6852270000000003</v>
      </c>
      <c r="CN40" s="3">
        <v>6.1552930000000003</v>
      </c>
      <c r="CO40" s="3">
        <v>6.0250000000000004</v>
      </c>
      <c r="CP40" s="2">
        <v>-1.587045</v>
      </c>
      <c r="CQ40" s="2">
        <v>-9.1026249999999997</v>
      </c>
      <c r="CR40" s="2">
        <v>-7.1369290000000003</v>
      </c>
      <c r="CS40" s="2">
        <v>8.2682020000000005</v>
      </c>
      <c r="CT40" s="2">
        <v>6.0540370000000001</v>
      </c>
      <c r="CU40" s="3">
        <v>0.20052130000000001</v>
      </c>
      <c r="CV40" s="2" t="e">
        <v>#N/A</v>
      </c>
      <c r="CW40" s="2" t="e">
        <v>#N/A</v>
      </c>
      <c r="CX40" s="2" t="e">
        <v>#N/A</v>
      </c>
      <c r="CY40" s="2">
        <v>23.686869999999999</v>
      </c>
    </row>
    <row r="41" spans="1:103" ht="15" customHeight="1" x14ac:dyDescent="0.2">
      <c r="A41" s="1">
        <f t="shared" si="0"/>
        <v>35</v>
      </c>
      <c r="B41" s="1" t="s">
        <v>107</v>
      </c>
      <c r="C41" s="1" t="s">
        <v>106</v>
      </c>
      <c r="D41" s="1" t="s">
        <v>71</v>
      </c>
      <c r="E41" s="1" t="s">
        <v>72</v>
      </c>
      <c r="F41" s="2">
        <v>24240.35</v>
      </c>
      <c r="G41" s="2">
        <v>11.852499999999999</v>
      </c>
      <c r="H41" s="2">
        <v>2873.087</v>
      </c>
      <c r="I41" s="3">
        <v>25</v>
      </c>
      <c r="J41" s="3">
        <v>0</v>
      </c>
      <c r="K41" s="2">
        <v>4.8</v>
      </c>
      <c r="L41" s="2">
        <v>5.6</v>
      </c>
      <c r="M41" s="2">
        <v>5.6</v>
      </c>
      <c r="N41" s="2">
        <v>5.6</v>
      </c>
      <c r="O41" s="2">
        <v>14.697240000000001</v>
      </c>
      <c r="P41" s="2">
        <v>12.437810000000001</v>
      </c>
      <c r="Q41" s="2">
        <v>13.51351</v>
      </c>
      <c r="R41" s="2">
        <v>15.4194</v>
      </c>
      <c r="S41" s="2">
        <v>7.244008</v>
      </c>
      <c r="T41" s="2">
        <v>7.1611940000000001</v>
      </c>
      <c r="U41" s="2">
        <v>7.5014630000000002</v>
      </c>
      <c r="V41" s="2">
        <v>7.7124240000000004</v>
      </c>
      <c r="W41" s="2">
        <v>3.2051280000000002</v>
      </c>
      <c r="X41" s="2">
        <v>2.941176</v>
      </c>
      <c r="Y41" s="2">
        <v>2.796421</v>
      </c>
      <c r="Z41" s="2">
        <v>2.661219</v>
      </c>
      <c r="AA41" s="2">
        <v>7.7877210000000003</v>
      </c>
      <c r="AB41" s="2">
        <v>6.4194769999999997</v>
      </c>
      <c r="AC41" s="2">
        <v>6.8697379999999999</v>
      </c>
      <c r="AD41" s="2">
        <v>6.9235220000000002</v>
      </c>
      <c r="AE41" s="2">
        <v>4.4346180000000004</v>
      </c>
      <c r="AF41" s="2">
        <v>1.831947</v>
      </c>
      <c r="AG41" s="2">
        <v>1.533903</v>
      </c>
      <c r="AH41" s="2">
        <v>6.7289139999999996</v>
      </c>
      <c r="AI41" s="2">
        <v>2.8464939999999999</v>
      </c>
      <c r="AJ41" s="2">
        <v>2.4360210000000002</v>
      </c>
      <c r="AK41" s="3" t="e">
        <v>#N/A</v>
      </c>
      <c r="AL41" s="3" t="e">
        <v>#N/A</v>
      </c>
      <c r="AM41" s="2">
        <v>14.585599999999999</v>
      </c>
      <c r="AN41" s="2">
        <v>19.496359999999999</v>
      </c>
      <c r="AO41" s="2">
        <v>19.4206</v>
      </c>
      <c r="AP41" s="2">
        <v>21.260829999999999</v>
      </c>
      <c r="AQ41" s="2">
        <v>2.4859710000000002</v>
      </c>
      <c r="AR41" s="2">
        <v>2.319401</v>
      </c>
      <c r="AS41" s="2">
        <v>2.6736710000000001</v>
      </c>
      <c r="AT41" s="2">
        <v>2.8560989999999999</v>
      </c>
      <c r="AU41" s="1" t="s">
        <v>108</v>
      </c>
      <c r="AV41" s="3">
        <v>2.6428569999999998</v>
      </c>
      <c r="AW41" s="3">
        <v>24.75</v>
      </c>
      <c r="AX41" s="2">
        <v>-0.99999899999999997</v>
      </c>
      <c r="AY41" s="2">
        <v>23.64706</v>
      </c>
      <c r="AZ41" s="2" t="e">
        <v>#N/A</v>
      </c>
      <c r="BA41" s="2">
        <v>-3.8461569999999998</v>
      </c>
      <c r="BB41" s="2">
        <v>-7.4074090000000004</v>
      </c>
      <c r="BC41" s="3">
        <v>24.76</v>
      </c>
      <c r="BD41" s="2">
        <v>0.96930269999999996</v>
      </c>
      <c r="BE41" s="3">
        <v>28.88</v>
      </c>
      <c r="BF41" s="2">
        <v>-13.434900000000001</v>
      </c>
      <c r="BG41" s="2">
        <v>70.644419999999997</v>
      </c>
      <c r="BH41" s="2">
        <v>70.225260000000006</v>
      </c>
      <c r="BI41" s="2">
        <v>76.344949999999997</v>
      </c>
      <c r="BJ41" s="2">
        <v>81.882660000000001</v>
      </c>
      <c r="BK41" s="2">
        <v>11</v>
      </c>
      <c r="BL41" s="2">
        <v>10</v>
      </c>
      <c r="BM41" s="4">
        <v>14</v>
      </c>
      <c r="BN41" s="4">
        <v>0</v>
      </c>
      <c r="BO41" s="4">
        <v>0</v>
      </c>
      <c r="BP41" s="4">
        <v>11</v>
      </c>
      <c r="BQ41" s="2">
        <v>0</v>
      </c>
      <c r="BR41" s="4">
        <v>0</v>
      </c>
      <c r="BS41" s="4">
        <v>9</v>
      </c>
      <c r="BT41" s="4">
        <v>14</v>
      </c>
      <c r="BU41" s="2">
        <v>0</v>
      </c>
      <c r="BV41" s="2">
        <v>6.5932899999999997</v>
      </c>
      <c r="BW41" s="2">
        <v>969.61379999999997</v>
      </c>
      <c r="BX41" s="3">
        <v>0.31565979999999999</v>
      </c>
      <c r="BY41" s="3">
        <v>3.2555210000000001E-2</v>
      </c>
      <c r="BZ41" s="2">
        <v>0.42076400000000003</v>
      </c>
      <c r="CA41" s="3">
        <v>3.2555210000000001E-2</v>
      </c>
      <c r="CB41" s="3">
        <v>1.993182</v>
      </c>
      <c r="CC41" s="3">
        <v>1.956561</v>
      </c>
      <c r="CD41" s="2">
        <v>-1.8373189999999999</v>
      </c>
      <c r="CE41" s="3">
        <v>3432.7069999999999</v>
      </c>
      <c r="CF41" s="3">
        <v>3421.4569999999999</v>
      </c>
      <c r="CG41" s="2">
        <v>-0.32772420000000002</v>
      </c>
      <c r="CH41" s="3">
        <v>25.05294</v>
      </c>
      <c r="CI41" s="2">
        <v>-1.2091989999999999</v>
      </c>
      <c r="CJ41" s="3">
        <v>30018.11</v>
      </c>
      <c r="CK41" s="3">
        <v>27487.74</v>
      </c>
      <c r="CL41" s="2">
        <v>-8.4294799999999999</v>
      </c>
      <c r="CM41" s="3">
        <v>26.773440000000001</v>
      </c>
      <c r="CN41" s="3">
        <v>26.895689999999998</v>
      </c>
      <c r="CO41" s="3">
        <v>26.333850000000002</v>
      </c>
      <c r="CP41" s="2">
        <v>-6.6238700000000001</v>
      </c>
      <c r="CQ41" s="2">
        <v>-7.0482849999999999</v>
      </c>
      <c r="CR41" s="2">
        <v>-5.065137</v>
      </c>
      <c r="CS41" s="2">
        <v>0.45659539999999998</v>
      </c>
      <c r="CT41" s="2">
        <v>7.900817</v>
      </c>
      <c r="CU41" s="3">
        <v>3.2593660000000003E-2</v>
      </c>
      <c r="CV41" s="2" t="e">
        <v>#N/A</v>
      </c>
      <c r="CW41" s="2" t="e">
        <v>#N/A</v>
      </c>
      <c r="CX41" s="2" t="e">
        <v>#N/A</v>
      </c>
      <c r="CY41" s="2">
        <v>26.757580000000001</v>
      </c>
    </row>
  </sheetData>
  <pageMargins left="0.25" right="0.25" top="0.7" bottom="0.7" header="0.3" footer="0.3"/>
  <pageSetup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Juan Jose Fernández-Figares</cp:lastModifiedBy>
  <dcterms:created xsi:type="dcterms:W3CDTF">2024-02-01T06:04:17Z</dcterms:created>
  <dcterms:modified xsi:type="dcterms:W3CDTF">2024-02-01T06:04:17Z</dcterms:modified>
  <cp:category/>
</cp:coreProperties>
</file>