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/>
  <mc:AlternateContent xmlns:mc="http://schemas.openxmlformats.org/markup-compatibility/2006">
    <mc:Choice Requires="x15">
      <x15ac:absPath xmlns:x15ac="http://schemas.microsoft.com/office/spreadsheetml/2010/11/ac" url="C:\Users\link\OneDrive\Desktop\FAXES\"/>
    </mc:Choice>
  </mc:AlternateContent>
  <xr:revisionPtr revIDLastSave="0" documentId="8_{1BD57F0F-12DF-46BF-89A1-AF703803FB3C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Tab1" sheetId="2" r:id="rId1"/>
  </sheets>
  <calcPr calcId="181029"/>
</workbook>
</file>

<file path=xl/calcChain.xml><?xml version="1.0" encoding="utf-8"?>
<calcChain xmlns="http://schemas.openxmlformats.org/spreadsheetml/2006/main">
  <c r="A8" i="2" l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</calcChain>
</file>

<file path=xl/sharedStrings.xml><?xml version="1.0" encoding="utf-8"?>
<sst xmlns="http://schemas.openxmlformats.org/spreadsheetml/2006/main" count="380" uniqueCount="311">
  <si>
    <t>FactSet Universal Screen</t>
  </si>
  <si>
    <t>IAG-ES</t>
  </si>
  <si>
    <t>International Consolidated Airlines Group SA</t>
  </si>
  <si>
    <t>Transportation</t>
  </si>
  <si>
    <t>Airlines</t>
  </si>
  <si>
    <t>Buy (1.00)</t>
  </si>
  <si>
    <t>ITX-ES</t>
  </si>
  <si>
    <t>Industria de Diseno Textil, S.A.</t>
  </si>
  <si>
    <t>Consumer Non-Durables</t>
  </si>
  <si>
    <t>Apparel/Footwear</t>
  </si>
  <si>
    <t>AENA-ES</t>
  </si>
  <si>
    <t>Aena SME SA</t>
  </si>
  <si>
    <t>Other Transportation</t>
  </si>
  <si>
    <t>BBVA-ES</t>
  </si>
  <si>
    <t>Banco Bilbao Vizcaya Argentaria, S.A.</t>
  </si>
  <si>
    <t>Finance</t>
  </si>
  <si>
    <t>Major Banks</t>
  </si>
  <si>
    <t>Overweight (1.25)</t>
  </si>
  <si>
    <t>MTS-ES</t>
  </si>
  <si>
    <t>ArcelorMittal SA</t>
  </si>
  <si>
    <t>Non-Energy Minerals</t>
  </si>
  <si>
    <t>Steel</t>
  </si>
  <si>
    <t>LOG-ES</t>
  </si>
  <si>
    <t>Compania de Distribucion Integral Logista Holdings S.A.</t>
  </si>
  <si>
    <t>Air Freight/Couriers</t>
  </si>
  <si>
    <t>SCYR-ES</t>
  </si>
  <si>
    <t>Sacyr SA</t>
  </si>
  <si>
    <t>Industrial Services</t>
  </si>
  <si>
    <t>Engineering &amp; Construction</t>
  </si>
  <si>
    <t>IDR-ES</t>
  </si>
  <si>
    <t>Indra Sistemas, S.A. Class A</t>
  </si>
  <si>
    <t>Technology Services</t>
  </si>
  <si>
    <t>Information Technology Services</t>
  </si>
  <si>
    <t>ACX-ES</t>
  </si>
  <si>
    <t>Acerinox SA</t>
  </si>
  <si>
    <t>SAN-ES</t>
  </si>
  <si>
    <t>Banco Santander, S.A.</t>
  </si>
  <si>
    <t>CLNX-ES</t>
  </si>
  <si>
    <t>Cellnex Telecom S.A.</t>
  </si>
  <si>
    <t>Communications</t>
  </si>
  <si>
    <t>Specialty Telecommunications</t>
  </si>
  <si>
    <t>CABK-ES</t>
  </si>
  <si>
    <t>CaixaBank SA</t>
  </si>
  <si>
    <t>Regional Banks</t>
  </si>
  <si>
    <t>SAB-ES</t>
  </si>
  <si>
    <t>Banco de Sabadell SA</t>
  </si>
  <si>
    <t>AMS-ES</t>
  </si>
  <si>
    <t>Amadeus IT Group SA Class A</t>
  </si>
  <si>
    <t>Hold (2.00)</t>
  </si>
  <si>
    <t>GRF-ES</t>
  </si>
  <si>
    <t>Grifols, S.A. Class A</t>
  </si>
  <si>
    <t>Health Technology</t>
  </si>
  <si>
    <t>Pharmaceuticals: Major</t>
  </si>
  <si>
    <t>ELE-ES</t>
  </si>
  <si>
    <t>Endesa S.A.</t>
  </si>
  <si>
    <t>Utilities</t>
  </si>
  <si>
    <t>Electric Utilities</t>
  </si>
  <si>
    <t>Overweight (1.50)</t>
  </si>
  <si>
    <t>MEL-ES</t>
  </si>
  <si>
    <t>Melia Hotels International, S.A.</t>
  </si>
  <si>
    <t>Consumer Services</t>
  </si>
  <si>
    <t>Hotels/Resorts/Cruiselines</t>
  </si>
  <si>
    <t>IBE-ES</t>
  </si>
  <si>
    <t>Iberdrola SA</t>
  </si>
  <si>
    <t>BKT-ES</t>
  </si>
  <si>
    <t>Bankinter SA</t>
  </si>
  <si>
    <t>ACS-ES</t>
  </si>
  <si>
    <t>ACS Actividades de Construccion y Servicios SA</t>
  </si>
  <si>
    <t>Hold (1.75)</t>
  </si>
  <si>
    <t>TEF-ES</t>
  </si>
  <si>
    <t>Telefonica SA</t>
  </si>
  <si>
    <t>FER-ES</t>
  </si>
  <si>
    <t>Ferrovial, S.A.</t>
  </si>
  <si>
    <t>ENG-ES</t>
  </si>
  <si>
    <t>Enagas SA</t>
  </si>
  <si>
    <t>Gas Distributors</t>
  </si>
  <si>
    <t>ANA-ES</t>
  </si>
  <si>
    <t>Acciona SA</t>
  </si>
  <si>
    <t>ROVI-ES</t>
  </si>
  <si>
    <t>Laboratorios Farmaceuticos Rovi, S.A.</t>
  </si>
  <si>
    <t>REP-ES</t>
  </si>
  <si>
    <t>Repsol SA</t>
  </si>
  <si>
    <t>Energy Minerals</t>
  </si>
  <si>
    <t>Integrated Oil</t>
  </si>
  <si>
    <t>FDR-ES</t>
  </si>
  <si>
    <t>Fluidra, S.A.</t>
  </si>
  <si>
    <t>Consumer Durables</t>
  </si>
  <si>
    <t>Recreational Products</t>
  </si>
  <si>
    <t>MRL-ES</t>
  </si>
  <si>
    <t>MERLIN Properties SOCIMI, S.A.</t>
  </si>
  <si>
    <t>Real Estate Investment Trusts</t>
  </si>
  <si>
    <t>MAP-ES</t>
  </si>
  <si>
    <t>Mapfre SA</t>
  </si>
  <si>
    <t>Multi-Line Insurance</t>
  </si>
  <si>
    <t>RED-ES</t>
  </si>
  <si>
    <t>Red Electrica Corp. SA</t>
  </si>
  <si>
    <t>NTGY-ES</t>
  </si>
  <si>
    <t>Naturgy Energy Group, S.A.</t>
  </si>
  <si>
    <t>Underweight (2.50)</t>
  </si>
  <si>
    <t>UNI-ES</t>
  </si>
  <si>
    <t>Unicaja Banco S.A.</t>
  </si>
  <si>
    <t>SLR-ES</t>
  </si>
  <si>
    <t>Solaria Energia y Medio Ambiente, S.A.</t>
  </si>
  <si>
    <t>Alternative Power Generation</t>
  </si>
  <si>
    <t>ANE-ES</t>
  </si>
  <si>
    <t>Corporacion Acciona Energias Renovables SA</t>
  </si>
  <si>
    <t>COL-ES</t>
  </si>
  <si>
    <t>Inmobiliaria Colonial SOCIMI SA</t>
  </si>
  <si>
    <t>Company Symbol</t>
  </si>
  <si>
    <t>Company Name</t>
  </si>
  <si>
    <t>FE Ticker</t>
  </si>
  <si>
    <t>FactSet Econ Sector</t>
  </si>
  <si>
    <t>FactSet Ind</t>
  </si>
  <si>
    <t>Market Value EUR millones</t>
  </si>
  <si>
    <t>Float Pct Total Outstdg</t>
  </si>
  <si>
    <t>Free-float EUR millones</t>
  </si>
  <si>
    <t>Ultimo Precio</t>
  </si>
  <si>
    <t>% dia precio</t>
  </si>
  <si>
    <t>Div Yld Y0 Año Cerrado</t>
  </si>
  <si>
    <t>Div Yld Y1 Año Actual</t>
  </si>
  <si>
    <t>Div Yld Y2</t>
  </si>
  <si>
    <t>Div Yld Y3</t>
  </si>
  <si>
    <t>PER Y0 Año Cerrado</t>
  </si>
  <si>
    <t>PER Y1 Año Actual</t>
  </si>
  <si>
    <t>PER Y2</t>
  </si>
  <si>
    <t>PER Y3</t>
  </si>
  <si>
    <t>EV EBITDA Y0 Año Cerrado</t>
  </si>
  <si>
    <t>EV EBITDA Y1 Año Actual</t>
  </si>
  <si>
    <t>EV EBITDA Y2</t>
  </si>
  <si>
    <t>EV EBITDA Y3</t>
  </si>
  <si>
    <t>Precio valor libros Y0 Año Cerrado</t>
  </si>
  <si>
    <t>Precio valor libros Y1 Año Actual</t>
  </si>
  <si>
    <t>Precio valor libros Y2</t>
  </si>
  <si>
    <t>Precio valor libros Y3</t>
  </si>
  <si>
    <t>Precio CF Y0 Año Cerrado</t>
  </si>
  <si>
    <t>Precio CF Y1 Año Actual</t>
  </si>
  <si>
    <t>Precio CF Y2</t>
  </si>
  <si>
    <t>Precio CF Y3</t>
  </si>
  <si>
    <t>FCF/EV (%) Y0 Año Cerrado</t>
  </si>
  <si>
    <t>FCF/EV (%) Y1 Año Actual</t>
  </si>
  <si>
    <t>FCF/EV (%) Y2</t>
  </si>
  <si>
    <t>FCF YLD (%) Y0 Año Cerrado</t>
  </si>
  <si>
    <t>FCF YLD (%) Y1 Año Actual</t>
  </si>
  <si>
    <t>FCF YLD (%) Y2</t>
  </si>
  <si>
    <t>PEG FY1</t>
  </si>
  <si>
    <t>PEG FY2</t>
  </si>
  <si>
    <t>Margen Ebitda % Y0 Año Cerrado</t>
  </si>
  <si>
    <t>Margen Ebitda % Y1 Año Actual</t>
  </si>
  <si>
    <t>Margen Ebitda % Y2</t>
  </si>
  <si>
    <t>Margen Ebitda % Y3</t>
  </si>
  <si>
    <t>Deuda Neta/ Ebitda Y0 Año Cerrado</t>
  </si>
  <si>
    <t>Deuda Neta/ Ebitda Y1 Año Actual</t>
  </si>
  <si>
    <t>Deuda Neta/ Ebitda Y2</t>
  </si>
  <si>
    <t>Deuda Neta/ Ebitda Y3</t>
  </si>
  <si>
    <t>Recomen dacion</t>
  </si>
  <si>
    <t>Recomen dacion numerica</t>
  </si>
  <si>
    <t>Precio objetivo 12 meses</t>
  </si>
  <si>
    <t>Potencial precio objetivo %</t>
  </si>
  <si>
    <t>ROE Y1 Año Actual</t>
  </si>
  <si>
    <t>Crecimiento largo plazo %</t>
  </si>
  <si>
    <t>12 meses %</t>
  </si>
  <si>
    <t>YTD %</t>
  </si>
  <si>
    <t>Last 52 Wks Low Price</t>
  </si>
  <si>
    <t>% desde mínimos 1 año</t>
  </si>
  <si>
    <t>Last 52 Wks High Price</t>
  </si>
  <si>
    <t>% desde máximos 1 año</t>
  </si>
  <si>
    <t>Div Payout Y0 Año Cerrado</t>
  </si>
  <si>
    <t>Div Payout Y1 Año Actual</t>
  </si>
  <si>
    <t>Div Payout Y2</t>
  </si>
  <si>
    <t>Div Payout Y3</t>
  </si>
  <si>
    <t>ECA Num EPS</t>
  </si>
  <si>
    <t>ECA Num EBIT</t>
  </si>
  <si>
    <t>EC Reco Total</t>
  </si>
  <si>
    <t>EC Reco Up</t>
  </si>
  <si>
    <t>EC Reco Down</t>
  </si>
  <si>
    <t>EC Reco Unchng</t>
  </si>
  <si>
    <t>% mod recom Positivas/ Total</t>
  </si>
  <si>
    <t>EC Reco Pos</t>
  </si>
  <si>
    <t>EC Reco Neg</t>
  </si>
  <si>
    <t>Positivas/ Total (%)</t>
  </si>
  <si>
    <t>3y Price Volatility</t>
  </si>
  <si>
    <t>Issue Common Shares Outstdg</t>
  </si>
  <si>
    <t>Average Daily Volume</t>
  </si>
  <si>
    <t>Volumen /acciones %</t>
  </si>
  <si>
    <t>3y BETA Rel to Loc Idx</t>
  </si>
  <si>
    <t>% capital contratado diariamente</t>
  </si>
  <si>
    <t>BPA +1E 3Meses</t>
  </si>
  <si>
    <t>BPA +1E Actual</t>
  </si>
  <si>
    <t>var % BPA +1E 3Meses</t>
  </si>
  <si>
    <t>EBIT +1E 3Meses</t>
  </si>
  <si>
    <t>EBIT +1E Actual</t>
  </si>
  <si>
    <t>var % EBIT +1E 3Meses</t>
  </si>
  <si>
    <t>Precio Objetivo 3Meses</t>
  </si>
  <si>
    <t>var % PO 3Meses</t>
  </si>
  <si>
    <t>Ventas +1E 3Meses</t>
  </si>
  <si>
    <t>Ventas +1E Actual</t>
  </si>
  <si>
    <t>var % Ventas +1E 3Meses</t>
  </si>
  <si>
    <t>Media 200</t>
  </si>
  <si>
    <t>Media 50</t>
  </si>
  <si>
    <t>Media 25</t>
  </si>
  <si>
    <t>dif % Media 200</t>
  </si>
  <si>
    <t>dif % Media 50</t>
  </si>
  <si>
    <t>dif % Media 25</t>
  </si>
  <si>
    <t>Media 50 / 200</t>
  </si>
  <si>
    <t>Volumen Diario 3Meses EUR Millones</t>
  </si>
  <si>
    <t>Volumen Día 3 Meses / Capitalización %</t>
  </si>
  <si>
    <t>BPA Trimestre Sorpresa %</t>
  </si>
  <si>
    <t>Ventas Trimestre Sorpresa %</t>
  </si>
  <si>
    <t>EBIT Trimestral Sorpresa %</t>
  </si>
  <si>
    <t>USRANK1</t>
  </si>
  <si>
    <t>#1</t>
  </si>
  <si>
    <t>#2</t>
  </si>
  <si>
    <t>#4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</si>
  <si>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</si>
  <si>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</si>
  <si>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</si>
  <si>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</si>
  <si>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</si>
  <si>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</si>
  <si>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</si>
  <si>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</si>
  <si>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</si>
  <si>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</si>
  <si>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</si>
  <si>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#19</t>
  </si>
  <si>
    <t>#21</t>
  </si>
  <si>
    <t>#23</t>
  </si>
  <si>
    <t>#24</t>
  </si>
  <si>
    <t>#26</t>
  </si>
  <si>
    <t>#28</t>
  </si>
  <si>
    <t>#30</t>
  </si>
  <si>
    <t>#31</t>
  </si>
  <si>
    <t>#32</t>
  </si>
  <si>
    <t>#33</t>
  </si>
  <si>
    <t>#34</t>
  </si>
  <si>
    <t>#35</t>
  </si>
  <si>
    <t>#37</t>
  </si>
  <si>
    <t>#39</t>
  </si>
  <si>
    <t>#41</t>
  </si>
  <si>
    <t>#42</t>
  </si>
  <si>
    <t>#43</t>
  </si>
  <si>
    <t>#44</t>
  </si>
  <si>
    <t>#45</t>
  </si>
  <si>
    <t>#46</t>
  </si>
  <si>
    <t>#47</t>
  </si>
  <si>
    <t>#48</t>
  </si>
  <si>
    <t>#49</t>
  </si>
  <si>
    <t>#50</t>
  </si>
  <si>
    <t>#51</t>
  </si>
  <si>
    <t>#52</t>
  </si>
  <si>
    <t>#56</t>
  </si>
  <si>
    <t>#57</t>
  </si>
  <si>
    <t>#58</t>
  </si>
  <si>
    <t>#59</t>
  </si>
  <si>
    <t>#63</t>
  </si>
  <si>
    <t>#64</t>
  </si>
  <si>
    <t>#65</t>
  </si>
  <si>
    <t>#66</t>
  </si>
  <si>
    <t>#68</t>
  </si>
  <si>
    <t>#69</t>
  </si>
  <si>
    <t>#79</t>
  </si>
  <si>
    <t>#80</t>
  </si>
  <si>
    <t>#85</t>
  </si>
  <si>
    <t>#86</t>
  </si>
  <si>
    <t>#87</t>
  </si>
  <si>
    <t>#88</t>
  </si>
  <si>
    <t>#89</t>
  </si>
  <si>
    <t>#90</t>
  </si>
  <si>
    <t>#91</t>
  </si>
  <si>
    <t>#92</t>
  </si>
  <si>
    <t>#93</t>
  </si>
  <si>
    <t>#94</t>
  </si>
  <si>
    <t>#95</t>
  </si>
  <si>
    <t>#96</t>
  </si>
  <si>
    <t>#97</t>
  </si>
  <si>
    <t>#98</t>
  </si>
  <si>
    <t>#99</t>
  </si>
  <si>
    <t>#100</t>
  </si>
  <si>
    <t>#101</t>
  </si>
  <si>
    <t>#102</t>
  </si>
  <si>
    <t>#103</t>
  </si>
  <si>
    <t>#104</t>
  </si>
  <si>
    <t>#105</t>
  </si>
  <si>
    <t>#106</t>
  </si>
  <si>
    <t>#107</t>
  </si>
  <si>
    <t>#114</t>
  </si>
  <si>
    <t>#117</t>
  </si>
  <si>
    <t>#118</t>
  </si>
  <si>
    <t>#119</t>
  </si>
  <si>
    <t>#120</t>
  </si>
  <si>
    <t>#121</t>
  </si>
  <si>
    <t>#122</t>
  </si>
  <si>
    <t>#123</t>
  </si>
  <si>
    <t>#124</t>
  </si>
  <si>
    <t>#125</t>
  </si>
  <si>
    <t>#126</t>
  </si>
  <si>
    <t>#127</t>
  </si>
  <si>
    <t>#128</t>
  </si>
  <si>
    <t>#129</t>
  </si>
  <si>
    <t>#130</t>
  </si>
  <si>
    <t>#131</t>
  </si>
  <si>
    <t>#132</t>
  </si>
  <si>
    <t>#133</t>
  </si>
  <si>
    <t>#134</t>
  </si>
  <si>
    <t>#135</t>
  </si>
  <si>
    <t>#138</t>
  </si>
  <si>
    <t>#139</t>
  </si>
  <si>
    <t>#140</t>
  </si>
  <si>
    <t>#141</t>
  </si>
  <si>
    <t>#142</t>
  </si>
  <si>
    <t>#172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</si>
</sst>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 x14ac:knownFonts="1">
    <font>
      <sz val="10"/>
      <color theme="1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right"/>
    </xf>
    <xf numFmtId="0" fontId="1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A61EB-0F85-4D76-A061-450525F0FD0E}">
  <sheetPr>
    <outlinePr summaryBelow="0" summaryRight="0"/>
    <pageSetUpPr fitToPage="1"/>
  </sheetPr>
  <dimension ref="A1:CY41"/>
  <sheetViews>
    <sheetView tabSelected="1" workbookViewId="0">
      <pane xSplit="2" ySplit="5" topLeftCell="C7" activePane="bottomRight" state="frozen"/>
      <selection pane="topRight" activeCell="C1" sqref="C1"/>
      <selection pane="bottomLeft" activeCell="A6" sqref="A6"/>
      <selection pane="bottomRight" activeCell="C7" sqref="C7"/>
    </sheetView>
  </sheetViews>
  <sheetFormatPr baseColWidth="10" defaultColWidth="9.140625" defaultRowHeight="15" customHeight="1" x14ac:dyDescent="0.2"/>
  <cols>
    <col min="1" max="1" width="12.140625" customWidth="1"/>
    <col min="2" max="2" width="36" customWidth="1"/>
    <col min="3" max="3" width="14.28515625" customWidth="1"/>
    <col min="4" max="4" width="28" customWidth="1"/>
    <col min="5" max="5" width="23" customWidth="1"/>
    <col min="6" max="7" width="10" customWidth="1"/>
    <col min="8" max="8" width="12" customWidth="1"/>
    <col min="9" max="42" width="10" customWidth="1"/>
    <col min="43" max="44" width="6" customWidth="1"/>
    <col min="45" max="51" width="10" customWidth="1"/>
    <col min="52" max="52" width="12" customWidth="1"/>
    <col min="53" max="53" width="11" customWidth="1"/>
    <col min="54" max="54" width="8" customWidth="1"/>
    <col min="55" max="68" width="10" customWidth="1"/>
    <col min="69" max="69" width="14" customWidth="1"/>
    <col min="70" max="78" width="10" customWidth="1"/>
    <col min="79" max="79" width="12" customWidth="1"/>
    <col min="80" max="98" width="10" customWidth="1"/>
    <col min="99" max="99" width="12" customWidth="1"/>
    <col min="100" max="102" width="10" customWidth="1"/>
    <col min="103" max="103" width="14.28515625" customWidth="1"/>
  </cols>
  <sheetData>
    <row r="1" spans="1:103" ht="15" customHeight="1" x14ac:dyDescent="0.2">
      <c r="A1" t="s">
        <v>0</v>
      </c>
    </row>
    <row r="4" spans="1:103" ht="43.5" customHeight="1" x14ac:dyDescent="0.2">
      <c r="A4" s="5" t="s">
        <v>108</v>
      </c>
      <c r="B4" s="5" t="s">
        <v>109</v>
      </c>
      <c r="C4" s="5" t="s">
        <v>110</v>
      </c>
      <c r="D4" s="5" t="s">
        <v>111</v>
      </c>
      <c r="E4" s="5" t="s">
        <v>112</v>
      </c>
      <c r="F4" s="6" t="s">
        <v>113</v>
      </c>
      <c r="G4" s="6" t="s">
        <v>114</v>
      </c>
      <c r="H4" s="6" t="s">
        <v>115</v>
      </c>
      <c r="I4" s="6" t="s">
        <v>116</v>
      </c>
      <c r="J4" s="6" t="s">
        <v>117</v>
      </c>
      <c r="K4" s="6" t="s">
        <v>118</v>
      </c>
      <c r="L4" s="6" t="s">
        <v>119</v>
      </c>
      <c r="M4" s="6" t="s">
        <v>120</v>
      </c>
      <c r="N4" s="6" t="s">
        <v>121</v>
      </c>
      <c r="O4" s="6" t="s">
        <v>122</v>
      </c>
      <c r="P4" s="6" t="s">
        <v>123</v>
      </c>
      <c r="Q4" s="6" t="s">
        <v>124</v>
      </c>
      <c r="R4" s="6" t="s">
        <v>125</v>
      </c>
      <c r="S4" s="6" t="s">
        <v>126</v>
      </c>
      <c r="T4" s="6" t="s">
        <v>127</v>
      </c>
      <c r="U4" s="6" t="s">
        <v>128</v>
      </c>
      <c r="V4" s="6" t="s">
        <v>129</v>
      </c>
      <c r="W4" s="6" t="s">
        <v>130</v>
      </c>
      <c r="X4" s="6" t="s">
        <v>131</v>
      </c>
      <c r="Y4" s="6" t="s">
        <v>132</v>
      </c>
      <c r="Z4" s="6" t="s">
        <v>133</v>
      </c>
      <c r="AA4" s="6" t="s">
        <v>134</v>
      </c>
      <c r="AB4" s="6" t="s">
        <v>135</v>
      </c>
      <c r="AC4" s="6" t="s">
        <v>136</v>
      </c>
      <c r="AD4" s="6" t="s">
        <v>137</v>
      </c>
      <c r="AE4" s="6" t="s">
        <v>138</v>
      </c>
      <c r="AF4" s="6" t="s">
        <v>139</v>
      </c>
      <c r="AG4" s="6" t="s">
        <v>140</v>
      </c>
      <c r="AH4" s="6" t="s">
        <v>141</v>
      </c>
      <c r="AI4" s="6" t="s">
        <v>142</v>
      </c>
      <c r="AJ4" s="6" t="s">
        <v>143</v>
      </c>
      <c r="AK4" s="6" t="s">
        <v>144</v>
      </c>
      <c r="AL4" s="6" t="s">
        <v>145</v>
      </c>
      <c r="AM4" s="6" t="s">
        <v>146</v>
      </c>
      <c r="AN4" s="6" t="s">
        <v>147</v>
      </c>
      <c r="AO4" s="6" t="s">
        <v>148</v>
      </c>
      <c r="AP4" s="6" t="s">
        <v>149</v>
      </c>
      <c r="AQ4" s="6" t="s">
        <v>150</v>
      </c>
      <c r="AR4" s="6" t="s">
        <v>151</v>
      </c>
      <c r="AS4" s="6" t="s">
        <v>152</v>
      </c>
      <c r="AT4" s="6" t="s">
        <v>153</v>
      </c>
      <c r="AU4" s="5" t="s">
        <v>154</v>
      </c>
      <c r="AV4" s="6" t="s">
        <v>155</v>
      </c>
      <c r="AW4" s="6" t="s">
        <v>156</v>
      </c>
      <c r="AX4" s="6" t="s">
        <v>157</v>
      </c>
      <c r="AY4" s="6" t="s">
        <v>158</v>
      </c>
      <c r="AZ4" s="6" t="s">
        <v>159</v>
      </c>
      <c r="BA4" s="6" t="s">
        <v>160</v>
      </c>
      <c r="BB4" s="6" t="s">
        <v>161</v>
      </c>
      <c r="BC4" s="6" t="s">
        <v>162</v>
      </c>
      <c r="BD4" s="6" t="s">
        <v>163</v>
      </c>
      <c r="BE4" s="6" t="s">
        <v>164</v>
      </c>
      <c r="BF4" s="6" t="s">
        <v>165</v>
      </c>
      <c r="BG4" s="6" t="s">
        <v>166</v>
      </c>
      <c r="BH4" s="6" t="s">
        <v>167</v>
      </c>
      <c r="BI4" s="6" t="s">
        <v>168</v>
      </c>
      <c r="BJ4" s="6" t="s">
        <v>169</v>
      </c>
      <c r="BK4" s="6" t="s">
        <v>170</v>
      </c>
      <c r="BL4" s="6" t="s">
        <v>171</v>
      </c>
      <c r="BM4" s="6" t="s">
        <v>172</v>
      </c>
      <c r="BN4" s="6" t="s">
        <v>173</v>
      </c>
      <c r="BO4" s="6" t="s">
        <v>174</v>
      </c>
      <c r="BP4" s="6" t="s">
        <v>175</v>
      </c>
      <c r="BQ4" s="6" t="s">
        <v>176</v>
      </c>
      <c r="BR4" s="6" t="s">
        <v>177</v>
      </c>
      <c r="BS4" s="6" t="s">
        <v>178</v>
      </c>
      <c r="BT4" s="6" t="s">
        <v>172</v>
      </c>
      <c r="BU4" s="6" t="s">
        <v>179</v>
      </c>
      <c r="BV4" s="6" t="s">
        <v>180</v>
      </c>
      <c r="BW4" s="6" t="s">
        <v>181</v>
      </c>
      <c r="BX4" s="6" t="s">
        <v>182</v>
      </c>
      <c r="BY4" s="6" t="s">
        <v>183</v>
      </c>
      <c r="BZ4" s="6" t="s">
        <v>184</v>
      </c>
      <c r="CA4" s="6" t="s">
        <v>185</v>
      </c>
      <c r="CB4" s="6" t="s">
        <v>186</v>
      </c>
      <c r="CC4" s="6" t="s">
        <v>187</v>
      </c>
      <c r="CD4" s="6" t="s">
        <v>188</v>
      </c>
      <c r="CE4" s="6" t="s">
        <v>189</v>
      </c>
      <c r="CF4" s="6" t="s">
        <v>190</v>
      </c>
      <c r="CG4" s="6" t="s">
        <v>191</v>
      </c>
      <c r="CH4" s="6" t="s">
        <v>192</v>
      </c>
      <c r="CI4" s="6" t="s">
        <v>193</v>
      </c>
      <c r="CJ4" s="6" t="s">
        <v>194</v>
      </c>
      <c r="CK4" s="6" t="s">
        <v>195</v>
      </c>
      <c r="CL4" s="6" t="s">
        <v>196</v>
      </c>
      <c r="CM4" s="6" t="s">
        <v>197</v>
      </c>
      <c r="CN4" s="6" t="s">
        <v>198</v>
      </c>
      <c r="CO4" s="6" t="s">
        <v>199</v>
      </c>
      <c r="CP4" s="6" t="s">
        <v>200</v>
      </c>
      <c r="CQ4" s="6" t="s">
        <v>201</v>
      </c>
      <c r="CR4" s="6" t="s">
        <v>202</v>
      </c>
      <c r="CS4" s="6" t="s">
        <v>203</v>
      </c>
      <c r="CT4" s="6" t="s">
        <v>204</v>
      </c>
      <c r="CU4" s="6" t="s">
        <v>205</v>
      </c>
      <c r="CV4" s="6" t="s">
        <v>206</v>
      </c>
      <c r="CW4" s="6" t="s">
        <v>207</v>
      </c>
      <c r="CX4" s="6" t="s">
        <v>208</v>
      </c>
      <c r="CY4" s="6" t="s">
        <v>209</v>
      </c>
    </row>
    <row r="5" spans="1:103" ht="12.75" x14ac:dyDescent="0.2">
      <c r="A5" s="5"/>
      <c r="B5" s="5"/>
      <c r="C5" s="5" t="s">
        <v>210</v>
      </c>
      <c r="D5" s="5" t="s">
        <v>211</v>
      </c>
      <c r="E5" s="5" t="s">
        <v>212</v>
      </c>
      <c r="F5" s="6" t="s">
        <v>213</v>
      </c>
      <c r="G5" s="6" t="s">
        <v>214</v>
      </c>
      <c r="H5" s="6" t="s">
        <v>215</v>
      </c>
      <c r="I5" s="6" t="s">
        <v>216</v>
      </c>
      <c r="J5" s="6" t="s">
        <v>217</v>
      </c>
      <c r="K5" s="6" t="s">
        <v>218</v>
      </c>
      <c r="L5" s="6" t="s">
        <v>219</v>
      </c>
      <c r="M5" s="6" t="s">
        <v>220</v>
      </c>
      <c r="N5" s="6" t="s">
        <v>221</v>
      </c>
      <c r="O5" s="6" t="s">
        <v>222</v>
      </c>
      <c r="P5" s="6" t="s">
        <v>223</v>
      </c>
      <c r="Q5" s="6" t="s">
        <v>224</v>
      </c>
      <c r="R5" s="6" t="s">
        <v>225</v>
      </c>
      <c r="S5" s="6" t="s">
        <v>226</v>
      </c>
      <c r="T5" s="6" t="s">
        <v>227</v>
      </c>
      <c r="U5" s="6" t="s">
        <v>228</v>
      </c>
      <c r="V5" s="6" t="s">
        <v>229</v>
      </c>
      <c r="W5" s="6" t="s">
        <v>230</v>
      </c>
      <c r="X5" s="6" t="s">
        <v>231</v>
      </c>
      <c r="Y5" s="6" t="s">
        <v>232</v>
      </c>
      <c r="Z5" s="6" t="s">
        <v>233</v>
      </c>
      <c r="AA5" s="6" t="s">
        <v>234</v>
      </c>
      <c r="AB5" s="6" t="s">
        <v>235</v>
      </c>
      <c r="AC5" s="6" t="s">
        <v>236</v>
      </c>
      <c r="AD5" s="6" t="s">
        <v>237</v>
      </c>
      <c r="AE5" s="6" t="s">
        <v>238</v>
      </c>
      <c r="AF5" s="6" t="s">
        <v>239</v>
      </c>
      <c r="AG5" s="6" t="s">
        <v>240</v>
      </c>
      <c r="AH5" s="6" t="s">
        <v>241</v>
      </c>
      <c r="AI5" s="6" t="s">
        <v>242</v>
      </c>
      <c r="AJ5" s="6" t="s">
        <v>243</v>
      </c>
      <c r="AK5" s="6" t="s">
        <v>244</v>
      </c>
      <c r="AL5" s="6" t="s">
        <v>245</v>
      </c>
      <c r="AM5" s="6" t="s">
        <v>246</v>
      </c>
      <c r="AN5" s="6" t="s">
        <v>247</v>
      </c>
      <c r="AO5" s="6" t="s">
        <v>248</v>
      </c>
      <c r="AP5" s="6" t="s">
        <v>249</v>
      </c>
      <c r="AQ5" s="6" t="s">
        <v>250</v>
      </c>
      <c r="AR5" s="6" t="s">
        <v>251</v>
      </c>
      <c r="AS5" s="6" t="s">
        <v>252</v>
      </c>
      <c r="AT5" s="6" t="s">
        <v>253</v>
      </c>
      <c r="AU5" s="5" t="s">
        <v>254</v>
      </c>
      <c r="AV5" s="6" t="s">
        <v>255</v>
      </c>
      <c r="AW5" s="6" t="s">
        <v>256</v>
      </c>
      <c r="AX5" s="6" t="s">
        <v>257</v>
      </c>
      <c r="AY5" s="6" t="s">
        <v>258</v>
      </c>
      <c r="AZ5" s="6" t="s">
        <v>259</v>
      </c>
      <c r="BA5" s="6" t="s">
        <v>260</v>
      </c>
      <c r="BB5" s="6" t="s">
        <v>261</v>
      </c>
      <c r="BC5" s="6" t="s">
        <v>262</v>
      </c>
      <c r="BD5" s="6" t="s">
        <v>263</v>
      </c>
      <c r="BE5" s="6" t="s">
        <v>264</v>
      </c>
      <c r="BF5" s="6" t="s">
        <v>265</v>
      </c>
      <c r="BG5" s="6" t="s">
        <v>266</v>
      </c>
      <c r="BH5" s="6" t="s">
        <v>267</v>
      </c>
      <c r="BI5" s="6" t="s">
        <v>268</v>
      </c>
      <c r="BJ5" s="6" t="s">
        <v>269</v>
      </c>
      <c r="BK5" s="6" t="s">
        <v>270</v>
      </c>
      <c r="BL5" s="6" t="s">
        <v>271</v>
      </c>
      <c r="BM5" s="6" t="s">
        <v>272</v>
      </c>
      <c r="BN5" s="6" t="s">
        <v>273</v>
      </c>
      <c r="BO5" s="6" t="s">
        <v>274</v>
      </c>
      <c r="BP5" s="6" t="s">
        <v>275</v>
      </c>
      <c r="BQ5" s="6" t="s">
        <v>276</v>
      </c>
      <c r="BR5" s="6" t="s">
        <v>277</v>
      </c>
      <c r="BS5" s="6" t="s">
        <v>278</v>
      </c>
      <c r="BT5" s="6" t="s">
        <v>279</v>
      </c>
      <c r="BU5" s="6" t="s">
        <v>280</v>
      </c>
      <c r="BV5" s="6" t="s">
        <v>281</v>
      </c>
      <c r="BW5" s="6" t="s">
        <v>282</v>
      </c>
      <c r="BX5" s="6" t="s">
        <v>283</v>
      </c>
      <c r="BY5" s="6" t="s">
        <v>284</v>
      </c>
      <c r="BZ5" s="6" t="s">
        <v>285</v>
      </c>
      <c r="CA5" s="6" t="s">
        <v>286</v>
      </c>
      <c r="CB5" s="6" t="s">
        <v>287</v>
      </c>
      <c r="CC5" s="6" t="s">
        <v>288</v>
      </c>
      <c r="CD5" s="6" t="s">
        <v>289</v>
      </c>
      <c r="CE5" s="6" t="s">
        <v>290</v>
      </c>
      <c r="CF5" s="6" t="s">
        <v>291</v>
      </c>
      <c r="CG5" s="6" t="s">
        <v>292</v>
      </c>
      <c r="CH5" s="6" t="s">
        <v>293</v>
      </c>
      <c r="CI5" s="6" t="s">
        <v>294</v>
      </c>
      <c r="CJ5" s="6" t="s">
        <v>295</v>
      </c>
      <c r="CK5" s="6" t="s">
        <v>296</v>
      </c>
      <c r="CL5" s="6" t="s">
        <v>297</v>
      </c>
      <c r="CM5" s="6" t="s">
        <v>298</v>
      </c>
      <c r="CN5" s="6" t="s">
        <v>299</v>
      </c>
      <c r="CO5" s="6" t="s">
        <v>300</v>
      </c>
      <c r="CP5" s="6" t="s">
        <v>301</v>
      </c>
      <c r="CQ5" s="6" t="s">
        <v>302</v>
      </c>
      <c r="CR5" s="6" t="s">
        <v>303</v>
      </c>
      <c r="CS5" s="6" t="s">
        <v>304</v>
      </c>
      <c r="CT5" s="6" t="s">
        <v>305</v>
      </c>
      <c r="CU5" s="6" t="s">
        <v>306</v>
      </c>
      <c r="CV5" s="6" t="s">
        <v>307</v>
      </c>
      <c r="CW5" s="6" t="s">
        <v>308</v>
      </c>
      <c r="CX5" s="6" t="s">
        <v>309</v>
      </c>
      <c r="CY5" s="6" t="s">
        <v>310</v>
      </c>
    </row>
    <row r="6" spans="1:103" ht="12.75" hidden="1" x14ac:dyDescent="0.2">
      <c r="A6" s="1"/>
      <c r="B6" s="1"/>
      <c r="C6" s="1"/>
      <c r="D6" s="1"/>
      <c r="E6" s="1"/>
      <c r="F6" s="2"/>
      <c r="G6" s="2"/>
      <c r="H6" s="2"/>
      <c r="I6" s="3"/>
      <c r="J6" s="3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3"/>
      <c r="AL6" s="3"/>
      <c r="AM6" s="2"/>
      <c r="AN6" s="2"/>
      <c r="AO6" s="2"/>
      <c r="AP6" s="2"/>
      <c r="AQ6" s="2"/>
      <c r="AR6" s="2"/>
      <c r="AS6" s="2"/>
      <c r="AT6" s="2"/>
      <c r="AU6" s="1"/>
      <c r="AV6" s="3"/>
      <c r="AW6" s="3"/>
      <c r="AX6" s="2"/>
      <c r="AY6" s="2"/>
      <c r="AZ6" s="2"/>
      <c r="BA6" s="2"/>
      <c r="BB6" s="2"/>
      <c r="BC6" s="3"/>
      <c r="BD6" s="2"/>
      <c r="BE6" s="3"/>
      <c r="BF6" s="2"/>
      <c r="BG6" s="2"/>
      <c r="BH6" s="2"/>
      <c r="BI6" s="2"/>
      <c r="BJ6" s="2"/>
      <c r="BK6" s="2"/>
      <c r="BL6" s="2"/>
      <c r="BM6" s="4"/>
      <c r="BN6" s="4"/>
      <c r="BO6" s="4"/>
      <c r="BP6" s="4"/>
      <c r="BQ6" s="2"/>
      <c r="BR6" s="4"/>
      <c r="BS6" s="4"/>
      <c r="BT6" s="4"/>
      <c r="BU6" s="2"/>
      <c r="BV6" s="2"/>
      <c r="BW6" s="2"/>
      <c r="BX6" s="3"/>
      <c r="BY6" s="3"/>
      <c r="BZ6" s="2"/>
      <c r="CA6" s="3"/>
      <c r="CB6" s="3"/>
      <c r="CC6" s="3"/>
      <c r="CD6" s="2"/>
      <c r="CE6" s="3"/>
      <c r="CF6" s="3"/>
      <c r="CG6" s="2"/>
      <c r="CH6" s="3"/>
      <c r="CI6" s="2"/>
      <c r="CJ6" s="3"/>
      <c r="CK6" s="3"/>
      <c r="CL6" s="2"/>
      <c r="CM6" s="3"/>
      <c r="CN6" s="3"/>
      <c r="CO6" s="3"/>
      <c r="CP6" s="2"/>
      <c r="CQ6" s="2"/>
      <c r="CR6" s="2"/>
      <c r="CS6" s="2"/>
      <c r="CT6" s="2"/>
      <c r="CU6" s="3"/>
      <c r="CV6" s="2"/>
      <c r="CW6" s="2"/>
      <c r="CX6" s="2"/>
      <c r="CY6" s="2"/>
    </row>
    <row r="7" spans="1:103" ht="15" customHeight="1" x14ac:dyDescent="0.2">
      <c r="A7" s="1">
        <v>1</v>
      </c>
      <c r="B7" s="1" t="s">
        <v>2</v>
      </c>
      <c r="C7" s="1" t="s">
        <v>1</v>
      </c>
      <c r="D7" s="1" t="s">
        <v>3</v>
      </c>
      <c r="E7" s="1" t="s">
        <v>4</v>
      </c>
      <c r="F7" s="2">
        <v>9564.3119999999999</v>
      </c>
      <c r="G7" s="2" t="e">
        <v>#N/A</v>
      </c>
      <c r="H7" s="2" t="e">
        <v>#N/A</v>
      </c>
      <c r="I7" s="3">
        <v>1.94</v>
      </c>
      <c r="J7" s="3">
        <v>0</v>
      </c>
      <c r="K7" s="2">
        <v>0</v>
      </c>
      <c r="L7" s="2">
        <v>0</v>
      </c>
      <c r="M7" s="2">
        <v>0</v>
      </c>
      <c r="N7" s="2">
        <v>2.6148549999999999</v>
      </c>
      <c r="O7" s="2">
        <v>34.642859999999999</v>
      </c>
      <c r="P7" s="2">
        <v>7.76</v>
      </c>
      <c r="Q7" s="2">
        <v>6.0625</v>
      </c>
      <c r="R7" s="2">
        <v>5.2432429999999997</v>
      </c>
      <c r="S7" s="2">
        <v>5.2377390000000004</v>
      </c>
      <c r="T7" s="2">
        <v>4.1251610000000003</v>
      </c>
      <c r="U7" s="2">
        <v>3.6841819999999998</v>
      </c>
      <c r="V7" s="2">
        <v>3.2599</v>
      </c>
      <c r="W7" s="2">
        <v>4.779102</v>
      </c>
      <c r="X7" s="2">
        <v>2.8773689999999998</v>
      </c>
      <c r="Y7" s="2">
        <v>1.9207920000000001</v>
      </c>
      <c r="Z7" s="2">
        <v>1.44668</v>
      </c>
      <c r="AA7" s="2">
        <v>3.7467220000000001</v>
      </c>
      <c r="AB7" s="2">
        <v>3.0058159999999998</v>
      </c>
      <c r="AC7" s="2">
        <v>2.543472</v>
      </c>
      <c r="AD7" s="2">
        <v>2.358015</v>
      </c>
      <c r="AE7" s="2">
        <v>0.5124109</v>
      </c>
      <c r="AF7" s="2">
        <v>2.0260549999999999</v>
      </c>
      <c r="AG7" s="2">
        <v>5.3705309999999997</v>
      </c>
      <c r="AH7" s="2">
        <v>1.058772</v>
      </c>
      <c r="AI7" s="2">
        <v>4.1460980000000003</v>
      </c>
      <c r="AJ7" s="2">
        <v>10.43694</v>
      </c>
      <c r="AK7" s="3">
        <v>0.1342247</v>
      </c>
      <c r="AL7" s="3">
        <v>0.102573</v>
      </c>
      <c r="AM7" s="2">
        <v>14.31978</v>
      </c>
      <c r="AN7" s="2">
        <v>17.02759</v>
      </c>
      <c r="AO7" s="2">
        <v>18.353079999999999</v>
      </c>
      <c r="AP7" s="2">
        <v>19.043710000000001</v>
      </c>
      <c r="AQ7" s="2">
        <v>3.1441110000000001</v>
      </c>
      <c r="AR7" s="2">
        <v>2.1265480000000001</v>
      </c>
      <c r="AS7" s="2">
        <v>1.88191</v>
      </c>
      <c r="AT7" s="2">
        <v>1.5807389999999999</v>
      </c>
      <c r="AU7" s="1" t="s">
        <v>5</v>
      </c>
      <c r="AV7" s="3">
        <v>1.425926</v>
      </c>
      <c r="AW7" s="3">
        <v>2.21</v>
      </c>
      <c r="AX7" s="2">
        <v>13.917529999999999</v>
      </c>
      <c r="AY7" s="2">
        <v>37.079500000000003</v>
      </c>
      <c r="AZ7" s="2">
        <v>57.622280000000003</v>
      </c>
      <c r="BA7" s="2">
        <v>47.472439999999999</v>
      </c>
      <c r="BB7" s="2">
        <v>39.518149999999999</v>
      </c>
      <c r="BC7" s="3">
        <v>1.0369999999999999</v>
      </c>
      <c r="BD7" s="2">
        <v>87.078130000000002</v>
      </c>
      <c r="BE7" s="3">
        <v>1.9535</v>
      </c>
      <c r="BF7" s="2">
        <v>-0.69106820000000002</v>
      </c>
      <c r="BG7" s="2">
        <v>0</v>
      </c>
      <c r="BH7" s="2">
        <v>2.5364550000000001</v>
      </c>
      <c r="BI7" s="2">
        <v>5.366873</v>
      </c>
      <c r="BJ7" s="2">
        <v>13.35873</v>
      </c>
      <c r="BK7" s="2">
        <v>25</v>
      </c>
      <c r="BL7" s="2">
        <v>23</v>
      </c>
      <c r="BM7" s="4">
        <v>27</v>
      </c>
      <c r="BN7" s="4">
        <v>6</v>
      </c>
      <c r="BO7" s="4">
        <v>0</v>
      </c>
      <c r="BP7" s="4">
        <v>24</v>
      </c>
      <c r="BQ7" s="2">
        <v>20</v>
      </c>
      <c r="BR7" s="4">
        <v>18</v>
      </c>
      <c r="BS7" s="4">
        <v>1</v>
      </c>
      <c r="BT7" s="4">
        <v>27</v>
      </c>
      <c r="BU7" s="2">
        <v>66.666669999999996</v>
      </c>
      <c r="BV7" s="2">
        <v>18.6356</v>
      </c>
      <c r="BW7" s="2">
        <v>4930.058</v>
      </c>
      <c r="BX7" s="3">
        <v>12.757580000000001</v>
      </c>
      <c r="BY7" s="3">
        <v>0.25877139999999998</v>
      </c>
      <c r="BZ7" s="2">
        <v>2.5780799999999999</v>
      </c>
      <c r="CA7" s="3">
        <v>0.25877139999999998</v>
      </c>
      <c r="CB7" s="3">
        <v>0.1837056</v>
      </c>
      <c r="CC7" s="3">
        <v>0.25082969999999999</v>
      </c>
      <c r="CD7" s="2">
        <v>36.53895</v>
      </c>
      <c r="CE7" s="3">
        <v>2091.114</v>
      </c>
      <c r="CF7" s="3">
        <v>2515.38</v>
      </c>
      <c r="CG7" s="2">
        <v>20.28903</v>
      </c>
      <c r="CH7" s="3">
        <v>2.0664820000000002</v>
      </c>
      <c r="CI7" s="2">
        <v>6.9450500000000002</v>
      </c>
      <c r="CJ7" s="3">
        <v>27754.14</v>
      </c>
      <c r="CK7" s="3">
        <v>28066.85</v>
      </c>
      <c r="CL7" s="2">
        <v>1.12673</v>
      </c>
      <c r="CM7" s="3">
        <v>1.596714</v>
      </c>
      <c r="CN7" s="3">
        <v>1.7614799999999999</v>
      </c>
      <c r="CO7" s="3">
        <v>1.826789</v>
      </c>
      <c r="CP7" s="2">
        <v>21.49953</v>
      </c>
      <c r="CQ7" s="2">
        <v>10.134639999999999</v>
      </c>
      <c r="CR7" s="2">
        <v>6.197298</v>
      </c>
      <c r="CS7" s="2">
        <v>10.319089999999999</v>
      </c>
      <c r="CT7" s="2">
        <v>15.512</v>
      </c>
      <c r="CU7" s="3">
        <v>0.16218630000000001</v>
      </c>
      <c r="CV7" s="2">
        <v>-108.5714</v>
      </c>
      <c r="CW7" s="2">
        <v>0.1910617</v>
      </c>
      <c r="CX7" s="2" t="e">
        <v>#N/A</v>
      </c>
      <c r="CY7" s="2">
        <v>11.78947</v>
      </c>
    </row>
    <row r="8" spans="1:103" ht="15" customHeight="1" x14ac:dyDescent="0.2">
      <c r="A8" s="1">
        <f>1+A7</f>
        <v>2</v>
      </c>
      <c r="B8" s="1" t="s">
        <v>7</v>
      </c>
      <c r="C8" s="1" t="s">
        <v>6</v>
      </c>
      <c r="D8" s="1" t="s">
        <v>8</v>
      </c>
      <c r="E8" s="1" t="s">
        <v>9</v>
      </c>
      <c r="F8" s="2">
        <v>106620.7</v>
      </c>
      <c r="G8" s="2">
        <v>35.438899999999997</v>
      </c>
      <c r="H8" s="2">
        <v>37785.19</v>
      </c>
      <c r="I8" s="3">
        <v>34.21</v>
      </c>
      <c r="J8" s="3">
        <v>0</v>
      </c>
      <c r="K8" s="2">
        <v>3.507746</v>
      </c>
      <c r="L8" s="2">
        <v>4.1978090000000003</v>
      </c>
      <c r="M8" s="2">
        <v>4.5016069999999999</v>
      </c>
      <c r="N8" s="2">
        <v>4.7793049999999999</v>
      </c>
      <c r="O8" s="2">
        <v>25.779949999999999</v>
      </c>
      <c r="P8" s="2">
        <v>21.651900000000001</v>
      </c>
      <c r="Q8" s="2">
        <v>19.947520000000001</v>
      </c>
      <c r="R8" s="2">
        <v>18.491890000000001</v>
      </c>
      <c r="S8" s="2">
        <v>7.7903580000000003</v>
      </c>
      <c r="T8" s="2">
        <v>10.186400000000001</v>
      </c>
      <c r="U8" s="2">
        <v>9.5322399999999998</v>
      </c>
      <c r="V8" s="2">
        <v>8.8097589999999997</v>
      </c>
      <c r="W8" s="2">
        <v>6.2615080000000001</v>
      </c>
      <c r="X8" s="2">
        <v>5.8780060000000001</v>
      </c>
      <c r="Y8" s="2">
        <v>5.6321320000000004</v>
      </c>
      <c r="Z8" s="2">
        <v>5.4215530000000003</v>
      </c>
      <c r="AA8" s="2">
        <v>19.005559999999999</v>
      </c>
      <c r="AB8" s="2">
        <v>15.38414</v>
      </c>
      <c r="AC8" s="2">
        <v>13.507569999999999</v>
      </c>
      <c r="AD8" s="2">
        <v>14.22695</v>
      </c>
      <c r="AE8" s="2">
        <v>5.5348709999999999</v>
      </c>
      <c r="AF8" s="2">
        <v>6.007504</v>
      </c>
      <c r="AG8" s="2">
        <v>6.2719319999999996</v>
      </c>
      <c r="AH8" s="2">
        <v>4.9560420000000001</v>
      </c>
      <c r="AI8" s="2">
        <v>5.3341289999999999</v>
      </c>
      <c r="AJ8" s="2">
        <v>5.5103569999999999</v>
      </c>
      <c r="AK8" s="3">
        <v>2.3742100000000002</v>
      </c>
      <c r="AL8" s="3">
        <v>2.2055349999999998</v>
      </c>
      <c r="AM8" s="2">
        <v>26.55593</v>
      </c>
      <c r="AN8" s="2">
        <v>26.354230000000001</v>
      </c>
      <c r="AO8" s="2">
        <v>26.23348</v>
      </c>
      <c r="AP8" s="2">
        <v>26.273900000000001</v>
      </c>
      <c r="AQ8" s="2">
        <v>-1.1642969999999999</v>
      </c>
      <c r="AR8" s="2">
        <v>-1.1896979999999999</v>
      </c>
      <c r="AS8" s="2">
        <v>-1.2033400000000001</v>
      </c>
      <c r="AT8" s="2">
        <v>-1.2175769999999999</v>
      </c>
      <c r="AU8" s="1" t="s">
        <v>5</v>
      </c>
      <c r="AV8" s="3">
        <v>1.435484</v>
      </c>
      <c r="AW8" s="3">
        <v>36.274999999999999</v>
      </c>
      <c r="AX8" s="2">
        <v>6.0362580000000001</v>
      </c>
      <c r="AY8" s="2">
        <v>27.147770000000001</v>
      </c>
      <c r="AZ8" s="2">
        <v>9.3000000000000007</v>
      </c>
      <c r="BA8" s="2">
        <v>51.976889999999997</v>
      </c>
      <c r="BB8" s="2">
        <v>37.665990000000001</v>
      </c>
      <c r="BC8" s="3">
        <v>20.53</v>
      </c>
      <c r="BD8" s="2">
        <v>66.634180000000001</v>
      </c>
      <c r="BE8" s="3">
        <v>34.299999999999997</v>
      </c>
      <c r="BF8" s="2">
        <v>-0.2623916</v>
      </c>
      <c r="BG8" s="2">
        <v>90.393649999999994</v>
      </c>
      <c r="BH8" s="2">
        <v>89.178049999999999</v>
      </c>
      <c r="BI8" s="2">
        <v>90.451419999999999</v>
      </c>
      <c r="BJ8" s="2">
        <v>87.727400000000003</v>
      </c>
      <c r="BK8" s="2">
        <v>29</v>
      </c>
      <c r="BL8" s="2">
        <v>28</v>
      </c>
      <c r="BM8" s="4">
        <v>31</v>
      </c>
      <c r="BN8" s="4">
        <v>0</v>
      </c>
      <c r="BO8" s="4">
        <v>2</v>
      </c>
      <c r="BP8" s="4">
        <v>30</v>
      </c>
      <c r="BQ8" s="2">
        <v>0</v>
      </c>
      <c r="BR8" s="4">
        <v>20</v>
      </c>
      <c r="BS8" s="4">
        <v>1</v>
      </c>
      <c r="BT8" s="4">
        <v>31</v>
      </c>
      <c r="BU8" s="2">
        <v>64.516130000000004</v>
      </c>
      <c r="BV8" s="2">
        <v>9.1231399999999994</v>
      </c>
      <c r="BW8" s="2">
        <v>3116.652</v>
      </c>
      <c r="BX8" s="3">
        <v>3.3111489999999999</v>
      </c>
      <c r="BY8" s="3">
        <v>0.1062406</v>
      </c>
      <c r="BZ8" s="2">
        <v>1.1982200000000001</v>
      </c>
      <c r="CA8" s="3">
        <v>0.1062406</v>
      </c>
      <c r="CB8" s="3">
        <v>1.3920570000000001</v>
      </c>
      <c r="CC8" s="3">
        <v>1.575229</v>
      </c>
      <c r="CD8" s="2">
        <v>13.15836</v>
      </c>
      <c r="CE8" s="3">
        <v>5710.1880000000001</v>
      </c>
      <c r="CF8" s="3">
        <v>6297.3440000000001</v>
      </c>
      <c r="CG8" s="2">
        <v>10.28261</v>
      </c>
      <c r="CH8" s="3">
        <v>30.844000000000001</v>
      </c>
      <c r="CI8" s="2">
        <v>17.607959999999999</v>
      </c>
      <c r="CJ8" s="3">
        <v>33652.870000000003</v>
      </c>
      <c r="CK8" s="3">
        <v>35547.550000000003</v>
      </c>
      <c r="CL8" s="2">
        <v>5.6300759999999999</v>
      </c>
      <c r="CM8" s="3">
        <v>27.140440000000002</v>
      </c>
      <c r="CN8" s="3">
        <v>31.520389999999999</v>
      </c>
      <c r="CO8" s="3">
        <v>31.89847</v>
      </c>
      <c r="CP8" s="2">
        <v>26.048069999999999</v>
      </c>
      <c r="CQ8" s="2">
        <v>8.5329169999999994</v>
      </c>
      <c r="CR8" s="2">
        <v>7.2465299999999999</v>
      </c>
      <c r="CS8" s="2">
        <v>16.138100000000001</v>
      </c>
      <c r="CT8" s="2">
        <v>117.94889999999999</v>
      </c>
      <c r="CU8" s="3">
        <v>0.1106248</v>
      </c>
      <c r="CV8" s="2">
        <v>17.02618</v>
      </c>
      <c r="CW8" s="2">
        <v>1.63886</v>
      </c>
      <c r="CX8" s="2">
        <v>12.74419</v>
      </c>
      <c r="CY8" s="2">
        <v>11.828279999999999</v>
      </c>
    </row>
    <row r="9" spans="1:103" ht="15" customHeight="1" x14ac:dyDescent="0.2">
      <c r="A9" s="1">
        <f t="shared" ref="A9:A41" si="0">1+A8</f>
        <v>3</v>
      </c>
      <c r="B9" s="1" t="s">
        <v>11</v>
      </c>
      <c r="C9" s="1" t="s">
        <v>10</v>
      </c>
      <c r="D9" s="1" t="s">
        <v>3</v>
      </c>
      <c r="E9" s="1" t="s">
        <v>12</v>
      </c>
      <c r="F9" s="2">
        <v>22245</v>
      </c>
      <c r="G9" s="2">
        <v>48.937600000000003</v>
      </c>
      <c r="H9" s="2">
        <v>10886.17</v>
      </c>
      <c r="I9" s="3">
        <v>148.30000000000001</v>
      </c>
      <c r="J9" s="3">
        <v>0</v>
      </c>
      <c r="K9" s="2">
        <v>3.2029670000000001</v>
      </c>
      <c r="L9" s="2">
        <v>4.6763320000000004</v>
      </c>
      <c r="M9" s="2">
        <v>5.31149</v>
      </c>
      <c r="N9" s="2">
        <v>5.775455</v>
      </c>
      <c r="O9" s="2">
        <v>24.675540000000002</v>
      </c>
      <c r="P9" s="2">
        <v>16.892440000000001</v>
      </c>
      <c r="Q9" s="2">
        <v>14.89146</v>
      </c>
      <c r="R9" s="2">
        <v>13.59422</v>
      </c>
      <c r="S9" s="2">
        <v>11.46668</v>
      </c>
      <c r="T9" s="2">
        <v>10.58581</v>
      </c>
      <c r="U9" s="2">
        <v>9.6885469999999998</v>
      </c>
      <c r="V9" s="2">
        <v>8.919556</v>
      </c>
      <c r="W9" s="2">
        <v>3.3117459999999999</v>
      </c>
      <c r="X9" s="2">
        <v>3.0589940000000002</v>
      </c>
      <c r="Y9" s="2">
        <v>2.8768189999999998</v>
      </c>
      <c r="Z9" s="2">
        <v>2.7161490000000001</v>
      </c>
      <c r="AA9" s="2">
        <v>12.210229999999999</v>
      </c>
      <c r="AB9" s="2">
        <v>10.374599999999999</v>
      </c>
      <c r="AC9" s="2">
        <v>9.7447440000000007</v>
      </c>
      <c r="AD9" s="2">
        <v>9.3517550000000007</v>
      </c>
      <c r="AE9" s="2">
        <v>4.3084619999999996</v>
      </c>
      <c r="AF9" s="2">
        <v>5.7713210000000004</v>
      </c>
      <c r="AG9" s="2">
        <v>6.1237560000000002</v>
      </c>
      <c r="AH9" s="2">
        <v>5.4496739999999999</v>
      </c>
      <c r="AI9" s="2">
        <v>7.1990379999999998</v>
      </c>
      <c r="AJ9" s="2">
        <v>7.508724</v>
      </c>
      <c r="AK9" s="3">
        <v>1.3818280000000001</v>
      </c>
      <c r="AL9" s="3">
        <v>1.1965539999999999</v>
      </c>
      <c r="AM9" s="2">
        <v>49.708129999999997</v>
      </c>
      <c r="AN9" s="2">
        <v>54.859160000000003</v>
      </c>
      <c r="AO9" s="2">
        <v>55.39866</v>
      </c>
      <c r="AP9" s="2">
        <v>56.850709999999999</v>
      </c>
      <c r="AQ9" s="2">
        <v>3.0030399999999999</v>
      </c>
      <c r="AR9" s="2">
        <v>2.2167680000000001</v>
      </c>
      <c r="AS9" s="2">
        <v>1.9214389999999999</v>
      </c>
      <c r="AT9" s="2">
        <v>1.6451929999999999</v>
      </c>
      <c r="AU9" s="1" t="s">
        <v>5</v>
      </c>
      <c r="AV9" s="3">
        <v>1.413043</v>
      </c>
      <c r="AW9" s="3">
        <v>167</v>
      </c>
      <c r="AX9" s="2">
        <v>12.609579999999999</v>
      </c>
      <c r="AY9" s="2">
        <v>18.108650000000001</v>
      </c>
      <c r="AZ9" s="2">
        <v>14.04749</v>
      </c>
      <c r="BA9" s="2">
        <v>13.076639999999999</v>
      </c>
      <c r="BB9" s="2">
        <v>26.427959999999999</v>
      </c>
      <c r="BC9" s="3">
        <v>102.05</v>
      </c>
      <c r="BD9" s="2">
        <v>45.320920000000001</v>
      </c>
      <c r="BE9" s="3">
        <v>155.75</v>
      </c>
      <c r="BF9" s="2">
        <v>-4.7833019999999999</v>
      </c>
      <c r="BG9" s="2">
        <v>70.704520000000002</v>
      </c>
      <c r="BH9" s="2">
        <v>78.547600000000003</v>
      </c>
      <c r="BI9" s="2">
        <v>78.564369999999997</v>
      </c>
      <c r="BJ9" s="2">
        <v>78.310550000000006</v>
      </c>
      <c r="BK9" s="2">
        <v>21</v>
      </c>
      <c r="BL9" s="2">
        <v>19</v>
      </c>
      <c r="BM9" s="4">
        <v>23</v>
      </c>
      <c r="BN9" s="4">
        <v>4</v>
      </c>
      <c r="BO9" s="4">
        <v>0</v>
      </c>
      <c r="BP9" s="4">
        <v>21</v>
      </c>
      <c r="BQ9" s="2">
        <v>16</v>
      </c>
      <c r="BR9" s="4">
        <v>15</v>
      </c>
      <c r="BS9" s="4">
        <v>1</v>
      </c>
      <c r="BT9" s="4">
        <v>23</v>
      </c>
      <c r="BU9" s="2">
        <v>65.217389999999995</v>
      </c>
      <c r="BV9" s="2">
        <v>7.9804899999999996</v>
      </c>
      <c r="BW9" s="2">
        <v>150</v>
      </c>
      <c r="BX9" s="3">
        <v>0.1567191</v>
      </c>
      <c r="BY9" s="3">
        <v>0.1044794</v>
      </c>
      <c r="BZ9" s="2">
        <v>0.98714299999999999</v>
      </c>
      <c r="CA9" s="3">
        <v>0.1044794</v>
      </c>
      <c r="CB9" s="3">
        <v>7.1815870000000004</v>
      </c>
      <c r="CC9" s="3">
        <v>8.5826089999999997</v>
      </c>
      <c r="CD9" s="2">
        <v>19.50854</v>
      </c>
      <c r="CE9" s="3">
        <v>1454.049</v>
      </c>
      <c r="CF9" s="3">
        <v>1795.4480000000001</v>
      </c>
      <c r="CG9" s="2">
        <v>23.479150000000001</v>
      </c>
      <c r="CH9" s="3">
        <v>150.45070000000001</v>
      </c>
      <c r="CI9" s="2">
        <v>10.99985</v>
      </c>
      <c r="CJ9" s="3">
        <v>4414.5839999999998</v>
      </c>
      <c r="CK9" s="3">
        <v>4806.6610000000001</v>
      </c>
      <c r="CL9" s="2">
        <v>8.8813779999999998</v>
      </c>
      <c r="CM9" s="3">
        <v>132.95099999999999</v>
      </c>
      <c r="CN9" s="3">
        <v>149.0206</v>
      </c>
      <c r="CO9" s="3">
        <v>147.39420000000001</v>
      </c>
      <c r="CP9" s="2">
        <v>11.54487</v>
      </c>
      <c r="CQ9" s="2">
        <v>-0.4835546</v>
      </c>
      <c r="CR9" s="2">
        <v>0.61452390000000001</v>
      </c>
      <c r="CS9" s="2">
        <v>12.086869999999999</v>
      </c>
      <c r="CT9" s="2">
        <v>27.668369999999999</v>
      </c>
      <c r="CU9" s="3">
        <v>0.1243802</v>
      </c>
      <c r="CV9" s="2">
        <v>-29.937539999999998</v>
      </c>
      <c r="CW9" s="2">
        <v>9.0882039999999993</v>
      </c>
      <c r="CX9" s="2">
        <v>14.86487</v>
      </c>
      <c r="CY9" s="2">
        <v>11.85859</v>
      </c>
    </row>
    <row r="10" spans="1:103" ht="15" customHeight="1" x14ac:dyDescent="0.2">
      <c r="A10" s="1">
        <f t="shared" si="0"/>
        <v>4</v>
      </c>
      <c r="B10" s="1" t="s">
        <v>14</v>
      </c>
      <c r="C10" s="1" t="s">
        <v>13</v>
      </c>
      <c r="D10" s="1" t="s">
        <v>15</v>
      </c>
      <c r="E10" s="1" t="s">
        <v>16</v>
      </c>
      <c r="F10" s="2">
        <v>40422.04</v>
      </c>
      <c r="G10" s="2">
        <v>99.842399999999998</v>
      </c>
      <c r="H10" s="2">
        <v>40358.339999999997</v>
      </c>
      <c r="I10" s="3">
        <v>6.7759999999999998</v>
      </c>
      <c r="J10" s="3">
        <v>0</v>
      </c>
      <c r="K10" s="2">
        <v>6.3459269999999997</v>
      </c>
      <c r="L10" s="2">
        <v>7.8147770000000003</v>
      </c>
      <c r="M10" s="2">
        <v>7.9693040000000002</v>
      </c>
      <c r="N10" s="2">
        <v>8.4648020000000006</v>
      </c>
      <c r="O10" s="2">
        <v>6.4533339999999999</v>
      </c>
      <c r="P10" s="2">
        <v>6.0310309999999996</v>
      </c>
      <c r="Q10" s="2">
        <v>6.1310419999999999</v>
      </c>
      <c r="R10" s="2">
        <v>6.0387639999999996</v>
      </c>
      <c r="S10" s="2" t="e">
        <v>#N/A</v>
      </c>
      <c r="T10" s="2" t="e">
        <v>#N/A</v>
      </c>
      <c r="U10" s="2" t="e">
        <v>#N/A</v>
      </c>
      <c r="V10" s="2" t="e">
        <v>#N/A</v>
      </c>
      <c r="W10" s="2">
        <v>0.86983310000000003</v>
      </c>
      <c r="X10" s="2">
        <v>0.81743880000000002</v>
      </c>
      <c r="Y10" s="2">
        <v>0.77098869999999997</v>
      </c>
      <c r="Z10" s="2">
        <v>0.7236977</v>
      </c>
      <c r="AA10" s="2" t="e">
        <v>#N/A</v>
      </c>
      <c r="AB10" s="2" t="e">
        <v>#N/A</v>
      </c>
      <c r="AC10" s="2" t="e">
        <v>#N/A</v>
      </c>
      <c r="AD10" s="2" t="e">
        <v>#N/A</v>
      </c>
      <c r="AE10" s="2" t="e">
        <v>#N/A</v>
      </c>
      <c r="AF10" s="2" t="e">
        <v>#N/A</v>
      </c>
      <c r="AG10" s="2" t="e">
        <v>#N/A</v>
      </c>
      <c r="AH10" s="2" t="e">
        <v>#N/A</v>
      </c>
      <c r="AI10" s="2" t="e">
        <v>#N/A</v>
      </c>
      <c r="AJ10" s="2" t="e">
        <v>#N/A</v>
      </c>
      <c r="AK10" s="3">
        <v>1.0866089999999999</v>
      </c>
      <c r="AL10" s="3">
        <v>1.1059890000000001</v>
      </c>
      <c r="AM10" s="2" t="e">
        <v>#N/A</v>
      </c>
      <c r="AN10" s="2" t="e">
        <v>#N/A</v>
      </c>
      <c r="AO10" s="2" t="e">
        <v>#N/A</v>
      </c>
      <c r="AP10" s="2" t="e">
        <v>#N/A</v>
      </c>
      <c r="AQ10" s="2" t="e">
        <v>#N/A</v>
      </c>
      <c r="AR10" s="2" t="e">
        <v>#N/A</v>
      </c>
      <c r="AS10" s="2" t="e">
        <v>#N/A</v>
      </c>
      <c r="AT10" s="2" t="e">
        <v>#N/A</v>
      </c>
      <c r="AU10" s="1" t="s">
        <v>17</v>
      </c>
      <c r="AV10" s="3">
        <v>1.464286</v>
      </c>
      <c r="AW10" s="3">
        <v>8.6649999999999991</v>
      </c>
      <c r="AX10" s="2">
        <v>27.87781</v>
      </c>
      <c r="AY10" s="2">
        <v>13.553879999999999</v>
      </c>
      <c r="AZ10" s="2">
        <v>3.5926659999999999</v>
      </c>
      <c r="BA10" s="2">
        <v>61.564140000000002</v>
      </c>
      <c r="BB10" s="2">
        <v>20.2698</v>
      </c>
      <c r="BC10" s="3">
        <v>3.972</v>
      </c>
      <c r="BD10" s="2">
        <v>70.594149999999999</v>
      </c>
      <c r="BE10" s="3">
        <v>7.5549999999999997</v>
      </c>
      <c r="BF10" s="2">
        <v>-10.31105</v>
      </c>
      <c r="BG10" s="2">
        <v>41.986649999999997</v>
      </c>
      <c r="BH10" s="2">
        <v>46.789909999999999</v>
      </c>
      <c r="BI10" s="2">
        <v>48.199260000000002</v>
      </c>
      <c r="BJ10" s="2">
        <v>49.409469999999999</v>
      </c>
      <c r="BK10" s="2">
        <v>26</v>
      </c>
      <c r="BL10" s="2">
        <v>16</v>
      </c>
      <c r="BM10" s="4">
        <v>28</v>
      </c>
      <c r="BN10" s="4">
        <v>4</v>
      </c>
      <c r="BO10" s="4">
        <v>0</v>
      </c>
      <c r="BP10" s="4">
        <v>26</v>
      </c>
      <c r="BQ10" s="2">
        <v>13.33333</v>
      </c>
      <c r="BR10" s="4">
        <v>16</v>
      </c>
      <c r="BS10" s="4">
        <v>0</v>
      </c>
      <c r="BT10" s="4">
        <v>28</v>
      </c>
      <c r="BU10" s="2">
        <v>57.142859999999999</v>
      </c>
      <c r="BV10" s="2">
        <v>13.257099999999999</v>
      </c>
      <c r="BW10" s="2">
        <v>5965.473</v>
      </c>
      <c r="BX10" s="3">
        <v>19.063610000000001</v>
      </c>
      <c r="BY10" s="3">
        <v>0.31956580000000001</v>
      </c>
      <c r="BZ10" s="2">
        <v>1.9348700000000001</v>
      </c>
      <c r="CA10" s="3">
        <v>0.31956580000000001</v>
      </c>
      <c r="CB10" s="3">
        <v>1.06978</v>
      </c>
      <c r="CC10" s="3">
        <v>1.1274709999999999</v>
      </c>
      <c r="CD10" s="2">
        <v>5.3927899999999998</v>
      </c>
      <c r="CE10" s="3">
        <v>15049.05</v>
      </c>
      <c r="CF10" s="3">
        <v>15369.82</v>
      </c>
      <c r="CG10" s="2">
        <v>2.13151</v>
      </c>
      <c r="CH10" s="3">
        <v>7.8113049999999999</v>
      </c>
      <c r="CI10" s="2">
        <v>10.928979999999999</v>
      </c>
      <c r="CJ10" s="3">
        <v>26907.77</v>
      </c>
      <c r="CK10" s="3">
        <v>27457.95</v>
      </c>
      <c r="CL10" s="2">
        <v>2.0446780000000002</v>
      </c>
      <c r="CM10" s="3">
        <v>6.0054509999999999</v>
      </c>
      <c r="CN10" s="3">
        <v>6.5220779999999996</v>
      </c>
      <c r="CO10" s="3">
        <v>6.4472310000000004</v>
      </c>
      <c r="CP10" s="2">
        <v>12.830819999999999</v>
      </c>
      <c r="CQ10" s="2">
        <v>3.893268</v>
      </c>
      <c r="CR10" s="2">
        <v>5.0993919999999999</v>
      </c>
      <c r="CS10" s="2">
        <v>8.6026310000000006</v>
      </c>
      <c r="CT10" s="2">
        <v>158.98079999999999</v>
      </c>
      <c r="CU10" s="3">
        <v>0.39330229999999999</v>
      </c>
      <c r="CV10" s="2">
        <v>3.5714290000000002</v>
      </c>
      <c r="CW10" s="2">
        <v>2.142163</v>
      </c>
      <c r="CX10" s="2">
        <v>2.2984490000000002</v>
      </c>
      <c r="CY10" s="2">
        <v>12.212120000000001</v>
      </c>
    </row>
    <row r="11" spans="1:103" ht="15" customHeight="1" x14ac:dyDescent="0.2">
      <c r="A11" s="1">
        <f t="shared" si="0"/>
        <v>5</v>
      </c>
      <c r="B11" s="1" t="s">
        <v>19</v>
      </c>
      <c r="C11" s="1" t="s">
        <v>18</v>
      </c>
      <c r="D11" s="1" t="s">
        <v>20</v>
      </c>
      <c r="E11" s="1" t="s">
        <v>21</v>
      </c>
      <c r="F11" s="2">
        <v>22343.62</v>
      </c>
      <c r="G11" s="2" t="e">
        <v>#N/A</v>
      </c>
      <c r="H11" s="2" t="e">
        <v>#N/A</v>
      </c>
      <c r="I11" s="3">
        <v>26.2</v>
      </c>
      <c r="J11" s="3">
        <v>0</v>
      </c>
      <c r="K11" s="2">
        <v>1.560481</v>
      </c>
      <c r="L11" s="2">
        <v>1.639767</v>
      </c>
      <c r="M11" s="2">
        <v>1.759477</v>
      </c>
      <c r="N11" s="2">
        <v>1.8219719999999999</v>
      </c>
      <c r="O11" s="2">
        <v>2.7697880000000001</v>
      </c>
      <c r="P11" s="2">
        <v>5.5906409999999997</v>
      </c>
      <c r="Q11" s="2">
        <v>5.9572370000000001</v>
      </c>
      <c r="R11" s="2">
        <v>5.5497519999999998</v>
      </c>
      <c r="S11" s="2">
        <v>1.7991600000000001</v>
      </c>
      <c r="T11" s="2">
        <v>3.419057</v>
      </c>
      <c r="U11" s="2">
        <v>3.3643329999999998</v>
      </c>
      <c r="V11" s="2">
        <v>3.2458040000000001</v>
      </c>
      <c r="W11" s="2">
        <v>0.46956910000000002</v>
      </c>
      <c r="X11" s="2">
        <v>0.4294153</v>
      </c>
      <c r="Y11" s="2">
        <v>0.4010531</v>
      </c>
      <c r="Z11" s="2">
        <v>0.34666000000000002</v>
      </c>
      <c r="AA11" s="2">
        <v>2.339286</v>
      </c>
      <c r="AB11" s="2">
        <v>3.5535559999999999</v>
      </c>
      <c r="AC11" s="2">
        <v>3.7075339999999999</v>
      </c>
      <c r="AD11" s="2">
        <v>3.1781999999999999</v>
      </c>
      <c r="AE11" s="2">
        <v>11.318960000000001</v>
      </c>
      <c r="AF11" s="2">
        <v>8.8492960000000007</v>
      </c>
      <c r="AG11" s="2">
        <v>10.64189</v>
      </c>
      <c r="AH11" s="2">
        <v>12.84873</v>
      </c>
      <c r="AI11" s="2">
        <v>9.7626650000000001</v>
      </c>
      <c r="AJ11" s="2">
        <v>11.777609999999999</v>
      </c>
      <c r="AK11" s="3" t="e">
        <v>#N/A</v>
      </c>
      <c r="AL11" s="3" t="e">
        <v>#N/A</v>
      </c>
      <c r="AM11" s="2">
        <v>17.73583</v>
      </c>
      <c r="AN11" s="2">
        <v>10.993980000000001</v>
      </c>
      <c r="AO11" s="2">
        <v>11.61042</v>
      </c>
      <c r="AP11" s="2">
        <v>12.0794</v>
      </c>
      <c r="AQ11" s="2">
        <v>0.1597297</v>
      </c>
      <c r="AR11" s="2">
        <v>0.40679340000000003</v>
      </c>
      <c r="AS11" s="2">
        <v>0.31453730000000002</v>
      </c>
      <c r="AT11" s="2">
        <v>0.31277529999999998</v>
      </c>
      <c r="AU11" s="1" t="s">
        <v>5</v>
      </c>
      <c r="AV11" s="3">
        <v>1.3333330000000001</v>
      </c>
      <c r="AW11" s="3">
        <v>35</v>
      </c>
      <c r="AX11" s="2">
        <v>33.587780000000002</v>
      </c>
      <c r="AY11" s="2">
        <v>7.6809659999999997</v>
      </c>
      <c r="AZ11" s="2">
        <v>-8.2694869999999998</v>
      </c>
      <c r="BA11" s="2">
        <v>1.0607599999999999</v>
      </c>
      <c r="BB11" s="2">
        <v>6.5473790000000003</v>
      </c>
      <c r="BC11" s="3">
        <v>19.420000000000002</v>
      </c>
      <c r="BD11" s="2">
        <v>34.912469999999999</v>
      </c>
      <c r="BE11" s="3">
        <v>30.5</v>
      </c>
      <c r="BF11" s="2">
        <v>-14.09836</v>
      </c>
      <c r="BG11" s="2">
        <v>4.3336629999999996</v>
      </c>
      <c r="BH11" s="2">
        <v>10.031370000000001</v>
      </c>
      <c r="BI11" s="2">
        <v>10.88913</v>
      </c>
      <c r="BJ11" s="2">
        <v>9.1987269999999999</v>
      </c>
      <c r="BK11" s="2">
        <v>11</v>
      </c>
      <c r="BL11" s="2">
        <v>11</v>
      </c>
      <c r="BM11" s="4">
        <v>15</v>
      </c>
      <c r="BN11" s="4">
        <v>2</v>
      </c>
      <c r="BO11" s="4">
        <v>1</v>
      </c>
      <c r="BP11" s="4">
        <v>15</v>
      </c>
      <c r="BQ11" s="2">
        <v>11.11111</v>
      </c>
      <c r="BR11" s="4">
        <v>10</v>
      </c>
      <c r="BS11" s="4">
        <v>0</v>
      </c>
      <c r="BT11" s="4">
        <v>15</v>
      </c>
      <c r="BU11" s="2">
        <v>66.666669999999996</v>
      </c>
      <c r="BV11" s="2">
        <v>12.430199999999999</v>
      </c>
      <c r="BW11" s="2">
        <v>852.8098</v>
      </c>
      <c r="BX11" s="3">
        <v>0.35027390000000003</v>
      </c>
      <c r="BY11" s="3">
        <v>4.1072930000000001E-2</v>
      </c>
      <c r="BZ11" s="2">
        <v>1.4839</v>
      </c>
      <c r="CA11" s="3">
        <v>4.1072930000000001E-2</v>
      </c>
      <c r="CB11" s="3">
        <v>3.228666</v>
      </c>
      <c r="CC11" s="3">
        <v>4.7231399999999999</v>
      </c>
      <c r="CD11" s="2">
        <v>46.287669999999999</v>
      </c>
      <c r="CE11" s="3">
        <v>3907.02</v>
      </c>
      <c r="CF11" s="3">
        <v>5160.9780000000001</v>
      </c>
      <c r="CG11" s="2">
        <v>32.094999999999999</v>
      </c>
      <c r="CH11" s="3">
        <v>34.831769999999999</v>
      </c>
      <c r="CI11" s="2">
        <v>0.48298839999999998</v>
      </c>
      <c r="CJ11" s="3">
        <v>62501.42</v>
      </c>
      <c r="CK11" s="3">
        <v>66496.86</v>
      </c>
      <c r="CL11" s="2">
        <v>6.3925619999999999</v>
      </c>
      <c r="CM11" s="3">
        <v>25.375119999999999</v>
      </c>
      <c r="CN11" s="3">
        <v>25.24794</v>
      </c>
      <c r="CO11" s="3">
        <v>24.60519</v>
      </c>
      <c r="CP11" s="2">
        <v>3.2507419999999998</v>
      </c>
      <c r="CQ11" s="2">
        <v>3.7708279999999998</v>
      </c>
      <c r="CR11" s="2">
        <v>6.4815880000000003</v>
      </c>
      <c r="CS11" s="2">
        <v>-0.50119159999999996</v>
      </c>
      <c r="CT11" s="2">
        <v>5.9717120000000001</v>
      </c>
      <c r="CU11" s="3">
        <v>2.6726699999999999E-2</v>
      </c>
      <c r="CV11" s="2">
        <v>59.71199</v>
      </c>
      <c r="CW11" s="2">
        <v>5.6130190000000004</v>
      </c>
      <c r="CX11" s="2">
        <v>20.07375</v>
      </c>
      <c r="CY11" s="2">
        <v>14.28421</v>
      </c>
    </row>
    <row r="12" spans="1:103" ht="15" customHeight="1" x14ac:dyDescent="0.2">
      <c r="A12" s="1">
        <f t="shared" si="0"/>
        <v>6</v>
      </c>
      <c r="B12" s="1" t="s">
        <v>23</v>
      </c>
      <c r="C12" s="1" t="s">
        <v>22</v>
      </c>
      <c r="D12" s="1" t="s">
        <v>3</v>
      </c>
      <c r="E12" s="1" t="s">
        <v>24</v>
      </c>
      <c r="F12" s="2">
        <v>3233.79</v>
      </c>
      <c r="G12" s="2">
        <v>43.956699999999998</v>
      </c>
      <c r="H12" s="2">
        <v>1421.4670000000001</v>
      </c>
      <c r="I12" s="3">
        <v>24.36</v>
      </c>
      <c r="J12" s="3">
        <v>0</v>
      </c>
      <c r="K12" s="2">
        <v>5.6650239999999998</v>
      </c>
      <c r="L12" s="2">
        <v>7.307061</v>
      </c>
      <c r="M12" s="2">
        <v>7.6528900000000002</v>
      </c>
      <c r="N12" s="2">
        <v>7.7175700000000003</v>
      </c>
      <c r="O12" s="2">
        <v>13.60894</v>
      </c>
      <c r="P12" s="2">
        <v>10.454940000000001</v>
      </c>
      <c r="Q12" s="2">
        <v>10.28214</v>
      </c>
      <c r="R12" s="2">
        <v>10.235290000000001</v>
      </c>
      <c r="S12" s="2">
        <v>1.993212</v>
      </c>
      <c r="T12" s="2">
        <v>1.8960129999999999</v>
      </c>
      <c r="U12" s="2">
        <v>1.9528669999999999</v>
      </c>
      <c r="V12" s="2">
        <v>1.645337</v>
      </c>
      <c r="W12" s="2">
        <v>5.7588650000000001</v>
      </c>
      <c r="X12" s="2">
        <v>5.1571410000000002</v>
      </c>
      <c r="Y12" s="2">
        <v>4.9208759999999998</v>
      </c>
      <c r="Z12" s="2">
        <v>4.7764709999999999</v>
      </c>
      <c r="AA12" s="2">
        <v>9.4601950000000006</v>
      </c>
      <c r="AB12" s="2">
        <v>8.4899730000000009</v>
      </c>
      <c r="AC12" s="2">
        <v>8.2739010000000004</v>
      </c>
      <c r="AD12" s="2">
        <v>8.0131580000000007</v>
      </c>
      <c r="AE12" s="2">
        <v>17.322959999999998</v>
      </c>
      <c r="AF12" s="2">
        <v>35.267650000000003</v>
      </c>
      <c r="AG12" s="2">
        <v>42.476399999999998</v>
      </c>
      <c r="AH12" s="2">
        <v>4.6111310000000003</v>
      </c>
      <c r="AI12" s="2">
        <v>9.5840650000000007</v>
      </c>
      <c r="AJ12" s="2">
        <v>9.9405699999999992</v>
      </c>
      <c r="AK12" s="3">
        <v>3.462685</v>
      </c>
      <c r="AL12" s="3">
        <v>3.3917139999999999</v>
      </c>
      <c r="AM12" s="2">
        <v>31.012139999999999</v>
      </c>
      <c r="AN12" s="2">
        <v>28.195029999999999</v>
      </c>
      <c r="AO12" s="2">
        <v>27.010809999999999</v>
      </c>
      <c r="AP12" s="2">
        <v>26.72635</v>
      </c>
      <c r="AQ12" s="2">
        <v>-6.1866839999999996</v>
      </c>
      <c r="AR12" s="2">
        <v>-5.2268720000000002</v>
      </c>
      <c r="AS12" s="2">
        <v>-5.233333</v>
      </c>
      <c r="AT12" s="2">
        <v>-5.3852450000000003</v>
      </c>
      <c r="AU12" s="1" t="s">
        <v>5</v>
      </c>
      <c r="AV12" s="3">
        <v>1.125</v>
      </c>
      <c r="AW12" s="3">
        <v>29.2</v>
      </c>
      <c r="AX12" s="2">
        <v>19.868639999999999</v>
      </c>
      <c r="AY12" s="2">
        <v>49.32732</v>
      </c>
      <c r="AZ12" s="2">
        <v>3.15</v>
      </c>
      <c r="BA12" s="2">
        <v>37.239440000000002</v>
      </c>
      <c r="BB12" s="2">
        <v>3.2203439999999999</v>
      </c>
      <c r="BC12" s="3">
        <v>17.510000000000002</v>
      </c>
      <c r="BD12" s="2">
        <v>39.120510000000003</v>
      </c>
      <c r="BE12" s="3">
        <v>25.54</v>
      </c>
      <c r="BF12" s="2">
        <v>-4.6202059999999996</v>
      </c>
      <c r="BG12" s="2">
        <v>77.257040000000003</v>
      </c>
      <c r="BH12" s="2">
        <v>76.72466</v>
      </c>
      <c r="BI12" s="2">
        <v>81.883330000000001</v>
      </c>
      <c r="BJ12" s="2">
        <v>80.880660000000006</v>
      </c>
      <c r="BK12" s="2">
        <v>10</v>
      </c>
      <c r="BL12" s="2">
        <v>9</v>
      </c>
      <c r="BM12" s="4">
        <v>12</v>
      </c>
      <c r="BN12" s="4">
        <v>0</v>
      </c>
      <c r="BO12" s="4">
        <v>0</v>
      </c>
      <c r="BP12" s="4">
        <v>12</v>
      </c>
      <c r="BQ12" s="2">
        <v>0</v>
      </c>
      <c r="BR12" s="4">
        <v>11</v>
      </c>
      <c r="BS12" s="4">
        <v>0</v>
      </c>
      <c r="BT12" s="4">
        <v>12</v>
      </c>
      <c r="BU12" s="2">
        <v>91.666669999999996</v>
      </c>
      <c r="BV12" s="2">
        <v>5.3651299999999997</v>
      </c>
      <c r="BW12" s="2">
        <v>132.75</v>
      </c>
      <c r="BX12" s="3">
        <v>0.22336819999999999</v>
      </c>
      <c r="BY12" s="3">
        <v>0.1682623</v>
      </c>
      <c r="BZ12" s="2">
        <v>0.45642899999999997</v>
      </c>
      <c r="CA12" s="3">
        <v>0.1682623</v>
      </c>
      <c r="CB12" s="3">
        <v>2.063164</v>
      </c>
      <c r="CC12" s="3">
        <v>2.2333340000000002</v>
      </c>
      <c r="CD12" s="2">
        <v>8.2480189999999993</v>
      </c>
      <c r="CE12" s="3">
        <v>326.13679999999999</v>
      </c>
      <c r="CF12" s="3">
        <v>350.14690000000002</v>
      </c>
      <c r="CG12" s="2">
        <v>7.3619839999999996</v>
      </c>
      <c r="CH12" s="3">
        <v>28.268000000000001</v>
      </c>
      <c r="CI12" s="2">
        <v>3.2970190000000001</v>
      </c>
      <c r="CJ12" s="3">
        <v>1553.7360000000001</v>
      </c>
      <c r="CK12" s="3">
        <v>1630.5450000000001</v>
      </c>
      <c r="CL12" s="2">
        <v>4.9435019999999996</v>
      </c>
      <c r="CM12" s="3">
        <v>22.64423</v>
      </c>
      <c r="CN12" s="3">
        <v>23.707840000000001</v>
      </c>
      <c r="CO12" s="3">
        <v>23.635390000000001</v>
      </c>
      <c r="CP12" s="2">
        <v>7.5770739999999996</v>
      </c>
      <c r="CQ12" s="2">
        <v>2.7508140000000001</v>
      </c>
      <c r="CR12" s="2">
        <v>3.065801</v>
      </c>
      <c r="CS12" s="2">
        <v>4.6970489999999998</v>
      </c>
      <c r="CT12" s="2">
        <v>4.4823310000000003</v>
      </c>
      <c r="CU12" s="3">
        <v>0.13860919999999999</v>
      </c>
      <c r="CV12" s="2" t="e">
        <v>#N/A</v>
      </c>
      <c r="CW12" s="2">
        <v>9.6211859999999998</v>
      </c>
      <c r="CX12" s="2">
        <v>6.9114469999999999</v>
      </c>
      <c r="CY12" s="2">
        <v>14.37374</v>
      </c>
    </row>
    <row r="13" spans="1:103" ht="15" customHeight="1" x14ac:dyDescent="0.2">
      <c r="A13" s="1">
        <f t="shared" si="0"/>
        <v>7</v>
      </c>
      <c r="B13" s="1" t="s">
        <v>26</v>
      </c>
      <c r="C13" s="1" t="s">
        <v>25</v>
      </c>
      <c r="D13" s="1" t="s">
        <v>27</v>
      </c>
      <c r="E13" s="1" t="s">
        <v>28</v>
      </c>
      <c r="F13" s="2">
        <v>2068.1060000000002</v>
      </c>
      <c r="G13" s="2">
        <v>72.056899999999999</v>
      </c>
      <c r="H13" s="2">
        <v>1490.213</v>
      </c>
      <c r="I13" s="3">
        <v>3.1019999999999999</v>
      </c>
      <c r="J13" s="3">
        <v>0</v>
      </c>
      <c r="K13" s="2">
        <v>3.7072859999999999</v>
      </c>
      <c r="L13" s="2">
        <v>4.0872820000000001</v>
      </c>
      <c r="M13" s="2">
        <v>4.4403930000000003</v>
      </c>
      <c r="N13" s="2">
        <v>4.8355899999999998</v>
      </c>
      <c r="O13" s="2">
        <v>18.247060000000001</v>
      </c>
      <c r="P13" s="2">
        <v>13.595549999999999</v>
      </c>
      <c r="Q13" s="2">
        <v>12.407999999999999</v>
      </c>
      <c r="R13" s="2">
        <v>10.884209999999999</v>
      </c>
      <c r="S13" s="2">
        <v>6.1178530000000002</v>
      </c>
      <c r="T13" s="2">
        <v>6.8512760000000004</v>
      </c>
      <c r="U13" s="2">
        <v>6.9482350000000004</v>
      </c>
      <c r="V13" s="2">
        <v>6.7419820000000001</v>
      </c>
      <c r="W13" s="2">
        <v>3.7606329999999999</v>
      </c>
      <c r="X13" s="2">
        <v>2.7481520000000002</v>
      </c>
      <c r="Y13" s="2">
        <v>2.2557070000000001</v>
      </c>
      <c r="Z13" s="2">
        <v>1.6031010000000001</v>
      </c>
      <c r="AA13" s="2">
        <v>15.79083</v>
      </c>
      <c r="AB13" s="2">
        <v>10.879440000000001</v>
      </c>
      <c r="AC13" s="2">
        <v>11.53177</v>
      </c>
      <c r="AD13" s="2">
        <v>4.4548909999999999</v>
      </c>
      <c r="AE13" s="2">
        <v>1.018267</v>
      </c>
      <c r="AF13" s="2">
        <v>0.34468529999999997</v>
      </c>
      <c r="AG13" s="2">
        <v>1.3826050000000001</v>
      </c>
      <c r="AH13" s="2">
        <v>5.0094139999999996</v>
      </c>
      <c r="AI13" s="2">
        <v>1.750394</v>
      </c>
      <c r="AJ13" s="2">
        <v>7.1079530000000002</v>
      </c>
      <c r="AK13" s="3" t="e">
        <v>#N/A</v>
      </c>
      <c r="AL13" s="3" t="e">
        <v>#N/A</v>
      </c>
      <c r="AM13" s="2">
        <v>25.666440000000001</v>
      </c>
      <c r="AN13" s="2">
        <v>26.06635</v>
      </c>
      <c r="AO13" s="2">
        <v>26.277999999999999</v>
      </c>
      <c r="AP13" s="2">
        <v>26.460619999999999</v>
      </c>
      <c r="AQ13" s="2">
        <v>4.9866840000000003</v>
      </c>
      <c r="AR13" s="2">
        <v>5.4586119999999996</v>
      </c>
      <c r="AS13" s="2">
        <v>5.5799979999999998</v>
      </c>
      <c r="AT13" s="2">
        <v>5.4305640000000004</v>
      </c>
      <c r="AU13" s="1" t="s">
        <v>5</v>
      </c>
      <c r="AV13" s="3">
        <v>1.0909089999999999</v>
      </c>
      <c r="AW13" s="3">
        <v>3.7</v>
      </c>
      <c r="AX13" s="2">
        <v>19.27788</v>
      </c>
      <c r="AY13" s="2">
        <v>20.213609999999999</v>
      </c>
      <c r="AZ13" s="2" t="e">
        <v>#N/A</v>
      </c>
      <c r="BA13" s="2">
        <v>27.44453</v>
      </c>
      <c r="BB13" s="2">
        <v>19.307700000000001</v>
      </c>
      <c r="BC13" s="3">
        <v>2.0499999999999998</v>
      </c>
      <c r="BD13" s="2">
        <v>51.317070000000001</v>
      </c>
      <c r="BE13" s="3">
        <v>3.1619999999999999</v>
      </c>
      <c r="BF13" s="2">
        <v>-1.897532</v>
      </c>
      <c r="BG13" s="2">
        <v>69.655519999999996</v>
      </c>
      <c r="BH13" s="2">
        <v>54.394590000000001</v>
      </c>
      <c r="BI13" s="2">
        <v>53.094749999999998</v>
      </c>
      <c r="BJ13" s="2">
        <v>51.296750000000003</v>
      </c>
      <c r="BK13" s="2">
        <v>9</v>
      </c>
      <c r="BL13" s="2">
        <v>9</v>
      </c>
      <c r="BM13" s="4">
        <v>11</v>
      </c>
      <c r="BN13" s="4">
        <v>1</v>
      </c>
      <c r="BO13" s="4">
        <v>0</v>
      </c>
      <c r="BP13" s="4">
        <v>10</v>
      </c>
      <c r="BQ13" s="2">
        <v>9.0909089999999999</v>
      </c>
      <c r="BR13" s="4">
        <v>10</v>
      </c>
      <c r="BS13" s="4">
        <v>0</v>
      </c>
      <c r="BT13" s="4">
        <v>11</v>
      </c>
      <c r="BU13" s="2">
        <v>90.909099999999995</v>
      </c>
      <c r="BV13" s="2">
        <v>10.015499999999999</v>
      </c>
      <c r="BW13" s="2">
        <v>666.70079999999996</v>
      </c>
      <c r="BX13" s="3">
        <v>2.3012600000000001</v>
      </c>
      <c r="BY13" s="3">
        <v>0.34517120000000001</v>
      </c>
      <c r="BZ13" s="2">
        <v>1.3618399999999999</v>
      </c>
      <c r="CA13" s="3">
        <v>0.34517120000000001</v>
      </c>
      <c r="CB13" s="3">
        <v>0.2395429</v>
      </c>
      <c r="CC13" s="3">
        <v>0.229245</v>
      </c>
      <c r="CD13" s="2">
        <v>-4.2989790000000001</v>
      </c>
      <c r="CE13" s="3">
        <v>1037.6310000000001</v>
      </c>
      <c r="CF13" s="3">
        <v>1178.087</v>
      </c>
      <c r="CG13" s="2">
        <v>13.536160000000001</v>
      </c>
      <c r="CH13" s="3">
        <v>3.5062500000000001</v>
      </c>
      <c r="CI13" s="2">
        <v>5.5258510000000003</v>
      </c>
      <c r="CJ13" s="3">
        <v>5535.2079999999996</v>
      </c>
      <c r="CK13" s="3">
        <v>5638.7619999999997</v>
      </c>
      <c r="CL13" s="2">
        <v>1.8708229999999999</v>
      </c>
      <c r="CM13" s="3">
        <v>2.7114229999999999</v>
      </c>
      <c r="CN13" s="3">
        <v>2.9689019999999999</v>
      </c>
      <c r="CO13" s="3">
        <v>2.9457689999999999</v>
      </c>
      <c r="CP13" s="2">
        <v>14.404870000000001</v>
      </c>
      <c r="CQ13" s="2">
        <v>4.4830800000000002</v>
      </c>
      <c r="CR13" s="2">
        <v>5.3035740000000002</v>
      </c>
      <c r="CS13" s="2">
        <v>9.4960690000000003</v>
      </c>
      <c r="CT13" s="2">
        <v>5.6321940000000001</v>
      </c>
      <c r="CU13" s="3">
        <v>0.27233590000000002</v>
      </c>
      <c r="CV13" s="2" t="e">
        <v>#N/A</v>
      </c>
      <c r="CW13" s="2" t="e">
        <v>#N/A</v>
      </c>
      <c r="CX13" s="2" t="e">
        <v>#N/A</v>
      </c>
      <c r="CY13" s="2">
        <v>14.717169999999999</v>
      </c>
    </row>
    <row r="14" spans="1:103" ht="15" customHeight="1" x14ac:dyDescent="0.2">
      <c r="A14" s="1">
        <f t="shared" si="0"/>
        <v>8</v>
      </c>
      <c r="B14" s="1" t="s">
        <v>30</v>
      </c>
      <c r="C14" s="1" t="s">
        <v>29</v>
      </c>
      <c r="D14" s="1" t="s">
        <v>31</v>
      </c>
      <c r="E14" s="1" t="s">
        <v>32</v>
      </c>
      <c r="F14" s="2">
        <v>2043.8910000000001</v>
      </c>
      <c r="G14" s="2">
        <v>66.284000000000006</v>
      </c>
      <c r="H14" s="2">
        <v>1354.7729999999999</v>
      </c>
      <c r="I14" s="3">
        <v>11.57</v>
      </c>
      <c r="J14" s="3">
        <v>0</v>
      </c>
      <c r="K14" s="2">
        <v>2.1607609999999999</v>
      </c>
      <c r="L14" s="2">
        <v>2.355229</v>
      </c>
      <c r="M14" s="2">
        <v>2.808989</v>
      </c>
      <c r="N14" s="2">
        <v>3.0594209999999999</v>
      </c>
      <c r="O14" s="2">
        <v>12.855560000000001</v>
      </c>
      <c r="P14" s="2">
        <v>9.8660750000000004</v>
      </c>
      <c r="Q14" s="2">
        <v>9.0364740000000001</v>
      </c>
      <c r="R14" s="2">
        <v>8.476191</v>
      </c>
      <c r="S14" s="2">
        <v>4.8073180000000004</v>
      </c>
      <c r="T14" s="2">
        <v>4.4283720000000004</v>
      </c>
      <c r="U14" s="2">
        <v>3.8308740000000001</v>
      </c>
      <c r="V14" s="2">
        <v>3.2463820000000001</v>
      </c>
      <c r="W14" s="2">
        <v>2.0971289999999998</v>
      </c>
      <c r="X14" s="2">
        <v>1.802181</v>
      </c>
      <c r="Y14" s="2">
        <v>1.5872230000000001</v>
      </c>
      <c r="Z14" s="2">
        <v>1.414425</v>
      </c>
      <c r="AA14" s="2">
        <v>7.0291560000000004</v>
      </c>
      <c r="AB14" s="2">
        <v>7.1574679999999997</v>
      </c>
      <c r="AC14" s="2">
        <v>6.580101</v>
      </c>
      <c r="AD14" s="2">
        <v>6.427778</v>
      </c>
      <c r="AE14" s="2">
        <v>10.91938</v>
      </c>
      <c r="AF14" s="2">
        <v>13.23982</v>
      </c>
      <c r="AG14" s="2">
        <v>16.442799999999998</v>
      </c>
      <c r="AH14" s="2">
        <v>10.33564</v>
      </c>
      <c r="AI14" s="2">
        <v>11.476089999999999</v>
      </c>
      <c r="AJ14" s="2">
        <v>12.77435</v>
      </c>
      <c r="AK14" s="3" t="e">
        <v>#N/A</v>
      </c>
      <c r="AL14" s="3" t="e">
        <v>#N/A</v>
      </c>
      <c r="AM14" s="2">
        <v>10.3947</v>
      </c>
      <c r="AN14" s="2">
        <v>10.74184</v>
      </c>
      <c r="AO14" s="2">
        <v>10.875970000000001</v>
      </c>
      <c r="AP14" s="2">
        <v>10.947319999999999</v>
      </c>
      <c r="AQ14" s="2">
        <v>0.1074194</v>
      </c>
      <c r="AR14" s="2">
        <v>-0.25010949999999998</v>
      </c>
      <c r="AS14" s="2">
        <v>-0.58875560000000005</v>
      </c>
      <c r="AT14" s="2">
        <v>-0.9322743</v>
      </c>
      <c r="AU14" s="1" t="s">
        <v>5</v>
      </c>
      <c r="AV14" s="3">
        <v>1.4666669999999999</v>
      </c>
      <c r="AW14" s="3">
        <v>14.500489999999999</v>
      </c>
      <c r="AX14" s="2">
        <v>25.32835</v>
      </c>
      <c r="AY14" s="2">
        <v>18.266439999999999</v>
      </c>
      <c r="AZ14" s="2" t="e">
        <v>#N/A</v>
      </c>
      <c r="BA14" s="2">
        <v>11.25</v>
      </c>
      <c r="BB14" s="2">
        <v>8.6385009999999998</v>
      </c>
      <c r="BC14" s="3">
        <v>7.5149999999999997</v>
      </c>
      <c r="BD14" s="2">
        <v>53.958750000000002</v>
      </c>
      <c r="BE14" s="3">
        <v>12.8</v>
      </c>
      <c r="BF14" s="2">
        <v>-9.6093770000000003</v>
      </c>
      <c r="BG14" s="2">
        <v>24.33531</v>
      </c>
      <c r="BH14" s="2">
        <v>26.859010000000001</v>
      </c>
      <c r="BI14" s="2">
        <v>29.601590000000002</v>
      </c>
      <c r="BJ14" s="2">
        <v>30.65924</v>
      </c>
      <c r="BK14" s="2">
        <v>14</v>
      </c>
      <c r="BL14" s="2">
        <v>14</v>
      </c>
      <c r="BM14" s="4">
        <v>15</v>
      </c>
      <c r="BN14" s="4">
        <v>1</v>
      </c>
      <c r="BO14" s="4">
        <v>1</v>
      </c>
      <c r="BP14" s="4">
        <v>14</v>
      </c>
      <c r="BQ14" s="2">
        <v>6.25</v>
      </c>
      <c r="BR14" s="4">
        <v>9</v>
      </c>
      <c r="BS14" s="4">
        <v>1</v>
      </c>
      <c r="BT14" s="4">
        <v>15</v>
      </c>
      <c r="BU14" s="2">
        <v>60</v>
      </c>
      <c r="BV14" s="2">
        <v>9.5965100000000003</v>
      </c>
      <c r="BW14" s="2">
        <v>176.65440000000001</v>
      </c>
      <c r="BX14" s="3">
        <v>0.68510179999999998</v>
      </c>
      <c r="BY14" s="3">
        <v>0.38782040000000001</v>
      </c>
      <c r="BZ14" s="2">
        <v>0.85267400000000004</v>
      </c>
      <c r="CA14" s="3">
        <v>0.38782040000000001</v>
      </c>
      <c r="CB14" s="3">
        <v>1.09795</v>
      </c>
      <c r="CC14" s="3">
        <v>1.1632169999999999</v>
      </c>
      <c r="CD14" s="2">
        <v>5.9444670000000004</v>
      </c>
      <c r="CE14" s="3">
        <v>317.52710000000002</v>
      </c>
      <c r="CF14" s="3">
        <v>330.33580000000001</v>
      </c>
      <c r="CG14" s="2">
        <v>4.0338640000000003</v>
      </c>
      <c r="CH14" s="3">
        <v>13.422000000000001</v>
      </c>
      <c r="CI14" s="2">
        <v>8.0352309999999996</v>
      </c>
      <c r="CJ14" s="3">
        <v>3929.2689999999998</v>
      </c>
      <c r="CK14" s="3">
        <v>4054.395</v>
      </c>
      <c r="CL14" s="2">
        <v>3.18445</v>
      </c>
      <c r="CM14" s="3">
        <v>10.654999999999999</v>
      </c>
      <c r="CN14" s="3">
        <v>11.99823</v>
      </c>
      <c r="CO14" s="3">
        <v>11.643459999999999</v>
      </c>
      <c r="CP14" s="2">
        <v>8.5875400000000006</v>
      </c>
      <c r="CQ14" s="2">
        <v>-3.56915</v>
      </c>
      <c r="CR14" s="2">
        <v>-0.63093900000000003</v>
      </c>
      <c r="CS14" s="2">
        <v>12.606629999999999</v>
      </c>
      <c r="CT14" s="2">
        <v>7.6552689999999997</v>
      </c>
      <c r="CU14" s="3">
        <v>0.37454379999999998</v>
      </c>
      <c r="CV14" s="2">
        <v>2.234575</v>
      </c>
      <c r="CW14" s="2">
        <v>2.2706140000000001</v>
      </c>
      <c r="CX14" s="2">
        <v>-2.5</v>
      </c>
      <c r="CY14" s="2">
        <v>14.84848</v>
      </c>
    </row>
    <row r="15" spans="1:103" ht="15" customHeight="1" x14ac:dyDescent="0.2">
      <c r="A15" s="1">
        <f t="shared" si="0"/>
        <v>9</v>
      </c>
      <c r="B15" s="1" t="s">
        <v>34</v>
      </c>
      <c r="C15" s="1" t="s">
        <v>33</v>
      </c>
      <c r="D15" s="1" t="s">
        <v>20</v>
      </c>
      <c r="E15" s="1" t="s">
        <v>21</v>
      </c>
      <c r="F15" s="2">
        <v>2662.1750000000002</v>
      </c>
      <c r="G15" s="2">
        <v>68.587000000000003</v>
      </c>
      <c r="H15" s="2">
        <v>1825.9059999999999</v>
      </c>
      <c r="I15" s="3">
        <v>10.25</v>
      </c>
      <c r="J15" s="3">
        <v>0</v>
      </c>
      <c r="K15" s="2">
        <v>5.8536590000000004</v>
      </c>
      <c r="L15" s="2">
        <v>5.8536590000000004</v>
      </c>
      <c r="M15" s="2">
        <v>5.8536590000000004</v>
      </c>
      <c r="N15" s="2">
        <v>5.8536590000000004</v>
      </c>
      <c r="O15" s="2">
        <v>4.78972</v>
      </c>
      <c r="P15" s="2">
        <v>6.1378750000000002</v>
      </c>
      <c r="Q15" s="2">
        <v>7.3658029999999997</v>
      </c>
      <c r="R15" s="2">
        <v>7.3214290000000002</v>
      </c>
      <c r="S15" s="2">
        <v>2.225997</v>
      </c>
      <c r="T15" s="2">
        <v>3.682261</v>
      </c>
      <c r="U15" s="2">
        <v>3.7445650000000001</v>
      </c>
      <c r="V15" s="2">
        <v>3.6359430000000001</v>
      </c>
      <c r="W15" s="2">
        <v>1.0755509999999999</v>
      </c>
      <c r="X15" s="2">
        <v>0.9898517</v>
      </c>
      <c r="Y15" s="2">
        <v>0.94296230000000003</v>
      </c>
      <c r="Z15" s="2">
        <v>0.8913044</v>
      </c>
      <c r="AA15" s="2">
        <v>2.751865</v>
      </c>
      <c r="AB15" s="2">
        <v>4.3159530000000004</v>
      </c>
      <c r="AC15" s="2">
        <v>5.1078320000000001</v>
      </c>
      <c r="AD15" s="2">
        <v>4.0196079999999998</v>
      </c>
      <c r="AE15" s="2">
        <v>16.038740000000001</v>
      </c>
      <c r="AF15" s="2">
        <v>17.875540000000001</v>
      </c>
      <c r="AG15" s="2">
        <v>16.259309999999999</v>
      </c>
      <c r="AH15" s="2">
        <v>17.59226</v>
      </c>
      <c r="AI15" s="2">
        <v>17.700959999999998</v>
      </c>
      <c r="AJ15" s="2">
        <v>14.81183</v>
      </c>
      <c r="AK15" s="3" t="e">
        <v>#N/A</v>
      </c>
      <c r="AL15" s="3" t="e">
        <v>#N/A</v>
      </c>
      <c r="AM15" s="2">
        <v>14.686920000000001</v>
      </c>
      <c r="AN15" s="2">
        <v>10.950010000000001</v>
      </c>
      <c r="AO15" s="2">
        <v>9.5978180000000002</v>
      </c>
      <c r="AP15" s="2">
        <v>8.8929670000000005</v>
      </c>
      <c r="AQ15" s="2">
        <v>0.34482760000000001</v>
      </c>
      <c r="AR15" s="2">
        <v>0.32516929999999999</v>
      </c>
      <c r="AS15" s="2">
        <v>-3.6931819999999997E-2</v>
      </c>
      <c r="AT15" s="2">
        <v>-0.35532229999999998</v>
      </c>
      <c r="AU15" s="1" t="s">
        <v>5</v>
      </c>
      <c r="AV15" s="3">
        <v>1.25</v>
      </c>
      <c r="AW15" s="3">
        <v>12.9</v>
      </c>
      <c r="AX15" s="2">
        <v>25.853660000000001</v>
      </c>
      <c r="AY15" s="2">
        <v>16.126950000000001</v>
      </c>
      <c r="AZ15" s="2">
        <v>-12.242150000000001</v>
      </c>
      <c r="BA15" s="2">
        <v>-1.489663</v>
      </c>
      <c r="BB15" s="2">
        <v>10.90673</v>
      </c>
      <c r="BC15" s="3">
        <v>7.9379999999999997</v>
      </c>
      <c r="BD15" s="2">
        <v>29.125730000000001</v>
      </c>
      <c r="BE15" s="3">
        <v>10.82</v>
      </c>
      <c r="BF15" s="2">
        <v>-5.2680199999999999</v>
      </c>
      <c r="BG15" s="2">
        <v>29.293669999999999</v>
      </c>
      <c r="BH15" s="2">
        <v>35.919780000000003</v>
      </c>
      <c r="BI15" s="2">
        <v>42.54786</v>
      </c>
      <c r="BJ15" s="2">
        <v>41.55039</v>
      </c>
      <c r="BK15" s="2">
        <v>16</v>
      </c>
      <c r="BL15" s="2">
        <v>16</v>
      </c>
      <c r="BM15" s="4">
        <v>18</v>
      </c>
      <c r="BN15" s="4">
        <v>1</v>
      </c>
      <c r="BO15" s="4">
        <v>1</v>
      </c>
      <c r="BP15" s="4">
        <v>17</v>
      </c>
      <c r="BQ15" s="2">
        <v>5.2631579999999998</v>
      </c>
      <c r="BR15" s="4">
        <v>15</v>
      </c>
      <c r="BS15" s="4">
        <v>1</v>
      </c>
      <c r="BT15" s="4">
        <v>18</v>
      </c>
      <c r="BU15" s="2">
        <v>83.333330000000004</v>
      </c>
      <c r="BV15" s="2">
        <v>9.9363899999999994</v>
      </c>
      <c r="BW15" s="2">
        <v>259.7244</v>
      </c>
      <c r="BX15" s="3">
        <v>1.0447740000000001</v>
      </c>
      <c r="BY15" s="3">
        <v>0.40226260000000003</v>
      </c>
      <c r="BZ15" s="2">
        <v>1.27206</v>
      </c>
      <c r="CA15" s="3">
        <v>0.40226260000000003</v>
      </c>
      <c r="CB15" s="3">
        <v>1.218021</v>
      </c>
      <c r="CC15" s="3">
        <v>1.6288130000000001</v>
      </c>
      <c r="CD15" s="2">
        <v>33.726120000000002</v>
      </c>
      <c r="CE15" s="3">
        <v>445.50450000000001</v>
      </c>
      <c r="CF15" s="3">
        <v>586.2106</v>
      </c>
      <c r="CG15" s="2">
        <v>31.583539999999999</v>
      </c>
      <c r="CH15" s="3">
        <v>12.73</v>
      </c>
      <c r="CI15" s="2">
        <v>1.3354299999999999</v>
      </c>
      <c r="CJ15" s="3">
        <v>7275.7969999999996</v>
      </c>
      <c r="CK15" s="3">
        <v>7028.1949999999997</v>
      </c>
      <c r="CL15" s="2">
        <v>-3.4030969999999998</v>
      </c>
      <c r="CM15" s="3">
        <v>9.4080960000000005</v>
      </c>
      <c r="CN15" s="3">
        <v>9.7074309999999997</v>
      </c>
      <c r="CO15" s="3">
        <v>9.9266529999999999</v>
      </c>
      <c r="CP15" s="2">
        <v>8.9487190000000005</v>
      </c>
      <c r="CQ15" s="2">
        <v>5.5892109999999997</v>
      </c>
      <c r="CR15" s="2">
        <v>3.257358</v>
      </c>
      <c r="CS15" s="2">
        <v>3.1816719999999998</v>
      </c>
      <c r="CT15" s="2">
        <v>7.2658620000000003</v>
      </c>
      <c r="CU15" s="3">
        <v>0.27292949999999999</v>
      </c>
      <c r="CV15" s="2">
        <v>62.5</v>
      </c>
      <c r="CW15" s="2">
        <v>-0.64120440000000001</v>
      </c>
      <c r="CX15" s="2">
        <v>44.536209999999997</v>
      </c>
      <c r="CY15" s="2">
        <v>14.868690000000001</v>
      </c>
    </row>
    <row r="16" spans="1:103" ht="15" customHeight="1" x14ac:dyDescent="0.2">
      <c r="A16" s="1">
        <f t="shared" si="0"/>
        <v>10</v>
      </c>
      <c r="B16" s="1" t="s">
        <v>36</v>
      </c>
      <c r="C16" s="1" t="s">
        <v>35</v>
      </c>
      <c r="D16" s="1" t="s">
        <v>15</v>
      </c>
      <c r="E16" s="1" t="s">
        <v>16</v>
      </c>
      <c r="F16" s="2">
        <v>53475.49</v>
      </c>
      <c r="G16" s="2">
        <v>98.061400000000006</v>
      </c>
      <c r="H16" s="2">
        <v>52438.82</v>
      </c>
      <c r="I16" s="3">
        <v>3.25</v>
      </c>
      <c r="J16" s="3">
        <v>0</v>
      </c>
      <c r="K16" s="2">
        <v>3.3846150000000002</v>
      </c>
      <c r="L16" s="2">
        <v>4.6153849999999998</v>
      </c>
      <c r="M16" s="2">
        <v>5.538462</v>
      </c>
      <c r="N16" s="2">
        <v>6.461538</v>
      </c>
      <c r="O16" s="2">
        <v>6.0296849999999997</v>
      </c>
      <c r="P16" s="2">
        <v>5.5430200000000003</v>
      </c>
      <c r="Q16" s="2">
        <v>5.1363490000000001</v>
      </c>
      <c r="R16" s="2">
        <v>4.7101449999999998</v>
      </c>
      <c r="S16" s="2" t="e">
        <v>#N/A</v>
      </c>
      <c r="T16" s="2" t="e">
        <v>#N/A</v>
      </c>
      <c r="U16" s="2" t="e">
        <v>#N/A</v>
      </c>
      <c r="V16" s="2" t="e">
        <v>#N/A</v>
      </c>
      <c r="W16" s="2">
        <v>0.60408919999999999</v>
      </c>
      <c r="X16" s="2">
        <v>0.56082829999999995</v>
      </c>
      <c r="Y16" s="2">
        <v>0.51628269999999998</v>
      </c>
      <c r="Z16" s="2">
        <v>0.48005910000000002</v>
      </c>
      <c r="AA16" s="2" t="e">
        <v>#N/A</v>
      </c>
      <c r="AB16" s="2" t="e">
        <v>#N/A</v>
      </c>
      <c r="AC16" s="2" t="e">
        <v>#N/A</v>
      </c>
      <c r="AD16" s="2" t="e">
        <v>#N/A</v>
      </c>
      <c r="AE16" s="2" t="e">
        <v>#N/A</v>
      </c>
      <c r="AF16" s="2" t="e">
        <v>#N/A</v>
      </c>
      <c r="AG16" s="2" t="e">
        <v>#N/A</v>
      </c>
      <c r="AH16" s="2" t="e">
        <v>#N/A</v>
      </c>
      <c r="AI16" s="2" t="e">
        <v>#N/A</v>
      </c>
      <c r="AJ16" s="2" t="e">
        <v>#N/A</v>
      </c>
      <c r="AK16" s="3">
        <v>0.79384319999999997</v>
      </c>
      <c r="AL16" s="3">
        <v>0.72433420000000004</v>
      </c>
      <c r="AM16" s="2" t="e">
        <v>#N/A</v>
      </c>
      <c r="AN16" s="2" t="e">
        <v>#N/A</v>
      </c>
      <c r="AO16" s="2" t="e">
        <v>#N/A</v>
      </c>
      <c r="AP16" s="2" t="e">
        <v>#N/A</v>
      </c>
      <c r="AQ16" s="2" t="e">
        <v>#N/A</v>
      </c>
      <c r="AR16" s="2" t="e">
        <v>#N/A</v>
      </c>
      <c r="AS16" s="2" t="e">
        <v>#N/A</v>
      </c>
      <c r="AT16" s="2" t="e">
        <v>#N/A</v>
      </c>
      <c r="AU16" s="1" t="s">
        <v>5</v>
      </c>
      <c r="AV16" s="3">
        <v>1.375</v>
      </c>
      <c r="AW16" s="3">
        <v>4.5999999999999996</v>
      </c>
      <c r="AX16" s="2">
        <v>41.538449999999997</v>
      </c>
      <c r="AY16" s="2">
        <v>10.11774</v>
      </c>
      <c r="AZ16" s="2">
        <v>7.0545410000000004</v>
      </c>
      <c r="BA16" s="2">
        <v>23.903919999999999</v>
      </c>
      <c r="BB16" s="2">
        <v>15.967879999999999</v>
      </c>
      <c r="BC16" s="3">
        <v>2.3239999999999998</v>
      </c>
      <c r="BD16" s="2">
        <v>39.845100000000002</v>
      </c>
      <c r="BE16" s="3">
        <v>3.8725000000000001</v>
      </c>
      <c r="BF16" s="2">
        <v>-16.07488</v>
      </c>
      <c r="BG16" s="2">
        <v>23.634329999999999</v>
      </c>
      <c r="BH16" s="2">
        <v>30.656939999999999</v>
      </c>
      <c r="BI16" s="2">
        <v>32.570250000000001</v>
      </c>
      <c r="BJ16" s="2">
        <v>36.155749999999998</v>
      </c>
      <c r="BK16" s="2">
        <v>23</v>
      </c>
      <c r="BL16" s="2">
        <v>15</v>
      </c>
      <c r="BM16" s="4">
        <v>24</v>
      </c>
      <c r="BN16" s="4">
        <v>1</v>
      </c>
      <c r="BO16" s="4">
        <v>1</v>
      </c>
      <c r="BP16" s="4">
        <v>22</v>
      </c>
      <c r="BQ16" s="2">
        <v>4.1666670000000003</v>
      </c>
      <c r="BR16" s="4">
        <v>16</v>
      </c>
      <c r="BS16" s="4">
        <v>1</v>
      </c>
      <c r="BT16" s="4">
        <v>24</v>
      </c>
      <c r="BU16" s="2">
        <v>66.666669999999996</v>
      </c>
      <c r="BV16" s="2">
        <v>11.8104</v>
      </c>
      <c r="BW16" s="2">
        <v>16454</v>
      </c>
      <c r="BX16" s="3">
        <v>48.184809999999999</v>
      </c>
      <c r="BY16" s="3">
        <v>0.29284569999999999</v>
      </c>
      <c r="BZ16" s="2">
        <v>1.70655</v>
      </c>
      <c r="CA16" s="3">
        <v>0.29284569999999999</v>
      </c>
      <c r="CB16" s="3">
        <v>0.55760520000000002</v>
      </c>
      <c r="CC16" s="3">
        <v>0.58033650000000003</v>
      </c>
      <c r="CD16" s="2">
        <v>4.0765880000000001</v>
      </c>
      <c r="CE16" s="3">
        <v>30377.23</v>
      </c>
      <c r="CF16" s="3">
        <v>32310.62</v>
      </c>
      <c r="CG16" s="2">
        <v>6.3646200000000004</v>
      </c>
      <c r="CH16" s="3">
        <v>4.5554550000000003</v>
      </c>
      <c r="CI16" s="2">
        <v>0.97783799999999998</v>
      </c>
      <c r="CJ16" s="3">
        <v>55562.82</v>
      </c>
      <c r="CK16" s="3">
        <v>55784.22</v>
      </c>
      <c r="CL16" s="2">
        <v>0.39848090000000003</v>
      </c>
      <c r="CM16" s="3">
        <v>3.0409169999999999</v>
      </c>
      <c r="CN16" s="3">
        <v>3.2743530000000001</v>
      </c>
      <c r="CO16" s="3">
        <v>3.172269</v>
      </c>
      <c r="CP16" s="2">
        <v>6.8756459999999997</v>
      </c>
      <c r="CQ16" s="2">
        <v>-0.74375869999999999</v>
      </c>
      <c r="CR16" s="2">
        <v>2.450323</v>
      </c>
      <c r="CS16" s="2">
        <v>7.6765059999999998</v>
      </c>
      <c r="CT16" s="2">
        <v>171.74209999999999</v>
      </c>
      <c r="CU16" s="3">
        <v>0.32116040000000001</v>
      </c>
      <c r="CV16" s="2">
        <v>7.3406450000000003</v>
      </c>
      <c r="CW16" s="2">
        <v>1.5245569999999999</v>
      </c>
      <c r="CX16" s="2">
        <v>2.0341490000000002</v>
      </c>
      <c r="CY16" s="2">
        <v>14.868690000000001</v>
      </c>
    </row>
    <row r="17" spans="1:103" ht="15" customHeight="1" x14ac:dyDescent="0.2">
      <c r="A17" s="1">
        <f t="shared" si="0"/>
        <v>11</v>
      </c>
      <c r="B17" s="1" t="s">
        <v>38</v>
      </c>
      <c r="C17" s="1" t="s">
        <v>37</v>
      </c>
      <c r="D17" s="1" t="s">
        <v>39</v>
      </c>
      <c r="E17" s="1" t="s">
        <v>40</v>
      </c>
      <c r="F17" s="2">
        <v>25743.96</v>
      </c>
      <c r="G17" s="2">
        <v>79.196200000000005</v>
      </c>
      <c r="H17" s="2">
        <v>20388.240000000002</v>
      </c>
      <c r="I17" s="3">
        <v>36.44</v>
      </c>
      <c r="J17" s="3">
        <v>0</v>
      </c>
      <c r="K17" s="2">
        <v>0.1372119</v>
      </c>
      <c r="L17" s="2">
        <v>0.1646542</v>
      </c>
      <c r="M17" s="2">
        <v>0.1646542</v>
      </c>
      <c r="N17" s="2">
        <v>0.20617930000000001</v>
      </c>
      <c r="O17" s="2" t="e">
        <v>#N/A</v>
      </c>
      <c r="P17" s="2" t="e">
        <v>#N/A</v>
      </c>
      <c r="Q17" s="2" t="e">
        <v>#N/A</v>
      </c>
      <c r="R17" s="2">
        <v>497.73880000000003</v>
      </c>
      <c r="S17" s="2">
        <v>15.848750000000001</v>
      </c>
      <c r="T17" s="2">
        <v>14.933630000000001</v>
      </c>
      <c r="U17" s="2">
        <v>13.83089</v>
      </c>
      <c r="V17" s="2">
        <v>12.772019999999999</v>
      </c>
      <c r="W17" s="2">
        <v>1.810233</v>
      </c>
      <c r="X17" s="2">
        <v>1.8373930000000001</v>
      </c>
      <c r="Y17" s="2">
        <v>1.861572</v>
      </c>
      <c r="Z17" s="2">
        <v>1.8939710000000001</v>
      </c>
      <c r="AA17" s="2">
        <v>13.270160000000001</v>
      </c>
      <c r="AB17" s="2">
        <v>13.300380000000001</v>
      </c>
      <c r="AC17" s="2">
        <v>11.88148</v>
      </c>
      <c r="AD17" s="2">
        <v>10.78945</v>
      </c>
      <c r="AE17" s="2">
        <v>1.0200560000000001</v>
      </c>
      <c r="AF17" s="2">
        <v>1.5112019999999999</v>
      </c>
      <c r="AG17" s="2">
        <v>2.2633260000000002</v>
      </c>
      <c r="AH17" s="2">
        <v>1.7878719999999999</v>
      </c>
      <c r="AI17" s="2">
        <v>2.6286969999999998</v>
      </c>
      <c r="AJ17" s="2">
        <v>3.8615659999999998</v>
      </c>
      <c r="AK17" s="3" t="e">
        <v>#N/A</v>
      </c>
      <c r="AL17" s="3" t="e">
        <v>#N/A</v>
      </c>
      <c r="AM17" s="2">
        <v>75.164330000000007</v>
      </c>
      <c r="AN17" s="2">
        <v>73.212990000000005</v>
      </c>
      <c r="AO17" s="2">
        <v>75.438479999999998</v>
      </c>
      <c r="AP17" s="2">
        <v>77.346519999999998</v>
      </c>
      <c r="AQ17" s="2">
        <v>7.5429659999999998</v>
      </c>
      <c r="AR17" s="2">
        <v>6.4133709999999997</v>
      </c>
      <c r="AS17" s="2">
        <v>5.8796999999999997</v>
      </c>
      <c r="AT17" s="2">
        <v>5.2861289999999999</v>
      </c>
      <c r="AU17" s="1" t="s">
        <v>5</v>
      </c>
      <c r="AV17" s="3">
        <v>1.285714</v>
      </c>
      <c r="AW17" s="3">
        <v>46.78</v>
      </c>
      <c r="AX17" s="2">
        <v>28.375409999999999</v>
      </c>
      <c r="AY17" s="2">
        <v>-1.361405</v>
      </c>
      <c r="AZ17" s="2" t="e">
        <v>#N/A</v>
      </c>
      <c r="BA17" s="2">
        <v>2.7057530000000001</v>
      </c>
      <c r="BB17" s="2">
        <v>17.852519999999998</v>
      </c>
      <c r="BC17" s="3">
        <v>28.02</v>
      </c>
      <c r="BD17" s="2">
        <v>30.049959999999999</v>
      </c>
      <c r="BE17" s="3">
        <v>44.9</v>
      </c>
      <c r="BF17" s="2">
        <v>-18.84188</v>
      </c>
      <c r="BG17" s="2" t="e">
        <v>#N/A</v>
      </c>
      <c r="BH17" s="2" t="e">
        <v>#N/A</v>
      </c>
      <c r="BI17" s="2" t="e">
        <v>#N/A</v>
      </c>
      <c r="BJ17" s="2">
        <v>216.94900000000001</v>
      </c>
      <c r="BK17" s="2">
        <v>23</v>
      </c>
      <c r="BL17" s="2">
        <v>19</v>
      </c>
      <c r="BM17" s="4">
        <v>28</v>
      </c>
      <c r="BN17" s="4">
        <v>0</v>
      </c>
      <c r="BO17" s="4">
        <v>1</v>
      </c>
      <c r="BP17" s="4">
        <v>28</v>
      </c>
      <c r="BQ17" s="2">
        <v>0</v>
      </c>
      <c r="BR17" s="4">
        <v>21</v>
      </c>
      <c r="BS17" s="4">
        <v>0</v>
      </c>
      <c r="BT17" s="4">
        <v>28</v>
      </c>
      <c r="BU17" s="2">
        <v>75</v>
      </c>
      <c r="BV17" s="2">
        <v>8.1544699999999999</v>
      </c>
      <c r="BW17" s="2">
        <v>706.47540000000004</v>
      </c>
      <c r="BX17" s="3">
        <v>1.430877</v>
      </c>
      <c r="BY17" s="3">
        <v>0.20253750000000001</v>
      </c>
      <c r="BZ17" s="2">
        <v>0.29335800000000001</v>
      </c>
      <c r="CA17" s="3">
        <v>0.20253750000000001</v>
      </c>
      <c r="CB17" s="3">
        <v>-0.2000111</v>
      </c>
      <c r="CC17" s="3">
        <v>-0.2799509</v>
      </c>
      <c r="CD17" s="2">
        <v>39.967669999999998</v>
      </c>
      <c r="CE17" s="3">
        <v>472.09089999999998</v>
      </c>
      <c r="CF17" s="3">
        <v>405.76119999999997</v>
      </c>
      <c r="CG17" s="2">
        <v>-14.050190000000001</v>
      </c>
      <c r="CH17" s="3">
        <v>49.108840000000001</v>
      </c>
      <c r="CI17" s="2">
        <v>-4.7422110000000002</v>
      </c>
      <c r="CJ17" s="3">
        <v>4012.68</v>
      </c>
      <c r="CK17" s="3">
        <v>4115.8</v>
      </c>
      <c r="CL17" s="2">
        <v>2.5698539999999999</v>
      </c>
      <c r="CM17" s="3">
        <v>34.869109999999999</v>
      </c>
      <c r="CN17" s="3">
        <v>37.837260000000001</v>
      </c>
      <c r="CO17" s="3">
        <v>37.67192</v>
      </c>
      <c r="CP17" s="2">
        <v>4.5051100000000002</v>
      </c>
      <c r="CQ17" s="2">
        <v>-3.692812</v>
      </c>
      <c r="CR17" s="2">
        <v>-3.2701310000000001</v>
      </c>
      <c r="CS17" s="2">
        <v>8.5122699999999991</v>
      </c>
      <c r="CT17" s="2">
        <v>43.257809999999999</v>
      </c>
      <c r="CU17" s="3">
        <v>0.16803090000000001</v>
      </c>
      <c r="CV17" s="2">
        <v>0</v>
      </c>
      <c r="CW17" s="2">
        <v>0.36426619999999998</v>
      </c>
      <c r="CX17" s="2">
        <v>-8.6440680000000008</v>
      </c>
      <c r="CY17" s="2">
        <v>15.535349999999999</v>
      </c>
    </row>
    <row r="18" spans="1:103" ht="15" customHeight="1" x14ac:dyDescent="0.2">
      <c r="A18" s="1">
        <f t="shared" si="0"/>
        <v>12</v>
      </c>
      <c r="B18" s="1" t="s">
        <v>42</v>
      </c>
      <c r="C18" s="1" t="s">
        <v>41</v>
      </c>
      <c r="D18" s="1" t="s">
        <v>15</v>
      </c>
      <c r="E18" s="1" t="s">
        <v>43</v>
      </c>
      <c r="F18" s="2">
        <v>27465.31</v>
      </c>
      <c r="G18" s="2">
        <v>50.259700000000002</v>
      </c>
      <c r="H18" s="2">
        <v>13803.98</v>
      </c>
      <c r="I18" s="3">
        <v>3.661</v>
      </c>
      <c r="J18" s="3">
        <v>0</v>
      </c>
      <c r="K18" s="2">
        <v>6.2824369999999998</v>
      </c>
      <c r="L18" s="2">
        <v>8.194483</v>
      </c>
      <c r="M18" s="2">
        <v>8.4676310000000008</v>
      </c>
      <c r="N18" s="2">
        <v>9.1203769999999995</v>
      </c>
      <c r="O18" s="2">
        <v>9.8945939999999997</v>
      </c>
      <c r="P18" s="2">
        <v>7.1643840000000001</v>
      </c>
      <c r="Q18" s="2">
        <v>7.3220000000000001</v>
      </c>
      <c r="R18" s="2">
        <v>6.6563629999999998</v>
      </c>
      <c r="S18" s="2" t="e">
        <v>#N/A</v>
      </c>
      <c r="T18" s="2" t="e">
        <v>#N/A</v>
      </c>
      <c r="U18" s="2" t="e">
        <v>#N/A</v>
      </c>
      <c r="V18" s="2" t="e">
        <v>#N/A</v>
      </c>
      <c r="W18" s="2">
        <v>0.80109410000000003</v>
      </c>
      <c r="X18" s="2">
        <v>0.7947111</v>
      </c>
      <c r="Y18" s="2">
        <v>0.76398650000000001</v>
      </c>
      <c r="Z18" s="2">
        <v>0.73810480000000001</v>
      </c>
      <c r="AA18" s="2" t="e">
        <v>#N/A</v>
      </c>
      <c r="AB18" s="2" t="e">
        <v>#N/A</v>
      </c>
      <c r="AC18" s="2" t="e">
        <v>#N/A</v>
      </c>
      <c r="AD18" s="2" t="e">
        <v>#N/A</v>
      </c>
      <c r="AE18" s="2" t="e">
        <v>#N/A</v>
      </c>
      <c r="AF18" s="2" t="e">
        <v>#N/A</v>
      </c>
      <c r="AG18" s="2" t="e">
        <v>#N/A</v>
      </c>
      <c r="AH18" s="2" t="e">
        <v>#N/A</v>
      </c>
      <c r="AI18" s="2" t="e">
        <v>#N/A</v>
      </c>
      <c r="AJ18" s="2" t="e">
        <v>#N/A</v>
      </c>
      <c r="AK18" s="3">
        <v>0.4325561</v>
      </c>
      <c r="AL18" s="3">
        <v>0.42298140000000001</v>
      </c>
      <c r="AM18" s="2" t="e">
        <v>#N/A</v>
      </c>
      <c r="AN18" s="2" t="e">
        <v>#N/A</v>
      </c>
      <c r="AO18" s="2" t="e">
        <v>#N/A</v>
      </c>
      <c r="AP18" s="2" t="e">
        <v>#N/A</v>
      </c>
      <c r="AQ18" s="2" t="e">
        <v>#N/A</v>
      </c>
      <c r="AR18" s="2" t="e">
        <v>#N/A</v>
      </c>
      <c r="AS18" s="2" t="e">
        <v>#N/A</v>
      </c>
      <c r="AT18" s="2" t="e">
        <v>#N/A</v>
      </c>
      <c r="AU18" s="1" t="s">
        <v>5</v>
      </c>
      <c r="AV18" s="3">
        <v>1.38</v>
      </c>
      <c r="AW18" s="3">
        <v>4.6500000000000004</v>
      </c>
      <c r="AX18" s="2">
        <v>27.014479999999999</v>
      </c>
      <c r="AY18" s="2">
        <v>11.09252</v>
      </c>
      <c r="AZ18" s="2">
        <v>16.675850000000001</v>
      </c>
      <c r="BA18" s="2">
        <v>13.801679999999999</v>
      </c>
      <c r="BB18" s="2">
        <v>-0.29956100000000002</v>
      </c>
      <c r="BC18" s="3">
        <v>2.6360000000000001</v>
      </c>
      <c r="BD18" s="2">
        <v>38.88467</v>
      </c>
      <c r="BE18" s="3">
        <v>4.1970000000000001</v>
      </c>
      <c r="BF18" s="2">
        <v>-12.77103</v>
      </c>
      <c r="BG18" s="2">
        <v>62.026249999999997</v>
      </c>
      <c r="BH18" s="2">
        <v>58.432740000000003</v>
      </c>
      <c r="BI18" s="2">
        <v>59.4572</v>
      </c>
      <c r="BJ18" s="2">
        <v>59.531829999999999</v>
      </c>
      <c r="BK18" s="2">
        <v>23</v>
      </c>
      <c r="BL18" s="2">
        <v>14</v>
      </c>
      <c r="BM18" s="4">
        <v>25</v>
      </c>
      <c r="BN18" s="4">
        <v>2</v>
      </c>
      <c r="BO18" s="4">
        <v>3</v>
      </c>
      <c r="BP18" s="4">
        <v>20</v>
      </c>
      <c r="BQ18" s="2">
        <v>8</v>
      </c>
      <c r="BR18" s="4">
        <v>18</v>
      </c>
      <c r="BS18" s="4">
        <v>1</v>
      </c>
      <c r="BT18" s="4">
        <v>25</v>
      </c>
      <c r="BU18" s="2">
        <v>72</v>
      </c>
      <c r="BV18" s="2">
        <v>9.6638400000000004</v>
      </c>
      <c r="BW18" s="2">
        <v>7502.1319999999996</v>
      </c>
      <c r="BX18" s="3">
        <v>14.52516</v>
      </c>
      <c r="BY18" s="3">
        <v>0.1936138</v>
      </c>
      <c r="BZ18" s="2">
        <v>1.0919000000000001</v>
      </c>
      <c r="CA18" s="3">
        <v>0.1936138</v>
      </c>
      <c r="CB18" s="3">
        <v>0.46878429999999999</v>
      </c>
      <c r="CC18" s="3">
        <v>0.50753899999999996</v>
      </c>
      <c r="CD18" s="2">
        <v>8.2670569999999994</v>
      </c>
      <c r="CE18" s="3">
        <v>6710.7839999999997</v>
      </c>
      <c r="CF18" s="3">
        <v>7018.3789999999999</v>
      </c>
      <c r="CG18" s="2">
        <v>4.583609</v>
      </c>
      <c r="CH18" s="3">
        <v>4.6031820000000003</v>
      </c>
      <c r="CI18" s="2">
        <v>1.017082</v>
      </c>
      <c r="CJ18" s="3">
        <v>13174.64</v>
      </c>
      <c r="CK18" s="3">
        <v>12995.45</v>
      </c>
      <c r="CL18" s="2">
        <v>-1.3601479999999999</v>
      </c>
      <c r="CM18" s="3">
        <v>3.5910890000000002</v>
      </c>
      <c r="CN18" s="3">
        <v>3.4791569999999998</v>
      </c>
      <c r="CO18" s="3">
        <v>3.503539</v>
      </c>
      <c r="CP18" s="2">
        <v>1.946807</v>
      </c>
      <c r="CQ18" s="2">
        <v>5.226648</v>
      </c>
      <c r="CR18" s="2">
        <v>4.494345</v>
      </c>
      <c r="CS18" s="2">
        <v>-3.11693</v>
      </c>
      <c r="CT18" s="2">
        <v>56.26455</v>
      </c>
      <c r="CU18" s="3">
        <v>0.20485680000000001</v>
      </c>
      <c r="CV18" s="2">
        <v>7.8138110000000003</v>
      </c>
      <c r="CW18" s="2">
        <v>14.213329999999999</v>
      </c>
      <c r="CX18" s="2">
        <v>14.400639999999999</v>
      </c>
      <c r="CY18" s="2">
        <v>15.787879999999999</v>
      </c>
    </row>
    <row r="19" spans="1:103" ht="15" customHeight="1" x14ac:dyDescent="0.2">
      <c r="A19" s="1">
        <f t="shared" si="0"/>
        <v>13</v>
      </c>
      <c r="B19" s="1" t="s">
        <v>45</v>
      </c>
      <c r="C19" s="1" t="s">
        <v>44</v>
      </c>
      <c r="D19" s="1" t="s">
        <v>15</v>
      </c>
      <c r="E19" s="1" t="s">
        <v>16</v>
      </c>
      <c r="F19" s="2">
        <v>5733.8770000000004</v>
      </c>
      <c r="G19" s="2">
        <v>99.192499999999995</v>
      </c>
      <c r="H19" s="2">
        <v>5687.576</v>
      </c>
      <c r="I19" s="3">
        <v>1.0189999999999999</v>
      </c>
      <c r="J19" s="3">
        <v>0</v>
      </c>
      <c r="K19" s="2">
        <v>3.9254169999999999</v>
      </c>
      <c r="L19" s="2">
        <v>8.3415110000000006</v>
      </c>
      <c r="M19" s="2">
        <v>7.8508329999999997</v>
      </c>
      <c r="N19" s="2">
        <v>9.6121400000000001</v>
      </c>
      <c r="O19" s="2">
        <v>7.2838099999999999</v>
      </c>
      <c r="P19" s="2">
        <v>5.8467719999999996</v>
      </c>
      <c r="Q19" s="2">
        <v>5.9941180000000003</v>
      </c>
      <c r="R19" s="2">
        <v>5.2256419999999997</v>
      </c>
      <c r="S19" s="2" t="e">
        <v>#N/A</v>
      </c>
      <c r="T19" s="2" t="e">
        <v>#N/A</v>
      </c>
      <c r="U19" s="2" t="e">
        <v>#N/A</v>
      </c>
      <c r="V19" s="2" t="e">
        <v>#N/A</v>
      </c>
      <c r="W19" s="2">
        <v>0.4344769</v>
      </c>
      <c r="X19" s="2">
        <v>0.4081689</v>
      </c>
      <c r="Y19" s="2">
        <v>0.39216849999999998</v>
      </c>
      <c r="Z19" s="2">
        <v>0.37665720000000003</v>
      </c>
      <c r="AA19" s="2" t="e">
        <v>#N/A</v>
      </c>
      <c r="AB19" s="2" t="e">
        <v>#N/A</v>
      </c>
      <c r="AC19" s="2" t="e">
        <v>#N/A</v>
      </c>
      <c r="AD19" s="2" t="e">
        <v>#N/A</v>
      </c>
      <c r="AE19" s="2" t="e">
        <v>#N/A</v>
      </c>
      <c r="AF19" s="2" t="e">
        <v>#N/A</v>
      </c>
      <c r="AG19" s="2" t="e">
        <v>#N/A</v>
      </c>
      <c r="AH19" s="2" t="e">
        <v>#N/A</v>
      </c>
      <c r="AI19" s="2" t="e">
        <v>#N/A</v>
      </c>
      <c r="AJ19" s="2" t="e">
        <v>#N/A</v>
      </c>
      <c r="AK19" s="3">
        <v>0.58399570000000001</v>
      </c>
      <c r="AL19" s="3">
        <v>0.59373679999999995</v>
      </c>
      <c r="AM19" s="2" t="e">
        <v>#N/A</v>
      </c>
      <c r="AN19" s="2" t="e">
        <v>#N/A</v>
      </c>
      <c r="AO19" s="2" t="e">
        <v>#N/A</v>
      </c>
      <c r="AP19" s="2" t="e">
        <v>#N/A</v>
      </c>
      <c r="AQ19" s="2" t="e">
        <v>#N/A</v>
      </c>
      <c r="AR19" s="2" t="e">
        <v>#N/A</v>
      </c>
      <c r="AS19" s="2" t="e">
        <v>#N/A</v>
      </c>
      <c r="AT19" s="2" t="e">
        <v>#N/A</v>
      </c>
      <c r="AU19" s="1" t="s">
        <v>5</v>
      </c>
      <c r="AV19" s="3">
        <v>1.454545</v>
      </c>
      <c r="AW19" s="3">
        <v>1.3</v>
      </c>
      <c r="AX19" s="2">
        <v>27.576039999999999</v>
      </c>
      <c r="AY19" s="2">
        <v>6.9810990000000004</v>
      </c>
      <c r="AZ19" s="2">
        <v>10</v>
      </c>
      <c r="BA19" s="2">
        <v>34.468209999999999</v>
      </c>
      <c r="BB19" s="2">
        <v>15.690289999999999</v>
      </c>
      <c r="BC19" s="3">
        <v>0.57499999999999996</v>
      </c>
      <c r="BD19" s="2">
        <v>77.217399999999998</v>
      </c>
      <c r="BE19" s="3">
        <v>1.3340000000000001</v>
      </c>
      <c r="BF19" s="2">
        <v>-23.613189999999999</v>
      </c>
      <c r="BG19" s="2">
        <v>29.02468</v>
      </c>
      <c r="BH19" s="2">
        <v>46.240519999999997</v>
      </c>
      <c r="BI19" s="2">
        <v>46.183109999999999</v>
      </c>
      <c r="BJ19" s="2">
        <v>47.655920000000002</v>
      </c>
      <c r="BK19" s="2">
        <v>20</v>
      </c>
      <c r="BL19" s="2">
        <v>13</v>
      </c>
      <c r="BM19" s="4">
        <v>22</v>
      </c>
      <c r="BN19" s="4">
        <v>1</v>
      </c>
      <c r="BO19" s="4">
        <v>1</v>
      </c>
      <c r="BP19" s="4">
        <v>20</v>
      </c>
      <c r="BQ19" s="2">
        <v>4.5454549999999996</v>
      </c>
      <c r="BR19" s="4">
        <v>13</v>
      </c>
      <c r="BS19" s="4">
        <v>1</v>
      </c>
      <c r="BT19" s="4">
        <v>22</v>
      </c>
      <c r="BU19" s="2">
        <v>59.090910000000001</v>
      </c>
      <c r="BV19" s="2">
        <v>12.746700000000001</v>
      </c>
      <c r="BW19" s="2">
        <v>5626.9639999999999</v>
      </c>
      <c r="BX19" s="3">
        <v>33.479030000000002</v>
      </c>
      <c r="BY19" s="3">
        <v>0.59497500000000003</v>
      </c>
      <c r="BZ19" s="2">
        <v>1.3307599999999999</v>
      </c>
      <c r="CA19" s="3">
        <v>0.59497500000000003</v>
      </c>
      <c r="CB19" s="3">
        <v>0.1635924</v>
      </c>
      <c r="CC19" s="3">
        <v>0.17448759999999999</v>
      </c>
      <c r="CD19" s="2">
        <v>6.6599490000000001</v>
      </c>
      <c r="CE19" s="3">
        <v>2597.1109999999999</v>
      </c>
      <c r="CF19" s="3">
        <v>2634.61</v>
      </c>
      <c r="CG19" s="2">
        <v>1.443875</v>
      </c>
      <c r="CH19" s="3">
        <v>1.3589469999999999</v>
      </c>
      <c r="CI19" s="2">
        <v>-4.3377280000000003</v>
      </c>
      <c r="CJ19" s="3">
        <v>5599.0730000000003</v>
      </c>
      <c r="CK19" s="3">
        <v>5617.56</v>
      </c>
      <c r="CL19" s="2">
        <v>0.33018589999999998</v>
      </c>
      <c r="CM19" s="3">
        <v>0.94314070000000005</v>
      </c>
      <c r="CN19" s="3">
        <v>0.97494709999999996</v>
      </c>
      <c r="CO19" s="3">
        <v>0.96353080000000002</v>
      </c>
      <c r="CP19" s="2">
        <v>8.0432649999999999</v>
      </c>
      <c r="CQ19" s="2">
        <v>4.518497</v>
      </c>
      <c r="CR19" s="2">
        <v>5.7568789999999996</v>
      </c>
      <c r="CS19" s="2">
        <v>3.3723830000000001</v>
      </c>
      <c r="CT19" s="2">
        <v>35.681339999999999</v>
      </c>
      <c r="CU19" s="3">
        <v>0.62229000000000001</v>
      </c>
      <c r="CV19" s="2">
        <v>56.132860000000001</v>
      </c>
      <c r="CW19" s="2">
        <v>12.22049</v>
      </c>
      <c r="CX19" s="2">
        <v>6.532203</v>
      </c>
      <c r="CY19" s="2">
        <v>15.85859</v>
      </c>
    </row>
    <row r="20" spans="1:103" ht="15" customHeight="1" x14ac:dyDescent="0.2">
      <c r="A20" s="1">
        <f t="shared" si="0"/>
        <v>14</v>
      </c>
      <c r="B20" s="1" t="s">
        <v>47</v>
      </c>
      <c r="C20" s="1" t="s">
        <v>46</v>
      </c>
      <c r="D20" s="1" t="s">
        <v>31</v>
      </c>
      <c r="E20" s="1" t="s">
        <v>32</v>
      </c>
      <c r="F20" s="2">
        <v>31372.77</v>
      </c>
      <c r="G20" s="2">
        <v>99.758600000000001</v>
      </c>
      <c r="H20" s="2">
        <v>31297.03</v>
      </c>
      <c r="I20" s="3">
        <v>69.64</v>
      </c>
      <c r="J20" s="3">
        <v>0</v>
      </c>
      <c r="K20" s="2">
        <v>1.062608</v>
      </c>
      <c r="L20" s="2">
        <v>1.593912</v>
      </c>
      <c r="M20" s="2">
        <v>1.9816199999999999</v>
      </c>
      <c r="N20" s="2">
        <v>2.2461549999999999</v>
      </c>
      <c r="O20" s="2">
        <v>42.206060000000001</v>
      </c>
      <c r="P20" s="2">
        <v>29.007650000000002</v>
      </c>
      <c r="Q20" s="2">
        <v>23.289580000000001</v>
      </c>
      <c r="R20" s="2">
        <v>20.615110000000001</v>
      </c>
      <c r="S20" s="2">
        <v>14.806850000000001</v>
      </c>
      <c r="T20" s="2">
        <v>15.636469999999999</v>
      </c>
      <c r="U20" s="2">
        <v>13.061970000000001</v>
      </c>
      <c r="V20" s="2">
        <v>11.558490000000001</v>
      </c>
      <c r="W20" s="2">
        <v>6.8454699999999997</v>
      </c>
      <c r="X20" s="2">
        <v>6.0481119999999997</v>
      </c>
      <c r="Y20" s="2">
        <v>5.2575500000000002</v>
      </c>
      <c r="Z20" s="2">
        <v>4.635205</v>
      </c>
      <c r="AA20" s="2">
        <v>22.672779999999999</v>
      </c>
      <c r="AB20" s="2">
        <v>18.323830000000001</v>
      </c>
      <c r="AC20" s="2">
        <v>15.865019999999999</v>
      </c>
      <c r="AD20" s="2">
        <v>14.886749999999999</v>
      </c>
      <c r="AE20" s="2">
        <v>3.3431829999999998</v>
      </c>
      <c r="AF20" s="2">
        <v>4.2036600000000002</v>
      </c>
      <c r="AG20" s="2">
        <v>4.7278770000000003</v>
      </c>
      <c r="AH20" s="2">
        <v>3.5258319999999999</v>
      </c>
      <c r="AI20" s="2">
        <v>4.3299539999999999</v>
      </c>
      <c r="AJ20" s="2">
        <v>4.7424200000000001</v>
      </c>
      <c r="AK20" s="3">
        <v>1.18333</v>
      </c>
      <c r="AL20" s="3">
        <v>0.95878699999999994</v>
      </c>
      <c r="AM20" s="2">
        <v>36.558999999999997</v>
      </c>
      <c r="AN20" s="2">
        <v>38.79721</v>
      </c>
      <c r="AO20" s="2">
        <v>40.208030000000001</v>
      </c>
      <c r="AP20" s="2">
        <v>41.355849999999997</v>
      </c>
      <c r="AQ20" s="2">
        <v>1.4704269999999999</v>
      </c>
      <c r="AR20" s="2">
        <v>0.81001889999999999</v>
      </c>
      <c r="AS20" s="2">
        <v>0.38098379999999998</v>
      </c>
      <c r="AT20" s="2">
        <v>3.544394E-2</v>
      </c>
      <c r="AU20" s="1" t="s">
        <v>48</v>
      </c>
      <c r="AV20" s="3">
        <v>1.62</v>
      </c>
      <c r="AW20" s="3">
        <v>70</v>
      </c>
      <c r="AX20" s="2">
        <v>0.5169511</v>
      </c>
      <c r="AY20" s="2">
        <v>20.850059999999999</v>
      </c>
      <c r="AZ20" s="2">
        <v>25.945450000000001</v>
      </c>
      <c r="BA20" s="2">
        <v>37.411200000000001</v>
      </c>
      <c r="BB20" s="2">
        <v>43.43976</v>
      </c>
      <c r="BC20" s="3">
        <v>44.85</v>
      </c>
      <c r="BD20" s="2">
        <v>55.273139999999998</v>
      </c>
      <c r="BE20" s="3">
        <v>69.84</v>
      </c>
      <c r="BF20" s="2">
        <v>-0.28636460000000002</v>
      </c>
      <c r="BG20" s="2">
        <v>30.160869999999999</v>
      </c>
      <c r="BH20" s="2">
        <v>41.181719999999999</v>
      </c>
      <c r="BI20" s="2">
        <v>42.7378</v>
      </c>
      <c r="BJ20" s="2">
        <v>43.9696</v>
      </c>
      <c r="BK20" s="2">
        <v>22</v>
      </c>
      <c r="BL20" s="2">
        <v>21</v>
      </c>
      <c r="BM20" s="4">
        <v>25</v>
      </c>
      <c r="BN20" s="4">
        <v>2</v>
      </c>
      <c r="BO20" s="4">
        <v>0</v>
      </c>
      <c r="BP20" s="4">
        <v>22</v>
      </c>
      <c r="BQ20" s="2">
        <v>8.3333340000000007</v>
      </c>
      <c r="BR20" s="4">
        <v>12</v>
      </c>
      <c r="BS20" s="4">
        <v>1</v>
      </c>
      <c r="BT20" s="4">
        <v>25</v>
      </c>
      <c r="BU20" s="2">
        <v>48</v>
      </c>
      <c r="BV20" s="2">
        <v>9.8345199999999995</v>
      </c>
      <c r="BW20" s="2">
        <v>450.49919999999997</v>
      </c>
      <c r="BX20" s="3">
        <v>0.71352300000000002</v>
      </c>
      <c r="BY20" s="3">
        <v>0.1583849</v>
      </c>
      <c r="BZ20" s="2">
        <v>1.3522099999999999</v>
      </c>
      <c r="CA20" s="3">
        <v>0.1583849</v>
      </c>
      <c r="CB20" s="3">
        <v>2.3614250000000001</v>
      </c>
      <c r="CC20" s="3">
        <v>2.423756</v>
      </c>
      <c r="CD20" s="2">
        <v>2.6395200000000001</v>
      </c>
      <c r="CE20" s="3">
        <v>1459.2380000000001</v>
      </c>
      <c r="CF20" s="3">
        <v>1472.8430000000001</v>
      </c>
      <c r="CG20" s="2">
        <v>0.93235970000000001</v>
      </c>
      <c r="CH20" s="3">
        <v>63.81409</v>
      </c>
      <c r="CI20" s="2">
        <v>9.6936459999999993</v>
      </c>
      <c r="CJ20" s="3">
        <v>5463.049</v>
      </c>
      <c r="CK20" s="3">
        <v>5453.7749999999996</v>
      </c>
      <c r="CL20" s="2">
        <v>-0.1697659</v>
      </c>
      <c r="CM20" s="3">
        <v>56.627740000000003</v>
      </c>
      <c r="CN20" s="3">
        <v>64.854110000000006</v>
      </c>
      <c r="CO20" s="3">
        <v>67.293080000000003</v>
      </c>
      <c r="CP20" s="2">
        <v>22.9786</v>
      </c>
      <c r="CQ20" s="2">
        <v>7.3794719999999998</v>
      </c>
      <c r="CR20" s="2">
        <v>3.4876109999999998</v>
      </c>
      <c r="CS20" s="2">
        <v>14.52712</v>
      </c>
      <c r="CT20" s="2">
        <v>50.62153</v>
      </c>
      <c r="CU20" s="3">
        <v>0.161355</v>
      </c>
      <c r="CV20" s="2">
        <v>12.439299999999999</v>
      </c>
      <c r="CW20" s="2">
        <v>2.0543369999999999</v>
      </c>
      <c r="CX20" s="2">
        <v>7.2174969999999998</v>
      </c>
      <c r="CY20" s="2">
        <v>16.22222</v>
      </c>
    </row>
    <row r="21" spans="1:103" ht="15" customHeight="1" x14ac:dyDescent="0.2">
      <c r="A21" s="1">
        <f t="shared" si="0"/>
        <v>15</v>
      </c>
      <c r="B21" s="1" t="s">
        <v>50</v>
      </c>
      <c r="C21" s="1" t="s">
        <v>49</v>
      </c>
      <c r="D21" s="1" t="s">
        <v>51</v>
      </c>
      <c r="E21" s="1" t="s">
        <v>52</v>
      </c>
      <c r="F21" s="2">
        <v>5034.723</v>
      </c>
      <c r="G21" s="2">
        <v>69.103999999999999</v>
      </c>
      <c r="H21" s="2">
        <v>3479.1950000000002</v>
      </c>
      <c r="I21" s="3">
        <v>11.815</v>
      </c>
      <c r="J21" s="3">
        <v>0</v>
      </c>
      <c r="K21" s="2">
        <v>0</v>
      </c>
      <c r="L21" s="2">
        <v>0</v>
      </c>
      <c r="M21" s="2">
        <v>0</v>
      </c>
      <c r="N21" s="2">
        <v>2.0768260000000001</v>
      </c>
      <c r="O21" s="2">
        <v>28.33859</v>
      </c>
      <c r="P21" s="2">
        <v>21.481819999999999</v>
      </c>
      <c r="Q21" s="2">
        <v>11.25238</v>
      </c>
      <c r="R21" s="2">
        <v>8.7609309999999994</v>
      </c>
      <c r="S21" s="2">
        <v>13.50792</v>
      </c>
      <c r="T21" s="2">
        <v>11.73676</v>
      </c>
      <c r="U21" s="2">
        <v>8.696377</v>
      </c>
      <c r="V21" s="2">
        <v>7.23576</v>
      </c>
      <c r="W21" s="2">
        <v>1.3159069999999999</v>
      </c>
      <c r="X21" s="2">
        <v>1.2495670000000001</v>
      </c>
      <c r="Y21" s="2">
        <v>1.126385</v>
      </c>
      <c r="Z21" s="2">
        <v>0.96029790000000004</v>
      </c>
      <c r="AA21" s="2">
        <v>39.633650000000003</v>
      </c>
      <c r="AB21" s="2">
        <v>12.131790000000001</v>
      </c>
      <c r="AC21" s="2">
        <v>7.9295299999999997</v>
      </c>
      <c r="AD21" s="2">
        <v>6.3295079999999997</v>
      </c>
      <c r="AE21" s="2">
        <v>3.7021350000000002</v>
      </c>
      <c r="AF21" s="2">
        <v>5.692844</v>
      </c>
      <c r="AG21" s="2">
        <v>7.4123869999999998</v>
      </c>
      <c r="AH21" s="2">
        <v>10.875920000000001</v>
      </c>
      <c r="AI21" s="2">
        <v>16.00196</v>
      </c>
      <c r="AJ21" s="2">
        <v>19.561419999999998</v>
      </c>
      <c r="AK21" s="3">
        <v>0.57894159999999995</v>
      </c>
      <c r="AL21" s="3">
        <v>0.30597479999999999</v>
      </c>
      <c r="AM21" s="2">
        <v>20.5641</v>
      </c>
      <c r="AN21" s="2">
        <v>21.956389999999999</v>
      </c>
      <c r="AO21" s="2">
        <v>26.57368</v>
      </c>
      <c r="AP21" s="2">
        <v>28.406939999999999</v>
      </c>
      <c r="AQ21" s="2">
        <v>8.1860470000000003</v>
      </c>
      <c r="AR21" s="2">
        <v>6.7282760000000001</v>
      </c>
      <c r="AS21" s="2">
        <v>4.8406289999999998</v>
      </c>
      <c r="AT21" s="2">
        <v>3.8486750000000001</v>
      </c>
      <c r="AU21" s="1" t="s">
        <v>5</v>
      </c>
      <c r="AV21" s="3">
        <v>1.3823529999999999</v>
      </c>
      <c r="AW21" s="3">
        <v>18</v>
      </c>
      <c r="AX21" s="2">
        <v>52.348709999999997</v>
      </c>
      <c r="AY21" s="2">
        <v>5.8168569999999997</v>
      </c>
      <c r="AZ21" s="2">
        <v>36.176789999999997</v>
      </c>
      <c r="BA21" s="2">
        <v>-32.926479999999998</v>
      </c>
      <c r="BB21" s="2">
        <v>9.7028730000000003</v>
      </c>
      <c r="BC21" s="3">
        <v>7.82</v>
      </c>
      <c r="BD21" s="2">
        <v>51.086950000000002</v>
      </c>
      <c r="BE21" s="3">
        <v>19.579999999999998</v>
      </c>
      <c r="BF21" s="2">
        <v>-39.657809999999998</v>
      </c>
      <c r="BG21" s="2">
        <v>0</v>
      </c>
      <c r="BH21" s="2">
        <v>2.1525439999999998</v>
      </c>
      <c r="BI21" s="2">
        <v>8.8333969999999997</v>
      </c>
      <c r="BJ21" s="2">
        <v>18.059049999999999</v>
      </c>
      <c r="BK21" s="2">
        <v>17</v>
      </c>
      <c r="BL21" s="2">
        <v>16</v>
      </c>
      <c r="BM21" s="4">
        <v>17</v>
      </c>
      <c r="BN21" s="4">
        <v>2</v>
      </c>
      <c r="BO21" s="4">
        <v>1</v>
      </c>
      <c r="BP21" s="4">
        <v>13</v>
      </c>
      <c r="BQ21" s="2">
        <v>12.5</v>
      </c>
      <c r="BR21" s="4">
        <v>11</v>
      </c>
      <c r="BS21" s="4">
        <v>0</v>
      </c>
      <c r="BT21" s="4">
        <v>17</v>
      </c>
      <c r="BU21" s="2">
        <v>64.705889999999997</v>
      </c>
      <c r="BV21" s="2">
        <v>11.055999999999999</v>
      </c>
      <c r="BW21" s="2">
        <v>426.12979999999999</v>
      </c>
      <c r="BX21" s="3">
        <v>1.560967</v>
      </c>
      <c r="BY21" s="3">
        <v>0.36631249999999999</v>
      </c>
      <c r="BZ21" s="2">
        <v>0.61514999999999997</v>
      </c>
      <c r="CA21" s="3">
        <v>0.36631249999999999</v>
      </c>
      <c r="CB21" s="3">
        <v>0.67099730000000002</v>
      </c>
      <c r="CC21" s="3">
        <v>0.56411670000000003</v>
      </c>
      <c r="CD21" s="2">
        <v>-15.92863</v>
      </c>
      <c r="CE21" s="3">
        <v>1041.3789999999999</v>
      </c>
      <c r="CF21" s="3">
        <v>918.7903</v>
      </c>
      <c r="CG21" s="2">
        <v>-11.77172</v>
      </c>
      <c r="CH21" s="3">
        <v>17.65765</v>
      </c>
      <c r="CI21" s="2">
        <v>1.938844</v>
      </c>
      <c r="CJ21" s="3">
        <v>6650.3379999999997</v>
      </c>
      <c r="CK21" s="3">
        <v>6584.192</v>
      </c>
      <c r="CL21" s="2">
        <v>-0.99462870000000003</v>
      </c>
      <c r="CM21" s="3">
        <v>10.589119999999999</v>
      </c>
      <c r="CN21" s="3">
        <v>10.34224</v>
      </c>
      <c r="CO21" s="3">
        <v>11.31423</v>
      </c>
      <c r="CP21" s="2">
        <v>11.576750000000001</v>
      </c>
      <c r="CQ21" s="2">
        <v>14.24028</v>
      </c>
      <c r="CR21" s="2">
        <v>4.4259909999999998</v>
      </c>
      <c r="CS21" s="2">
        <v>-2.3315190000000001</v>
      </c>
      <c r="CT21" s="2">
        <v>16.801380000000002</v>
      </c>
      <c r="CU21" s="3">
        <v>0.33371020000000001</v>
      </c>
      <c r="CV21" s="2">
        <v>-72.413790000000006</v>
      </c>
      <c r="CW21" s="2">
        <v>0.61025240000000003</v>
      </c>
      <c r="CX21" s="2">
        <v>6.5734269999999997</v>
      </c>
      <c r="CY21" s="2">
        <v>16.717169999999999</v>
      </c>
    </row>
    <row r="22" spans="1:103" ht="15" customHeight="1" x14ac:dyDescent="0.2">
      <c r="A22" s="1">
        <f t="shared" si="0"/>
        <v>16</v>
      </c>
      <c r="B22" s="1" t="s">
        <v>54</v>
      </c>
      <c r="C22" s="1" t="s">
        <v>53</v>
      </c>
      <c r="D22" s="1" t="s">
        <v>55</v>
      </c>
      <c r="E22" s="1" t="s">
        <v>56</v>
      </c>
      <c r="F22" s="2">
        <v>22149.09</v>
      </c>
      <c r="G22" s="2">
        <v>29.863099999999999</v>
      </c>
      <c r="H22" s="2">
        <v>6614.4059999999999</v>
      </c>
      <c r="I22" s="3">
        <v>20.92</v>
      </c>
      <c r="J22" s="3">
        <v>0</v>
      </c>
      <c r="K22" s="2">
        <v>7.6003829999999999</v>
      </c>
      <c r="L22" s="2">
        <v>4.9750030000000001</v>
      </c>
      <c r="M22" s="2">
        <v>5.4980019999999996</v>
      </c>
      <c r="N22" s="2">
        <v>6.3840950000000003</v>
      </c>
      <c r="O22" s="2">
        <v>9.2566380000000006</v>
      </c>
      <c r="P22" s="2">
        <v>14.32877</v>
      </c>
      <c r="Q22" s="2">
        <v>12.83436</v>
      </c>
      <c r="R22" s="2">
        <v>11.384180000000001</v>
      </c>
      <c r="S22" s="2">
        <v>5.3137629999999998</v>
      </c>
      <c r="T22" s="2">
        <v>7.2919739999999997</v>
      </c>
      <c r="U22" s="2">
        <v>6.9662800000000002</v>
      </c>
      <c r="V22" s="2">
        <v>6.6919399999999998</v>
      </c>
      <c r="W22" s="2">
        <v>3.9836499999999999</v>
      </c>
      <c r="X22" s="2">
        <v>4.0347160000000004</v>
      </c>
      <c r="Y22" s="2">
        <v>3.5971630000000001</v>
      </c>
      <c r="Z22" s="2">
        <v>3.1364320000000001</v>
      </c>
      <c r="AA22" s="2">
        <v>5.0723039999999999</v>
      </c>
      <c r="AB22" s="2">
        <v>6.5992259999999998</v>
      </c>
      <c r="AC22" s="2">
        <v>6.0974469999999998</v>
      </c>
      <c r="AD22" s="2">
        <v>5.5189079999999997</v>
      </c>
      <c r="AE22" s="2">
        <v>2.307601</v>
      </c>
      <c r="AF22" s="2">
        <v>2.861256</v>
      </c>
      <c r="AG22" s="2">
        <v>4.0752629999999996</v>
      </c>
      <c r="AH22" s="2">
        <v>3.5437080000000001</v>
      </c>
      <c r="AI22" s="2">
        <v>4.4437819999999997</v>
      </c>
      <c r="AJ22" s="2">
        <v>6.3170080000000004</v>
      </c>
      <c r="AK22" s="3" t="e">
        <v>#N/A</v>
      </c>
      <c r="AL22" s="3" t="e">
        <v>#N/A</v>
      </c>
      <c r="AM22" s="2">
        <v>16.91695</v>
      </c>
      <c r="AN22" s="2">
        <v>20.083670000000001</v>
      </c>
      <c r="AO22" s="2">
        <v>22.597449999999998</v>
      </c>
      <c r="AP22" s="2">
        <v>22.397570000000002</v>
      </c>
      <c r="AQ22" s="2">
        <v>1.9586699999999999</v>
      </c>
      <c r="AR22" s="2">
        <v>2.5435680000000001</v>
      </c>
      <c r="AS22" s="2">
        <v>2.480842</v>
      </c>
      <c r="AT22" s="2">
        <v>2.3748</v>
      </c>
      <c r="AU22" s="1" t="s">
        <v>57</v>
      </c>
      <c r="AV22" s="3">
        <v>1.5833330000000001</v>
      </c>
      <c r="AW22" s="3">
        <v>22.1</v>
      </c>
      <c r="AX22" s="2">
        <v>5.6405430000000001</v>
      </c>
      <c r="AY22" s="2">
        <v>28.158149999999999</v>
      </c>
      <c r="AZ22" s="2" t="e">
        <v>#N/A</v>
      </c>
      <c r="BA22" s="2">
        <v>9.6148849999999992</v>
      </c>
      <c r="BB22" s="2">
        <v>18.62773</v>
      </c>
      <c r="BC22" s="3">
        <v>14.07</v>
      </c>
      <c r="BD22" s="2">
        <v>48.68515</v>
      </c>
      <c r="BE22" s="3">
        <v>21.45</v>
      </c>
      <c r="BF22" s="2">
        <v>-2.470863</v>
      </c>
      <c r="BG22" s="2">
        <v>68.862390000000005</v>
      </c>
      <c r="BH22" s="2">
        <v>73.612430000000003</v>
      </c>
      <c r="BI22" s="2">
        <v>70.091399999999993</v>
      </c>
      <c r="BJ22" s="2">
        <v>72.883120000000005</v>
      </c>
      <c r="BK22" s="2">
        <v>21</v>
      </c>
      <c r="BL22" s="2">
        <v>19</v>
      </c>
      <c r="BM22" s="4">
        <v>24</v>
      </c>
      <c r="BN22" s="4">
        <v>0</v>
      </c>
      <c r="BO22" s="4">
        <v>2</v>
      </c>
      <c r="BP22" s="4">
        <v>22</v>
      </c>
      <c r="BQ22" s="2">
        <v>0</v>
      </c>
      <c r="BR22" s="4">
        <v>13</v>
      </c>
      <c r="BS22" s="4">
        <v>1</v>
      </c>
      <c r="BT22" s="4">
        <v>24</v>
      </c>
      <c r="BU22" s="2">
        <v>54.166670000000003</v>
      </c>
      <c r="BV22" s="2">
        <v>6.5033399999999997</v>
      </c>
      <c r="BW22" s="2">
        <v>1058.752</v>
      </c>
      <c r="BX22" s="3">
        <v>1.258599</v>
      </c>
      <c r="BY22" s="3">
        <v>0.1188757</v>
      </c>
      <c r="BZ22" s="2">
        <v>0.475499</v>
      </c>
      <c r="CA22" s="3">
        <v>0.1188757</v>
      </c>
      <c r="CB22" s="3">
        <v>1.542394</v>
      </c>
      <c r="CC22" s="3">
        <v>1.492183</v>
      </c>
      <c r="CD22" s="2">
        <v>-3.2554029999999998</v>
      </c>
      <c r="CE22" s="3">
        <v>2630.78</v>
      </c>
      <c r="CF22" s="3">
        <v>2698.7890000000002</v>
      </c>
      <c r="CG22" s="2">
        <v>2.5851130000000002</v>
      </c>
      <c r="CH22" s="3">
        <v>21.748950000000001</v>
      </c>
      <c r="CI22" s="2">
        <v>1.6141179999999999</v>
      </c>
      <c r="CJ22" s="3">
        <v>23824.73</v>
      </c>
      <c r="CK22" s="3">
        <v>24750.49</v>
      </c>
      <c r="CL22" s="2">
        <v>3.8857219999999999</v>
      </c>
      <c r="CM22" s="3">
        <v>18.393910000000002</v>
      </c>
      <c r="CN22" s="3">
        <v>20.2547</v>
      </c>
      <c r="CO22" s="3">
        <v>20.37116</v>
      </c>
      <c r="CP22" s="2">
        <v>13.733280000000001</v>
      </c>
      <c r="CQ22" s="2">
        <v>3.2846570000000002</v>
      </c>
      <c r="CR22" s="2">
        <v>2.694213</v>
      </c>
      <c r="CS22" s="2">
        <v>10.116339999999999</v>
      </c>
      <c r="CT22" s="2">
        <v>30.580010000000001</v>
      </c>
      <c r="CU22" s="3">
        <v>0.1380644</v>
      </c>
      <c r="CV22" s="2">
        <v>1.818182</v>
      </c>
      <c r="CW22" s="2">
        <v>-37.533650000000002</v>
      </c>
      <c r="CX22" s="2">
        <v>4.7619049999999996</v>
      </c>
      <c r="CY22" s="2">
        <v>16.898990000000001</v>
      </c>
    </row>
    <row r="23" spans="1:103" ht="15" customHeight="1" x14ac:dyDescent="0.2">
      <c r="A23" s="1">
        <f t="shared" si="0"/>
        <v>17</v>
      </c>
      <c r="B23" s="1" t="s">
        <v>59</v>
      </c>
      <c r="C23" s="1" t="s">
        <v>58</v>
      </c>
      <c r="D23" s="1" t="s">
        <v>60</v>
      </c>
      <c r="E23" s="1" t="s">
        <v>61</v>
      </c>
      <c r="F23" s="2">
        <v>1418.2739999999999</v>
      </c>
      <c r="G23" s="2">
        <v>44.985500000000002</v>
      </c>
      <c r="H23" s="2">
        <v>638.01769999999999</v>
      </c>
      <c r="I23" s="3">
        <v>6.4349999999999996</v>
      </c>
      <c r="J23" s="3">
        <v>0</v>
      </c>
      <c r="K23" s="2">
        <v>0</v>
      </c>
      <c r="L23" s="2">
        <v>0</v>
      </c>
      <c r="M23" s="2">
        <v>0</v>
      </c>
      <c r="N23" s="2">
        <v>0</v>
      </c>
      <c r="O23" s="2">
        <v>12.87</v>
      </c>
      <c r="P23" s="2">
        <v>18.38571</v>
      </c>
      <c r="Q23" s="2">
        <v>14.284129999999999</v>
      </c>
      <c r="R23" s="2">
        <v>12.14151</v>
      </c>
      <c r="S23" s="2">
        <v>8.5453320000000001</v>
      </c>
      <c r="T23" s="2">
        <v>9.0075090000000007</v>
      </c>
      <c r="U23" s="2">
        <v>8.2086500000000004</v>
      </c>
      <c r="V23" s="2">
        <v>7.7444139999999999</v>
      </c>
      <c r="W23" s="2">
        <v>3.4277419999999998</v>
      </c>
      <c r="X23" s="2">
        <v>2.9183669999999999</v>
      </c>
      <c r="Y23" s="2">
        <v>2.6265309999999999</v>
      </c>
      <c r="Z23" s="2">
        <v>2.2421600000000002</v>
      </c>
      <c r="AA23" s="2">
        <v>5.4096019999999996</v>
      </c>
      <c r="AB23" s="2">
        <v>5.6447370000000001</v>
      </c>
      <c r="AC23" s="2">
        <v>5.4075629999999997</v>
      </c>
      <c r="AD23" s="2">
        <v>4.7275539999999996</v>
      </c>
      <c r="AE23" s="2">
        <v>4.4208740000000004</v>
      </c>
      <c r="AF23" s="2">
        <v>4.896598</v>
      </c>
      <c r="AG23" s="2">
        <v>5.4569739999999998</v>
      </c>
      <c r="AH23" s="2">
        <v>12.241630000000001</v>
      </c>
      <c r="AI23" s="2">
        <v>13.348330000000001</v>
      </c>
      <c r="AJ23" s="2">
        <v>14.54119</v>
      </c>
      <c r="AK23" s="3">
        <v>9.5563649999999996</v>
      </c>
      <c r="AL23" s="3">
        <v>7.1222370000000002</v>
      </c>
      <c r="AM23" s="2">
        <v>25.46557</v>
      </c>
      <c r="AN23" s="2">
        <v>24.487500000000001</v>
      </c>
      <c r="AO23" s="2">
        <v>25.266760000000001</v>
      </c>
      <c r="AP23" s="2">
        <v>25.76558</v>
      </c>
      <c r="AQ23" s="2">
        <v>6.2036199999999999</v>
      </c>
      <c r="AR23" s="2">
        <v>5.7545869999999999</v>
      </c>
      <c r="AS23" s="2">
        <v>5.1974520000000002</v>
      </c>
      <c r="AT23" s="2">
        <v>4.8381150000000002</v>
      </c>
      <c r="AU23" s="1" t="s">
        <v>48</v>
      </c>
      <c r="AV23" s="3">
        <v>1.75</v>
      </c>
      <c r="AW23" s="3">
        <v>7.05</v>
      </c>
      <c r="AX23" s="2">
        <v>9.5571160000000006</v>
      </c>
      <c r="AY23" s="2">
        <v>15.87302</v>
      </c>
      <c r="AZ23" s="2">
        <v>2</v>
      </c>
      <c r="BA23" s="2">
        <v>0.15563959999999999</v>
      </c>
      <c r="BB23" s="2">
        <v>40.563560000000003</v>
      </c>
      <c r="BC23" s="3">
        <v>4.0620000000000003</v>
      </c>
      <c r="BD23" s="2">
        <v>58.419499999999999</v>
      </c>
      <c r="BE23" s="3">
        <v>7.0750000000000002</v>
      </c>
      <c r="BF23" s="2">
        <v>-9.0459350000000001</v>
      </c>
      <c r="BG23" s="2">
        <v>2.301431</v>
      </c>
      <c r="BH23" s="2">
        <v>8.0856349999999999</v>
      </c>
      <c r="BI23" s="2">
        <v>10.08305</v>
      </c>
      <c r="BJ23" s="2">
        <v>7.6442810000000003</v>
      </c>
      <c r="BK23" s="2">
        <v>12</v>
      </c>
      <c r="BL23" s="2">
        <v>12</v>
      </c>
      <c r="BM23" s="4">
        <v>12</v>
      </c>
      <c r="BN23" s="4">
        <v>0</v>
      </c>
      <c r="BO23" s="4">
        <v>1</v>
      </c>
      <c r="BP23" s="4">
        <v>12</v>
      </c>
      <c r="BQ23" s="2">
        <v>0</v>
      </c>
      <c r="BR23" s="4">
        <v>5</v>
      </c>
      <c r="BS23" s="4">
        <v>2</v>
      </c>
      <c r="BT23" s="4">
        <v>12</v>
      </c>
      <c r="BU23" s="2">
        <v>41.66666</v>
      </c>
      <c r="BV23" s="2">
        <v>16.682700000000001</v>
      </c>
      <c r="BW23" s="2">
        <v>220.4</v>
      </c>
      <c r="BX23" s="3">
        <v>1.0131110000000001</v>
      </c>
      <c r="BY23" s="3">
        <v>0.4596691</v>
      </c>
      <c r="BZ23" s="2">
        <v>2.3133599999999999</v>
      </c>
      <c r="CA23" s="3">
        <v>0.4596691</v>
      </c>
      <c r="CB23" s="3">
        <v>0.31479089999999998</v>
      </c>
      <c r="CC23" s="3">
        <v>0.3366866</v>
      </c>
      <c r="CD23" s="2">
        <v>6.9556360000000002</v>
      </c>
      <c r="CE23" s="3">
        <v>171.5419</v>
      </c>
      <c r="CF23" s="3">
        <v>174.2654</v>
      </c>
      <c r="CG23" s="2">
        <v>1.5876049999999999</v>
      </c>
      <c r="CH23" s="3">
        <v>6.4790099999999997</v>
      </c>
      <c r="CI23" s="2">
        <v>8.8129159999999995</v>
      </c>
      <c r="CJ23" s="3">
        <v>1743.0609999999999</v>
      </c>
      <c r="CK23" s="3">
        <v>1788.1859999999999</v>
      </c>
      <c r="CL23" s="2">
        <v>2.5888680000000002</v>
      </c>
      <c r="CM23" s="3">
        <v>5.4694140000000004</v>
      </c>
      <c r="CN23" s="3">
        <v>5.8945100000000004</v>
      </c>
      <c r="CO23" s="3">
        <v>5.9515390000000004</v>
      </c>
      <c r="CP23" s="2">
        <v>17.65429</v>
      </c>
      <c r="CQ23" s="2">
        <v>9.1693879999999996</v>
      </c>
      <c r="CR23" s="2">
        <v>8.1233020000000007</v>
      </c>
      <c r="CS23" s="2">
        <v>7.7722429999999996</v>
      </c>
      <c r="CT23" s="2">
        <v>5.5027049999999997</v>
      </c>
      <c r="CU23" s="3">
        <v>0.387986</v>
      </c>
      <c r="CV23" s="2" t="e">
        <v>#N/A</v>
      </c>
      <c r="CW23" s="2">
        <v>1.1586609999999999</v>
      </c>
      <c r="CX23" s="2">
        <v>-25.379909999999999</v>
      </c>
      <c r="CY23" s="2">
        <v>17.232320000000001</v>
      </c>
    </row>
    <row r="24" spans="1:103" ht="15" customHeight="1" x14ac:dyDescent="0.2">
      <c r="A24" s="1">
        <f t="shared" si="0"/>
        <v>18</v>
      </c>
      <c r="B24" s="1" t="s">
        <v>63</v>
      </c>
      <c r="C24" s="1" t="s">
        <v>62</v>
      </c>
      <c r="D24" s="1" t="s">
        <v>55</v>
      </c>
      <c r="E24" s="1" t="s">
        <v>56</v>
      </c>
      <c r="F24" s="2">
        <v>74584.429999999993</v>
      </c>
      <c r="G24" s="2">
        <v>97.539599999999993</v>
      </c>
      <c r="H24" s="2">
        <v>72749.350000000006</v>
      </c>
      <c r="I24" s="3">
        <v>11.57</v>
      </c>
      <c r="J24" s="3">
        <v>0</v>
      </c>
      <c r="K24" s="2">
        <v>4.2350909999999997</v>
      </c>
      <c r="L24" s="2">
        <v>4.4079519999999999</v>
      </c>
      <c r="M24" s="2">
        <v>4.667243</v>
      </c>
      <c r="N24" s="2">
        <v>4.9265340000000002</v>
      </c>
      <c r="O24" s="2">
        <v>17.5303</v>
      </c>
      <c r="P24" s="2">
        <v>16.230370000000001</v>
      </c>
      <c r="Q24" s="2">
        <v>15.63513</v>
      </c>
      <c r="R24" s="2">
        <v>14.283950000000001</v>
      </c>
      <c r="S24" s="2">
        <v>8.5641590000000001</v>
      </c>
      <c r="T24" s="2">
        <v>8.7724279999999997</v>
      </c>
      <c r="U24" s="2">
        <v>8.5282839999999993</v>
      </c>
      <c r="V24" s="2">
        <v>8.2017600000000002</v>
      </c>
      <c r="W24" s="2">
        <v>1.7240150000000001</v>
      </c>
      <c r="X24" s="2">
        <v>1.6475120000000001</v>
      </c>
      <c r="Y24" s="2">
        <v>1.5635129999999999</v>
      </c>
      <c r="Z24" s="2">
        <v>1.534483</v>
      </c>
      <c r="AA24" s="2">
        <v>7.8218170000000002</v>
      </c>
      <c r="AB24" s="2">
        <v>7.0437190000000003</v>
      </c>
      <c r="AC24" s="2">
        <v>6.7700610000000001</v>
      </c>
      <c r="AD24" s="2">
        <v>6.376633</v>
      </c>
      <c r="AE24" s="2">
        <v>-2.885335</v>
      </c>
      <c r="AF24" s="2">
        <v>-0.47076390000000001</v>
      </c>
      <c r="AG24" s="2">
        <v>0.1313482</v>
      </c>
      <c r="AH24" s="2">
        <v>-4.8962060000000003</v>
      </c>
      <c r="AI24" s="2">
        <v>-0.81222110000000003</v>
      </c>
      <c r="AJ24" s="2">
        <v>0.23250270000000001</v>
      </c>
      <c r="AK24" s="3">
        <v>1.996464</v>
      </c>
      <c r="AL24" s="3">
        <v>1.937249</v>
      </c>
      <c r="AM24" s="2">
        <v>24.519449999999999</v>
      </c>
      <c r="AN24" s="2">
        <v>26.559560000000001</v>
      </c>
      <c r="AO24" s="2">
        <v>27.753530000000001</v>
      </c>
      <c r="AP24" s="2">
        <v>28.02402</v>
      </c>
      <c r="AQ24" s="2">
        <v>3.3073030000000001</v>
      </c>
      <c r="AR24" s="2">
        <v>3.6028349999999998</v>
      </c>
      <c r="AS24" s="2">
        <v>3.5852840000000001</v>
      </c>
      <c r="AT24" s="2">
        <v>3.5683229999999999</v>
      </c>
      <c r="AU24" s="1" t="s">
        <v>48</v>
      </c>
      <c r="AV24" s="3">
        <v>1.611111</v>
      </c>
      <c r="AW24" s="3">
        <v>12.35</v>
      </c>
      <c r="AX24" s="2">
        <v>6.7415830000000003</v>
      </c>
      <c r="AY24" s="2">
        <v>10.1508</v>
      </c>
      <c r="AZ24" s="2">
        <v>8.0385679999999997</v>
      </c>
      <c r="BA24" s="2">
        <v>17.20016</v>
      </c>
      <c r="BB24" s="2">
        <v>5.8554409999999999</v>
      </c>
      <c r="BC24" s="3">
        <v>9.09</v>
      </c>
      <c r="BD24" s="2">
        <v>27.282730000000001</v>
      </c>
      <c r="BE24" s="3">
        <v>11.96</v>
      </c>
      <c r="BF24" s="2">
        <v>-3.260875</v>
      </c>
      <c r="BG24" s="2">
        <v>72.764390000000006</v>
      </c>
      <c r="BH24" s="2">
        <v>71.839349999999996</v>
      </c>
      <c r="BI24" s="2">
        <v>72.455150000000003</v>
      </c>
      <c r="BJ24" s="2">
        <v>70.627499999999998</v>
      </c>
      <c r="BK24" s="2">
        <v>26</v>
      </c>
      <c r="BL24" s="2">
        <v>24</v>
      </c>
      <c r="BM24" s="4">
        <v>27</v>
      </c>
      <c r="BN24" s="4">
        <v>1</v>
      </c>
      <c r="BO24" s="4">
        <v>2</v>
      </c>
      <c r="BP24" s="4">
        <v>24</v>
      </c>
      <c r="BQ24" s="2">
        <v>3.7037040000000001</v>
      </c>
      <c r="BR24" s="4">
        <v>13</v>
      </c>
      <c r="BS24" s="4">
        <v>1</v>
      </c>
      <c r="BT24" s="4">
        <v>27</v>
      </c>
      <c r="BU24" s="2">
        <v>48.148150000000001</v>
      </c>
      <c r="BV24" s="2">
        <v>6.6747899999999998</v>
      </c>
      <c r="BW24" s="2">
        <v>6446.3639999999996</v>
      </c>
      <c r="BX24" s="3">
        <v>12.111520000000001</v>
      </c>
      <c r="BY24" s="3">
        <v>0.1878814</v>
      </c>
      <c r="BZ24" s="2">
        <v>0.56386499999999995</v>
      </c>
      <c r="CA24" s="3">
        <v>0.1878814</v>
      </c>
      <c r="CB24" s="3">
        <v>0.70722569999999996</v>
      </c>
      <c r="CC24" s="3">
        <v>0.71676249999999997</v>
      </c>
      <c r="CD24" s="2">
        <v>1.348484</v>
      </c>
      <c r="CE24" s="3">
        <v>8795.9320000000007</v>
      </c>
      <c r="CF24" s="3">
        <v>8883.2459999999992</v>
      </c>
      <c r="CG24" s="2">
        <v>0.99266770000000004</v>
      </c>
      <c r="CH24" s="3">
        <v>11.950760000000001</v>
      </c>
      <c r="CI24" s="2">
        <v>3.3407330000000002</v>
      </c>
      <c r="CJ24" s="3">
        <v>51539.81</v>
      </c>
      <c r="CK24" s="3">
        <v>52935.17</v>
      </c>
      <c r="CL24" s="2">
        <v>2.707338</v>
      </c>
      <c r="CM24" s="3">
        <v>10.870649999999999</v>
      </c>
      <c r="CN24" s="3">
        <v>11.66539</v>
      </c>
      <c r="CO24" s="3">
        <v>11.59173</v>
      </c>
      <c r="CP24" s="2">
        <v>6.4333920000000004</v>
      </c>
      <c r="CQ24" s="2">
        <v>-0.81772210000000001</v>
      </c>
      <c r="CR24" s="2">
        <v>-0.18747449999999999</v>
      </c>
      <c r="CS24" s="2">
        <v>7.3108909999999998</v>
      </c>
      <c r="CT24" s="2">
        <v>140.03200000000001</v>
      </c>
      <c r="CU24" s="3">
        <v>0.18774969999999999</v>
      </c>
      <c r="CV24" s="2">
        <v>34.4086</v>
      </c>
      <c r="CW24" s="2" t="e">
        <v>#N/A</v>
      </c>
      <c r="CX24" s="2">
        <v>10.64415</v>
      </c>
      <c r="CY24" s="2">
        <v>17.292929999999998</v>
      </c>
    </row>
    <row r="25" spans="1:103" ht="15" customHeight="1" x14ac:dyDescent="0.2">
      <c r="A25" s="1">
        <f t="shared" si="0"/>
        <v>19</v>
      </c>
      <c r="B25" s="1" t="s">
        <v>65</v>
      </c>
      <c r="C25" s="1" t="s">
        <v>64</v>
      </c>
      <c r="D25" s="1" t="s">
        <v>15</v>
      </c>
      <c r="E25" s="1" t="s">
        <v>16</v>
      </c>
      <c r="F25" s="2">
        <v>5175.6710000000003</v>
      </c>
      <c r="G25" s="2">
        <v>70.785300000000007</v>
      </c>
      <c r="H25" s="2">
        <v>3663.614</v>
      </c>
      <c r="I25" s="3">
        <v>5.758</v>
      </c>
      <c r="J25" s="3">
        <v>0</v>
      </c>
      <c r="K25" s="2">
        <v>5.3838140000000001</v>
      </c>
      <c r="L25" s="2">
        <v>6.634665</v>
      </c>
      <c r="M25" s="2">
        <v>6.4258430000000004</v>
      </c>
      <c r="N25" s="2">
        <v>7.2073640000000001</v>
      </c>
      <c r="O25" s="2">
        <v>9.4393429999999992</v>
      </c>
      <c r="P25" s="2">
        <v>7.5031600000000003</v>
      </c>
      <c r="Q25" s="2">
        <v>7.7810810000000004</v>
      </c>
      <c r="R25" s="2">
        <v>6.8958079999999997</v>
      </c>
      <c r="S25" s="2" t="e">
        <v>#N/A</v>
      </c>
      <c r="T25" s="2" t="e">
        <v>#N/A</v>
      </c>
      <c r="U25" s="2" t="e">
        <v>#N/A</v>
      </c>
      <c r="V25" s="2" t="e">
        <v>#N/A</v>
      </c>
      <c r="W25" s="2">
        <v>1.0545789999999999</v>
      </c>
      <c r="X25" s="2">
        <v>0.98765009999999998</v>
      </c>
      <c r="Y25" s="2">
        <v>0.93331399999999998</v>
      </c>
      <c r="Z25" s="2">
        <v>0.87640790000000002</v>
      </c>
      <c r="AA25" s="2" t="e">
        <v>#N/A</v>
      </c>
      <c r="AB25" s="2" t="e">
        <v>#N/A</v>
      </c>
      <c r="AC25" s="2" t="e">
        <v>#N/A</v>
      </c>
      <c r="AD25" s="2" t="e">
        <v>#N/A</v>
      </c>
      <c r="AE25" s="2" t="e">
        <v>#N/A</v>
      </c>
      <c r="AF25" s="2" t="e">
        <v>#N/A</v>
      </c>
      <c r="AG25" s="2" t="e">
        <v>#N/A</v>
      </c>
      <c r="AH25" s="2" t="e">
        <v>#N/A</v>
      </c>
      <c r="AI25" s="2" t="e">
        <v>#N/A</v>
      </c>
      <c r="AJ25" s="2" t="e">
        <v>#N/A</v>
      </c>
      <c r="AK25" s="3">
        <v>1.0799879999999999</v>
      </c>
      <c r="AL25" s="3">
        <v>1.1187320000000001</v>
      </c>
      <c r="AM25" s="2" t="e">
        <v>#N/A</v>
      </c>
      <c r="AN25" s="2" t="e">
        <v>#N/A</v>
      </c>
      <c r="AO25" s="2" t="e">
        <v>#N/A</v>
      </c>
      <c r="AP25" s="2" t="e">
        <v>#N/A</v>
      </c>
      <c r="AQ25" s="2" t="e">
        <v>#N/A</v>
      </c>
      <c r="AR25" s="2" t="e">
        <v>#N/A</v>
      </c>
      <c r="AS25" s="2" t="e">
        <v>#N/A</v>
      </c>
      <c r="AT25" s="2" t="e">
        <v>#N/A</v>
      </c>
      <c r="AU25" s="1" t="s">
        <v>57</v>
      </c>
      <c r="AV25" s="3">
        <v>1.6</v>
      </c>
      <c r="AW25" s="3">
        <v>7.05</v>
      </c>
      <c r="AX25" s="2">
        <v>22.43835</v>
      </c>
      <c r="AY25" s="2">
        <v>13.163119999999999</v>
      </c>
      <c r="AZ25" s="2">
        <v>6.74472</v>
      </c>
      <c r="BA25" s="2">
        <v>5.4192660000000004</v>
      </c>
      <c r="BB25" s="2">
        <v>-8.1365700000000007</v>
      </c>
      <c r="BC25" s="3">
        <v>4.5309999999999997</v>
      </c>
      <c r="BD25" s="2">
        <v>27.080110000000001</v>
      </c>
      <c r="BE25" s="3">
        <v>6.9340000000000002</v>
      </c>
      <c r="BF25" s="2">
        <v>-16.959910000000001</v>
      </c>
      <c r="BG25" s="2">
        <v>49.819800000000001</v>
      </c>
      <c r="BH25" s="2">
        <v>49.945650000000001</v>
      </c>
      <c r="BI25" s="2">
        <v>49.691490000000002</v>
      </c>
      <c r="BJ25" s="2">
        <v>51.408450000000002</v>
      </c>
      <c r="BK25" s="2">
        <v>20</v>
      </c>
      <c r="BL25" s="2">
        <v>13</v>
      </c>
      <c r="BM25" s="4">
        <v>20</v>
      </c>
      <c r="BN25" s="4">
        <v>3</v>
      </c>
      <c r="BO25" s="4">
        <v>2</v>
      </c>
      <c r="BP25" s="4">
        <v>18</v>
      </c>
      <c r="BQ25" s="2">
        <v>13.043480000000001</v>
      </c>
      <c r="BR25" s="4">
        <v>10</v>
      </c>
      <c r="BS25" s="4">
        <v>2</v>
      </c>
      <c r="BT25" s="4">
        <v>20</v>
      </c>
      <c r="BU25" s="2">
        <v>50</v>
      </c>
      <c r="BV25" s="2">
        <v>10.118</v>
      </c>
      <c r="BW25" s="2">
        <v>898.86609999999996</v>
      </c>
      <c r="BX25" s="3">
        <v>3.4130180000000001</v>
      </c>
      <c r="BY25" s="3">
        <v>0.3797026</v>
      </c>
      <c r="BZ25" s="2">
        <v>0.87656199999999995</v>
      </c>
      <c r="CA25" s="3">
        <v>0.3797026</v>
      </c>
      <c r="CB25" s="3">
        <v>0.74425019999999997</v>
      </c>
      <c r="CC25" s="3">
        <v>0.79047650000000003</v>
      </c>
      <c r="CD25" s="2">
        <v>6.2111140000000002</v>
      </c>
      <c r="CE25" s="3">
        <v>1415.0060000000001</v>
      </c>
      <c r="CF25" s="3">
        <v>1486.34</v>
      </c>
      <c r="CG25" s="2">
        <v>5.0412299999999997</v>
      </c>
      <c r="CH25" s="3">
        <v>7.6215000000000002</v>
      </c>
      <c r="CI25" s="2">
        <v>-7.4985210000000002</v>
      </c>
      <c r="CJ25" s="3">
        <v>2415.1030000000001</v>
      </c>
      <c r="CK25" s="3">
        <v>2465.9830000000002</v>
      </c>
      <c r="CL25" s="2">
        <v>2.1067260000000001</v>
      </c>
      <c r="CM25" s="3">
        <v>5.9462979999999996</v>
      </c>
      <c r="CN25" s="3">
        <v>5.4338819999999997</v>
      </c>
      <c r="CO25" s="3">
        <v>5.4538460000000004</v>
      </c>
      <c r="CP25" s="2">
        <v>-3.1666400000000001</v>
      </c>
      <c r="CQ25" s="2">
        <v>5.9647680000000003</v>
      </c>
      <c r="CR25" s="2">
        <v>5.5768849999999999</v>
      </c>
      <c r="CS25" s="2">
        <v>-8.6173950000000001</v>
      </c>
      <c r="CT25" s="2">
        <v>20.1327</v>
      </c>
      <c r="CU25" s="3">
        <v>0.38898719999999998</v>
      </c>
      <c r="CV25" s="2">
        <v>20.08952</v>
      </c>
      <c r="CW25" s="2">
        <v>9.8020409999999991</v>
      </c>
      <c r="CX25" s="2">
        <v>15.5</v>
      </c>
      <c r="CY25" s="2">
        <v>17.434339999999999</v>
      </c>
    </row>
    <row r="26" spans="1:103" ht="15" customHeight="1" x14ac:dyDescent="0.2">
      <c r="A26" s="1">
        <f t="shared" si="0"/>
        <v>20</v>
      </c>
      <c r="B26" s="1" t="s">
        <v>67</v>
      </c>
      <c r="C26" s="1" t="s">
        <v>66</v>
      </c>
      <c r="D26" s="1" t="s">
        <v>27</v>
      </c>
      <c r="E26" s="1" t="s">
        <v>28</v>
      </c>
      <c r="F26" s="2">
        <v>8687.0810000000001</v>
      </c>
      <c r="G26" s="2">
        <v>73.113600000000005</v>
      </c>
      <c r="H26" s="2">
        <v>6351.4380000000001</v>
      </c>
      <c r="I26" s="3">
        <v>31.23</v>
      </c>
      <c r="J26" s="3">
        <v>0</v>
      </c>
      <c r="K26" s="2">
        <v>6.4040990000000004</v>
      </c>
      <c r="L26" s="2">
        <v>6.4040990000000004</v>
      </c>
      <c r="M26" s="2">
        <v>6.4040990000000004</v>
      </c>
      <c r="N26" s="2">
        <v>6.4040990000000004</v>
      </c>
      <c r="O26" s="2">
        <v>12.492000000000001</v>
      </c>
      <c r="P26" s="2">
        <v>15.234730000000001</v>
      </c>
      <c r="Q26" s="2">
        <v>14.26027</v>
      </c>
      <c r="R26" s="2">
        <v>12.44223</v>
      </c>
      <c r="S26" s="2">
        <v>4.2261550000000003</v>
      </c>
      <c r="T26" s="2">
        <v>5.0812109999999997</v>
      </c>
      <c r="U26" s="2">
        <v>4.6456989999999996</v>
      </c>
      <c r="V26" s="2">
        <v>4.1763130000000004</v>
      </c>
      <c r="W26" s="2" t="e">
        <v>#N/A</v>
      </c>
      <c r="X26" s="2">
        <v>1.607308</v>
      </c>
      <c r="Y26" s="2">
        <v>1.620654</v>
      </c>
      <c r="Z26" s="2">
        <v>1.5361530000000001</v>
      </c>
      <c r="AA26" s="2">
        <v>7.5152390000000002</v>
      </c>
      <c r="AB26" s="2">
        <v>7.1628439999999998</v>
      </c>
      <c r="AC26" s="2">
        <v>7.1368980000000004</v>
      </c>
      <c r="AD26" s="2">
        <v>7.3614540000000002</v>
      </c>
      <c r="AE26" s="2">
        <v>8.6168390000000006</v>
      </c>
      <c r="AF26" s="2">
        <v>11.43191</v>
      </c>
      <c r="AG26" s="2">
        <v>12.292529999999999</v>
      </c>
      <c r="AH26" s="2">
        <v>9.5052120000000002</v>
      </c>
      <c r="AI26" s="2">
        <v>12.06884</v>
      </c>
      <c r="AJ26" s="2">
        <v>12.507860000000001</v>
      </c>
      <c r="AK26" s="3">
        <v>0.64909399999999995</v>
      </c>
      <c r="AL26" s="3">
        <v>0.61158539999999995</v>
      </c>
      <c r="AM26" s="2">
        <v>5.1970850000000004</v>
      </c>
      <c r="AN26" s="2">
        <v>5.3098390000000002</v>
      </c>
      <c r="AO26" s="2">
        <v>5.4220499999999996</v>
      </c>
      <c r="AP26" s="2">
        <v>5.6805289999999999</v>
      </c>
      <c r="AQ26" s="2">
        <v>-0.1282161</v>
      </c>
      <c r="AR26" s="2">
        <v>0.47489819999999999</v>
      </c>
      <c r="AS26" s="2">
        <v>0.2451749</v>
      </c>
      <c r="AT26" s="2">
        <v>7.189864E-2</v>
      </c>
      <c r="AU26" s="1" t="s">
        <v>68</v>
      </c>
      <c r="AV26" s="3">
        <v>1.59375</v>
      </c>
      <c r="AW26" s="3">
        <v>31</v>
      </c>
      <c r="AX26" s="2">
        <v>-0.73646900000000004</v>
      </c>
      <c r="AY26" s="2">
        <v>10.55029</v>
      </c>
      <c r="AZ26" s="2">
        <v>23</v>
      </c>
      <c r="BA26" s="2">
        <v>30.016649999999998</v>
      </c>
      <c r="BB26" s="2">
        <v>16.660440000000001</v>
      </c>
      <c r="BC26" s="3">
        <v>20.69</v>
      </c>
      <c r="BD26" s="2">
        <v>50.942480000000003</v>
      </c>
      <c r="BE26" s="3">
        <v>32.229999999999997</v>
      </c>
      <c r="BF26" s="2">
        <v>-3.1027019999999998</v>
      </c>
      <c r="BG26" s="2">
        <v>81.05</v>
      </c>
      <c r="BH26" s="2">
        <v>95.108500000000006</v>
      </c>
      <c r="BI26" s="2">
        <v>90.311920000000001</v>
      </c>
      <c r="BJ26" s="2">
        <v>78.5351</v>
      </c>
      <c r="BK26" s="2">
        <v>12</v>
      </c>
      <c r="BL26" s="2">
        <v>12</v>
      </c>
      <c r="BM26" s="4">
        <v>16</v>
      </c>
      <c r="BN26" s="4">
        <v>1</v>
      </c>
      <c r="BO26" s="4">
        <v>2</v>
      </c>
      <c r="BP26" s="4">
        <v>14</v>
      </c>
      <c r="BQ26" s="2">
        <v>5.8823530000000002</v>
      </c>
      <c r="BR26" s="4">
        <v>8</v>
      </c>
      <c r="BS26" s="4">
        <v>2</v>
      </c>
      <c r="BT26" s="4">
        <v>16</v>
      </c>
      <c r="BU26" s="2">
        <v>50</v>
      </c>
      <c r="BV26" s="2">
        <v>8.1486800000000006</v>
      </c>
      <c r="BW26" s="2">
        <v>278.16460000000001</v>
      </c>
      <c r="BX26" s="3">
        <v>0.66564610000000002</v>
      </c>
      <c r="BY26" s="3">
        <v>0.23929929999999999</v>
      </c>
      <c r="BZ26" s="2">
        <v>0.98453500000000005</v>
      </c>
      <c r="CA26" s="3">
        <v>0.23929929999999999</v>
      </c>
      <c r="CB26" s="3">
        <v>2.0879479999999999</v>
      </c>
      <c r="CC26" s="3">
        <v>2.091879</v>
      </c>
      <c r="CD26" s="2">
        <v>0.1882672</v>
      </c>
      <c r="CE26" s="3">
        <v>1251.4179999999999</v>
      </c>
      <c r="CF26" s="3">
        <v>1225.933</v>
      </c>
      <c r="CG26" s="2">
        <v>-2.0364879999999999</v>
      </c>
      <c r="CH26" s="3">
        <v>30.363880000000002</v>
      </c>
      <c r="CI26" s="2">
        <v>2.0949840000000002</v>
      </c>
      <c r="CJ26" s="3">
        <v>32844.19</v>
      </c>
      <c r="CK26" s="3">
        <v>35013.910000000003</v>
      </c>
      <c r="CL26" s="2">
        <v>6.6061139999999998</v>
      </c>
      <c r="CM26" s="3">
        <v>27.54851</v>
      </c>
      <c r="CN26" s="3">
        <v>31.079809999999998</v>
      </c>
      <c r="CO26" s="3">
        <v>31.27346</v>
      </c>
      <c r="CP26" s="2">
        <v>13.363659999999999</v>
      </c>
      <c r="CQ26" s="2">
        <v>0.48325059999999997</v>
      </c>
      <c r="CR26" s="2">
        <v>-0.13896819999999999</v>
      </c>
      <c r="CS26" s="2">
        <v>12.81846</v>
      </c>
      <c r="CT26" s="2">
        <v>16.626149999999999</v>
      </c>
      <c r="CU26" s="3">
        <v>0.19138939999999999</v>
      </c>
      <c r="CV26" s="2">
        <v>19.34892</v>
      </c>
      <c r="CW26" s="2">
        <v>2.2115809999999998</v>
      </c>
      <c r="CX26" s="2">
        <v>1.0785819999999999</v>
      </c>
      <c r="CY26" s="2">
        <v>17.66667</v>
      </c>
    </row>
    <row r="27" spans="1:103" ht="15" customHeight="1" x14ac:dyDescent="0.2">
      <c r="A27" s="1">
        <f t="shared" si="0"/>
        <v>21</v>
      </c>
      <c r="B27" s="1" t="s">
        <v>70</v>
      </c>
      <c r="C27" s="1" t="s">
        <v>69</v>
      </c>
      <c r="D27" s="1" t="s">
        <v>39</v>
      </c>
      <c r="E27" s="1" t="s">
        <v>40</v>
      </c>
      <c r="F27" s="2">
        <v>20981.439999999999</v>
      </c>
      <c r="G27" s="2">
        <v>88.970200000000006</v>
      </c>
      <c r="H27" s="2">
        <v>18667.23</v>
      </c>
      <c r="I27" s="3">
        <v>3.633</v>
      </c>
      <c r="J27" s="3">
        <v>0</v>
      </c>
      <c r="K27" s="2">
        <v>8.2576389999999993</v>
      </c>
      <c r="L27" s="2">
        <v>8.2576389999999993</v>
      </c>
      <c r="M27" s="2">
        <v>8.2576389999999993</v>
      </c>
      <c r="N27" s="2">
        <v>8.2576389999999993</v>
      </c>
      <c r="O27" s="2">
        <v>11.00909</v>
      </c>
      <c r="P27" s="2">
        <v>11.353120000000001</v>
      </c>
      <c r="Q27" s="2">
        <v>10.2338</v>
      </c>
      <c r="R27" s="2">
        <v>10.701029999999999</v>
      </c>
      <c r="S27" s="2">
        <v>4.3886580000000004</v>
      </c>
      <c r="T27" s="2">
        <v>4.2590370000000002</v>
      </c>
      <c r="U27" s="2">
        <v>4.2148349999999999</v>
      </c>
      <c r="V27" s="2">
        <v>4.2002740000000003</v>
      </c>
      <c r="W27" s="2">
        <v>0.83122149999999995</v>
      </c>
      <c r="X27" s="2">
        <v>0.83885030000000005</v>
      </c>
      <c r="Y27" s="2">
        <v>0.84581309999999998</v>
      </c>
      <c r="Z27" s="2">
        <v>0.85059960000000001</v>
      </c>
      <c r="AA27" s="2">
        <v>1.8823829999999999</v>
      </c>
      <c r="AB27" s="2">
        <v>2.0133899999999998</v>
      </c>
      <c r="AC27" s="2">
        <v>1.9995689999999999</v>
      </c>
      <c r="AD27" s="2">
        <v>1.978936</v>
      </c>
      <c r="AE27" s="2">
        <v>6.0955009999999996</v>
      </c>
      <c r="AF27" s="2">
        <v>6.1527070000000004</v>
      </c>
      <c r="AG27" s="2">
        <v>6.2148459999999996</v>
      </c>
      <c r="AH27" s="2">
        <v>16.08034</v>
      </c>
      <c r="AI27" s="2">
        <v>16.12613</v>
      </c>
      <c r="AJ27" s="2">
        <v>16.398879999999998</v>
      </c>
      <c r="AK27" s="3">
        <v>0.55468779999999995</v>
      </c>
      <c r="AL27" s="3">
        <v>0.49336469999999999</v>
      </c>
      <c r="AM27" s="2">
        <v>32.136699999999998</v>
      </c>
      <c r="AN27" s="2">
        <v>32.103160000000003</v>
      </c>
      <c r="AO27" s="2">
        <v>32.057020000000001</v>
      </c>
      <c r="AP27" s="2">
        <v>32.190660000000001</v>
      </c>
      <c r="AQ27" s="2">
        <v>2.7649949999999999</v>
      </c>
      <c r="AR27" s="2">
        <v>2.6445829999999999</v>
      </c>
      <c r="AS27" s="2">
        <v>2.606722</v>
      </c>
      <c r="AT27" s="2">
        <v>2.6084540000000001</v>
      </c>
      <c r="AU27" s="1" t="s">
        <v>48</v>
      </c>
      <c r="AV27" s="3">
        <v>1.62</v>
      </c>
      <c r="AW27" s="3">
        <v>4.4000000000000004</v>
      </c>
      <c r="AX27" s="2">
        <v>21.11204</v>
      </c>
      <c r="AY27" s="2">
        <v>7.3887179999999999</v>
      </c>
      <c r="AZ27" s="2">
        <v>20.195509999999999</v>
      </c>
      <c r="BA27" s="2">
        <v>-17.600359999999998</v>
      </c>
      <c r="BB27" s="2">
        <v>7.3264360000000002</v>
      </c>
      <c r="BC27" s="3">
        <v>3.218</v>
      </c>
      <c r="BD27" s="2">
        <v>12.8962</v>
      </c>
      <c r="BE27" s="3">
        <v>4.9569999999999999</v>
      </c>
      <c r="BF27" s="2">
        <v>-26.709700000000002</v>
      </c>
      <c r="BG27" s="2">
        <v>90.909099999999995</v>
      </c>
      <c r="BH27" s="2">
        <v>88.410920000000004</v>
      </c>
      <c r="BI27" s="2">
        <v>78.967119999999994</v>
      </c>
      <c r="BJ27" s="2">
        <v>72.089309999999998</v>
      </c>
      <c r="BK27" s="2">
        <v>21</v>
      </c>
      <c r="BL27" s="2">
        <v>18</v>
      </c>
      <c r="BM27" s="4">
        <v>25</v>
      </c>
      <c r="BN27" s="4">
        <v>2</v>
      </c>
      <c r="BO27" s="4">
        <v>1</v>
      </c>
      <c r="BP27" s="4">
        <v>23</v>
      </c>
      <c r="BQ27" s="2">
        <v>7.6923079999999997</v>
      </c>
      <c r="BR27" s="4">
        <v>12</v>
      </c>
      <c r="BS27" s="4">
        <v>2</v>
      </c>
      <c r="BT27" s="4">
        <v>25</v>
      </c>
      <c r="BU27" s="2">
        <v>48</v>
      </c>
      <c r="BV27" s="2">
        <v>8.85731</v>
      </c>
      <c r="BW27" s="2">
        <v>5775.2380000000003</v>
      </c>
      <c r="BX27" s="3">
        <v>16.93149</v>
      </c>
      <c r="BY27" s="3">
        <v>0.29317379999999998</v>
      </c>
      <c r="BZ27" s="2">
        <v>0.92557500000000004</v>
      </c>
      <c r="CA27" s="3">
        <v>0.29317379999999998</v>
      </c>
      <c r="CB27" s="3">
        <v>0.3000234</v>
      </c>
      <c r="CC27" s="3">
        <v>0.33649689999999999</v>
      </c>
      <c r="CD27" s="2">
        <v>12.156890000000001</v>
      </c>
      <c r="CE27" s="3">
        <v>4162.5240000000003</v>
      </c>
      <c r="CF27" s="3">
        <v>4173.9930000000004</v>
      </c>
      <c r="CG27" s="2">
        <v>0.27552840000000001</v>
      </c>
      <c r="CH27" s="3">
        <v>4.2496</v>
      </c>
      <c r="CI27" s="2">
        <v>3.5391569999999999</v>
      </c>
      <c r="CJ27" s="3">
        <v>40219.29</v>
      </c>
      <c r="CK27" s="3">
        <v>40427.68</v>
      </c>
      <c r="CL27" s="2">
        <v>0.51815509999999998</v>
      </c>
      <c r="CM27" s="3">
        <v>3.6938249999999999</v>
      </c>
      <c r="CN27" s="3">
        <v>3.97851</v>
      </c>
      <c r="CO27" s="3">
        <v>3.9017689999999998</v>
      </c>
      <c r="CP27" s="2">
        <v>-1.6466860000000001</v>
      </c>
      <c r="CQ27" s="2">
        <v>-8.6844149999999996</v>
      </c>
      <c r="CR27" s="2">
        <v>-6.8884020000000001</v>
      </c>
      <c r="CS27" s="2">
        <v>7.7070360000000004</v>
      </c>
      <c r="CT27" s="2">
        <v>69.070099999999996</v>
      </c>
      <c r="CU27" s="3">
        <v>0.32919619999999999</v>
      </c>
      <c r="CV27" s="2">
        <v>12.5</v>
      </c>
      <c r="CW27" s="2">
        <v>2.6180970000000001</v>
      </c>
      <c r="CX27" s="2">
        <v>2.241981</v>
      </c>
      <c r="CY27" s="2">
        <v>17.757580000000001</v>
      </c>
    </row>
    <row r="28" spans="1:103" ht="15" customHeight="1" x14ac:dyDescent="0.2">
      <c r="A28" s="1">
        <f t="shared" si="0"/>
        <v>22</v>
      </c>
      <c r="B28" s="1" t="s">
        <v>72</v>
      </c>
      <c r="C28" s="1" t="s">
        <v>71</v>
      </c>
      <c r="D28" s="1" t="s">
        <v>27</v>
      </c>
      <c r="E28" s="1" t="s">
        <v>28</v>
      </c>
      <c r="F28" s="2">
        <v>20979.46</v>
      </c>
      <c r="G28" s="2">
        <v>66.380200000000002</v>
      </c>
      <c r="H28" s="2">
        <v>13926.21</v>
      </c>
      <c r="I28" s="3">
        <v>28.84</v>
      </c>
      <c r="J28" s="3">
        <v>0</v>
      </c>
      <c r="K28" s="2">
        <v>2.4965329999999999</v>
      </c>
      <c r="L28" s="2">
        <v>2.4965329999999999</v>
      </c>
      <c r="M28" s="2">
        <v>2.6142509999999999</v>
      </c>
      <c r="N28" s="2">
        <v>2.7392509999999999</v>
      </c>
      <c r="O28" s="2">
        <v>113.098</v>
      </c>
      <c r="P28" s="2">
        <v>72.099999999999994</v>
      </c>
      <c r="Q28" s="2">
        <v>46.516129999999997</v>
      </c>
      <c r="R28" s="2">
        <v>37.054409999999997</v>
      </c>
      <c r="S28" s="2">
        <v>32.491799999999998</v>
      </c>
      <c r="T28" s="2">
        <v>28.263470000000002</v>
      </c>
      <c r="U28" s="2">
        <v>23.139520000000001</v>
      </c>
      <c r="V28" s="2">
        <v>20.46546</v>
      </c>
      <c r="W28" s="2">
        <v>5.0954069999999998</v>
      </c>
      <c r="X28" s="2">
        <v>5.410882</v>
      </c>
      <c r="Y28" s="2">
        <v>5.5813620000000004</v>
      </c>
      <c r="Z28" s="2">
        <v>5.8203839999999998</v>
      </c>
      <c r="AA28" s="2">
        <v>39.50685</v>
      </c>
      <c r="AB28" s="2">
        <v>29.131309999999999</v>
      </c>
      <c r="AC28" s="2">
        <v>24.44068</v>
      </c>
      <c r="AD28" s="2">
        <v>16.57471</v>
      </c>
      <c r="AE28" s="2">
        <v>1.327312</v>
      </c>
      <c r="AF28" s="2">
        <v>2.1601020000000002</v>
      </c>
      <c r="AG28" s="2">
        <v>3.0553159999999999</v>
      </c>
      <c r="AH28" s="2">
        <v>1.720202</v>
      </c>
      <c r="AI28" s="2">
        <v>2.7970290000000002</v>
      </c>
      <c r="AJ28" s="2">
        <v>3.9729540000000001</v>
      </c>
      <c r="AK28" s="3" t="e">
        <v>#N/A</v>
      </c>
      <c r="AL28" s="3" t="e">
        <v>#N/A</v>
      </c>
      <c r="AM28" s="2">
        <v>9.6411079999999991</v>
      </c>
      <c r="AN28" s="2">
        <v>12.107799999999999</v>
      </c>
      <c r="AO28" s="2">
        <v>14.318989999999999</v>
      </c>
      <c r="AP28" s="2">
        <v>15.659269999999999</v>
      </c>
      <c r="AQ28" s="2">
        <v>8.0405219999999993</v>
      </c>
      <c r="AR28" s="2">
        <v>6.4553010000000004</v>
      </c>
      <c r="AS28" s="2">
        <v>5.2692300000000003</v>
      </c>
      <c r="AT28" s="2">
        <v>4.7269319999999997</v>
      </c>
      <c r="AU28" s="1" t="s">
        <v>48</v>
      </c>
      <c r="AV28" s="3">
        <v>1.75</v>
      </c>
      <c r="AW28" s="3">
        <v>30</v>
      </c>
      <c r="AX28" s="2">
        <v>4.0221929999999997</v>
      </c>
      <c r="AY28" s="2">
        <v>7.5046910000000002</v>
      </c>
      <c r="AZ28" s="2">
        <v>-5.5</v>
      </c>
      <c r="BA28" s="2">
        <v>23.936399999999999</v>
      </c>
      <c r="BB28" s="2">
        <v>17.858599999999999</v>
      </c>
      <c r="BC28" s="3">
        <v>22.38</v>
      </c>
      <c r="BD28" s="2">
        <v>28.86506</v>
      </c>
      <c r="BE28" s="3">
        <v>29.82</v>
      </c>
      <c r="BF28" s="2">
        <v>-3.2863859999999998</v>
      </c>
      <c r="BG28" s="2">
        <v>314.09269999999998</v>
      </c>
      <c r="BH28" s="2">
        <v>173.05160000000001</v>
      </c>
      <c r="BI28" s="2">
        <v>123.0783</v>
      </c>
      <c r="BJ28" s="2">
        <v>97.891369999999995</v>
      </c>
      <c r="BK28" s="2">
        <v>17</v>
      </c>
      <c r="BL28" s="2">
        <v>13</v>
      </c>
      <c r="BM28" s="4">
        <v>20</v>
      </c>
      <c r="BN28" s="4">
        <v>1</v>
      </c>
      <c r="BO28" s="4">
        <v>0</v>
      </c>
      <c r="BP28" s="4">
        <v>18</v>
      </c>
      <c r="BQ28" s="2">
        <v>5.2631579999999998</v>
      </c>
      <c r="BR28" s="4">
        <v>8</v>
      </c>
      <c r="BS28" s="4">
        <v>3</v>
      </c>
      <c r="BT28" s="4">
        <v>20</v>
      </c>
      <c r="BU28" s="2">
        <v>40</v>
      </c>
      <c r="BV28" s="2">
        <v>7.7621500000000001</v>
      </c>
      <c r="BW28" s="2">
        <v>727.44320000000005</v>
      </c>
      <c r="BX28" s="3">
        <v>1.039263</v>
      </c>
      <c r="BY28" s="3">
        <v>0.14286509999999999</v>
      </c>
      <c r="BZ28" s="2">
        <v>0.99904499999999996</v>
      </c>
      <c r="CA28" s="3">
        <v>0.14286509999999999</v>
      </c>
      <c r="CB28" s="3">
        <v>0.42165730000000001</v>
      </c>
      <c r="CC28" s="3">
        <v>0.42530659999999998</v>
      </c>
      <c r="CD28" s="2">
        <v>0.8654714</v>
      </c>
      <c r="CE28" s="3">
        <v>601.96529999999996</v>
      </c>
      <c r="CF28" s="3">
        <v>614.39110000000005</v>
      </c>
      <c r="CG28" s="2">
        <v>2.0642160000000001</v>
      </c>
      <c r="CH28" s="3">
        <v>28.3781</v>
      </c>
      <c r="CI28" s="2">
        <v>5.7153340000000004</v>
      </c>
      <c r="CJ28" s="3">
        <v>7625.3029999999999</v>
      </c>
      <c r="CK28" s="3">
        <v>7880.2550000000001</v>
      </c>
      <c r="CL28" s="2">
        <v>3.343499</v>
      </c>
      <c r="CM28" s="3">
        <v>26.21697</v>
      </c>
      <c r="CN28" s="3">
        <v>28.553139999999999</v>
      </c>
      <c r="CO28" s="3">
        <v>29.082689999999999</v>
      </c>
      <c r="CP28" s="2">
        <v>10.00508</v>
      </c>
      <c r="CQ28" s="2">
        <v>1.0046600000000001</v>
      </c>
      <c r="CR28" s="2">
        <v>-0.83449479999999998</v>
      </c>
      <c r="CS28" s="2">
        <v>8.9108940000000008</v>
      </c>
      <c r="CT28" s="2">
        <v>24.983920000000001</v>
      </c>
      <c r="CU28" s="3">
        <v>0.1190875</v>
      </c>
      <c r="CV28" s="2" t="e">
        <v>#N/A</v>
      </c>
      <c r="CW28" s="2">
        <v>6.3015309999999998</v>
      </c>
      <c r="CX28" s="2">
        <v>-1.7421599999999999</v>
      </c>
      <c r="CY28" s="2">
        <v>18.323229999999999</v>
      </c>
    </row>
    <row r="29" spans="1:103" ht="15" customHeight="1" x14ac:dyDescent="0.2">
      <c r="A29" s="1">
        <f t="shared" si="0"/>
        <v>23</v>
      </c>
      <c r="B29" s="1" t="s">
        <v>74</v>
      </c>
      <c r="C29" s="1" t="s">
        <v>73</v>
      </c>
      <c r="D29" s="1" t="s">
        <v>55</v>
      </c>
      <c r="E29" s="1" t="s">
        <v>75</v>
      </c>
      <c r="F29" s="2">
        <v>4762.9790000000003</v>
      </c>
      <c r="G29" s="2">
        <v>86.540899999999993</v>
      </c>
      <c r="H29" s="2">
        <v>4121.9250000000002</v>
      </c>
      <c r="I29" s="3">
        <v>18.18</v>
      </c>
      <c r="J29" s="3">
        <v>0</v>
      </c>
      <c r="K29" s="2">
        <v>9.4609459999999999</v>
      </c>
      <c r="L29" s="2">
        <v>9.5709569999999999</v>
      </c>
      <c r="M29" s="2">
        <v>9.5709569999999999</v>
      </c>
      <c r="N29" s="2">
        <v>9.5709569999999999</v>
      </c>
      <c r="O29" s="2">
        <v>12.713290000000001</v>
      </c>
      <c r="P29" s="2">
        <v>15.42618</v>
      </c>
      <c r="Q29" s="2">
        <v>19.819839999999999</v>
      </c>
      <c r="R29" s="2">
        <v>22.306750000000001</v>
      </c>
      <c r="S29" s="2">
        <v>9.4850709999999996</v>
      </c>
      <c r="T29" s="2">
        <v>10.99818</v>
      </c>
      <c r="U29" s="2">
        <v>11.705299999999999</v>
      </c>
      <c r="V29" s="2">
        <v>12.51333</v>
      </c>
      <c r="W29" s="2">
        <v>1.487725</v>
      </c>
      <c r="X29" s="2">
        <v>1.5538460000000001</v>
      </c>
      <c r="Y29" s="2">
        <v>1.6678900000000001</v>
      </c>
      <c r="Z29" s="2">
        <v>1.846357</v>
      </c>
      <c r="AA29" s="2">
        <v>6.8897760000000003</v>
      </c>
      <c r="AB29" s="2">
        <v>7.9692980000000002</v>
      </c>
      <c r="AC29" s="2">
        <v>8.5180570000000007</v>
      </c>
      <c r="AD29" s="2">
        <v>9.6674199999999999</v>
      </c>
      <c r="AE29" s="2">
        <v>3.6332550000000001</v>
      </c>
      <c r="AF29" s="2">
        <v>4.7821400000000001</v>
      </c>
      <c r="AG29" s="2">
        <v>3.6534140000000002</v>
      </c>
      <c r="AH29" s="2">
        <v>6.4599419999999999</v>
      </c>
      <c r="AI29" s="2">
        <v>8.5204769999999996</v>
      </c>
      <c r="AJ29" s="2">
        <v>6.5652179999999998</v>
      </c>
      <c r="AK29" s="3" t="e">
        <v>#N/A</v>
      </c>
      <c r="AL29" s="3" t="e">
        <v>#N/A</v>
      </c>
      <c r="AM29" s="2">
        <v>82.180769999999995</v>
      </c>
      <c r="AN29" s="2">
        <v>80.291970000000006</v>
      </c>
      <c r="AO29" s="2">
        <v>80.965609999999998</v>
      </c>
      <c r="AP29" s="2">
        <v>81.053470000000004</v>
      </c>
      <c r="AQ29" s="2">
        <v>4.3842489999999996</v>
      </c>
      <c r="AR29" s="2">
        <v>4.812487</v>
      </c>
      <c r="AS29" s="2">
        <v>5.1356679999999999</v>
      </c>
      <c r="AT29" s="2">
        <v>5.5499109999999998</v>
      </c>
      <c r="AU29" s="1" t="s">
        <v>48</v>
      </c>
      <c r="AV29" s="3">
        <v>2.1666669999999999</v>
      </c>
      <c r="AW29" s="3">
        <v>17.635000000000002</v>
      </c>
      <c r="AX29" s="2">
        <v>-2.997798</v>
      </c>
      <c r="AY29" s="2">
        <v>10.07278</v>
      </c>
      <c r="AZ29" s="2">
        <v>-11.69843</v>
      </c>
      <c r="BA29" s="2">
        <v>-13.09751</v>
      </c>
      <c r="BB29" s="2">
        <v>17.101459999999999</v>
      </c>
      <c r="BC29" s="3">
        <v>14.25</v>
      </c>
      <c r="BD29" s="2">
        <v>27.578949999999999</v>
      </c>
      <c r="BE29" s="3">
        <v>22.14</v>
      </c>
      <c r="BF29" s="2">
        <v>-17.88617</v>
      </c>
      <c r="BG29" s="2">
        <v>116.815</v>
      </c>
      <c r="BH29" s="2">
        <v>145.9855</v>
      </c>
      <c r="BI29" s="2">
        <v>184.97499999999999</v>
      </c>
      <c r="BJ29" s="2">
        <v>205.8347</v>
      </c>
      <c r="BK29" s="2">
        <v>14</v>
      </c>
      <c r="BL29" s="2">
        <v>13</v>
      </c>
      <c r="BM29" s="4">
        <v>18</v>
      </c>
      <c r="BN29" s="4">
        <v>0</v>
      </c>
      <c r="BO29" s="4">
        <v>1</v>
      </c>
      <c r="BP29" s="4">
        <v>17</v>
      </c>
      <c r="BQ29" s="2">
        <v>0</v>
      </c>
      <c r="BR29" s="4">
        <v>4</v>
      </c>
      <c r="BS29" s="4">
        <v>8</v>
      </c>
      <c r="BT29" s="4">
        <v>18</v>
      </c>
      <c r="BU29" s="2">
        <v>22.22222</v>
      </c>
      <c r="BV29" s="2">
        <v>5.5588499999999996</v>
      </c>
      <c r="BW29" s="2">
        <v>261.99009999999998</v>
      </c>
      <c r="BX29" s="3">
        <v>0.95649810000000002</v>
      </c>
      <c r="BY29" s="3">
        <v>0.36508940000000001</v>
      </c>
      <c r="BZ29" s="2">
        <v>0.46567199999999997</v>
      </c>
      <c r="CA29" s="3">
        <v>0.36508940000000001</v>
      </c>
      <c r="CB29" s="3">
        <v>1.1212390000000001</v>
      </c>
      <c r="CC29" s="3">
        <v>1.155105</v>
      </c>
      <c r="CD29" s="2">
        <v>3.020394</v>
      </c>
      <c r="CE29" s="3">
        <v>443.04180000000002</v>
      </c>
      <c r="CF29" s="3">
        <v>449.40899999999999</v>
      </c>
      <c r="CG29" s="2">
        <v>1.4371510000000001</v>
      </c>
      <c r="CH29" s="3">
        <v>16.656839999999999</v>
      </c>
      <c r="CI29" s="2">
        <v>5.8724160000000003</v>
      </c>
      <c r="CJ29" s="3">
        <v>931.55439999999999</v>
      </c>
      <c r="CK29" s="3">
        <v>944.46220000000005</v>
      </c>
      <c r="CL29" s="2">
        <v>1.3856170000000001</v>
      </c>
      <c r="CM29" s="3">
        <v>17.028700000000001</v>
      </c>
      <c r="CN29" s="3">
        <v>18.080190000000002</v>
      </c>
      <c r="CO29" s="3">
        <v>18.071919999999999</v>
      </c>
      <c r="CP29" s="2">
        <v>6.7609190000000003</v>
      </c>
      <c r="CQ29" s="2">
        <v>0.55202249999999997</v>
      </c>
      <c r="CR29" s="2">
        <v>0.59804919999999995</v>
      </c>
      <c r="CS29" s="2">
        <v>6.1748149999999997</v>
      </c>
      <c r="CT29" s="2">
        <v>13.1432</v>
      </c>
      <c r="CU29" s="3">
        <v>0.27594489999999999</v>
      </c>
      <c r="CV29" s="2">
        <v>-16.883579999999998</v>
      </c>
      <c r="CW29" s="2">
        <v>-1.3909100000000001</v>
      </c>
      <c r="CX29" s="2">
        <v>2.3178809999999999</v>
      </c>
      <c r="CY29" s="2">
        <v>18.595960000000002</v>
      </c>
    </row>
    <row r="30" spans="1:103" ht="15" customHeight="1" x14ac:dyDescent="0.2">
      <c r="A30" s="1">
        <f t="shared" si="0"/>
        <v>24</v>
      </c>
      <c r="B30" s="1" t="s">
        <v>77</v>
      </c>
      <c r="C30" s="1" t="s">
        <v>76</v>
      </c>
      <c r="D30" s="1" t="s">
        <v>27</v>
      </c>
      <c r="E30" s="1" t="s">
        <v>28</v>
      </c>
      <c r="F30" s="2">
        <v>8892.2639999999992</v>
      </c>
      <c r="G30" s="2">
        <v>43.500300000000003</v>
      </c>
      <c r="H30" s="2">
        <v>3868.1619999999998</v>
      </c>
      <c r="I30" s="3">
        <v>162.1</v>
      </c>
      <c r="J30" s="3">
        <v>0</v>
      </c>
      <c r="K30" s="2">
        <v>2.7760639999999999</v>
      </c>
      <c r="L30" s="2">
        <v>2.9179520000000001</v>
      </c>
      <c r="M30" s="2">
        <v>3.0598390000000002</v>
      </c>
      <c r="N30" s="2">
        <v>3.2140650000000002</v>
      </c>
      <c r="O30" s="2">
        <v>20.16169</v>
      </c>
      <c r="P30" s="2">
        <v>17.054179999999999</v>
      </c>
      <c r="Q30" s="2">
        <v>16.600100000000001</v>
      </c>
      <c r="R30" s="2">
        <v>15.986190000000001</v>
      </c>
      <c r="S30" s="2">
        <v>7.1000269999999999</v>
      </c>
      <c r="T30" s="2">
        <v>7.8043399999999998</v>
      </c>
      <c r="U30" s="2">
        <v>8.3770969999999991</v>
      </c>
      <c r="V30" s="2">
        <v>8.884385</v>
      </c>
      <c r="W30" s="2">
        <v>1.820735</v>
      </c>
      <c r="X30" s="2">
        <v>1.7270399999999999</v>
      </c>
      <c r="Y30" s="2">
        <v>1.6278490000000001</v>
      </c>
      <c r="Z30" s="2">
        <v>1.532929</v>
      </c>
      <c r="AA30" s="2">
        <v>5.8381829999999999</v>
      </c>
      <c r="AB30" s="2">
        <v>7.0526840000000002</v>
      </c>
      <c r="AC30" s="2">
        <v>6.399527</v>
      </c>
      <c r="AD30" s="2">
        <v>6.8516240000000002</v>
      </c>
      <c r="AE30" s="2">
        <v>-6.7817340000000002</v>
      </c>
      <c r="AF30" s="2">
        <v>-5.0601409999999998</v>
      </c>
      <c r="AG30" s="2">
        <v>-3.5914259999999998</v>
      </c>
      <c r="AH30" s="2">
        <v>-11.75525</v>
      </c>
      <c r="AI30" s="2">
        <v>-9.6000200000000007</v>
      </c>
      <c r="AJ30" s="2">
        <v>-7.3164319999999998</v>
      </c>
      <c r="AK30" s="3" t="e">
        <v>#N/A</v>
      </c>
      <c r="AL30" s="3" t="e">
        <v>#N/A</v>
      </c>
      <c r="AM30" s="2">
        <v>18.472529999999999</v>
      </c>
      <c r="AN30" s="2">
        <v>17.395060000000001</v>
      </c>
      <c r="AO30" s="2">
        <v>17.862829999999999</v>
      </c>
      <c r="AP30" s="2">
        <v>17.36354</v>
      </c>
      <c r="AQ30" s="2">
        <v>2.5401349999999998</v>
      </c>
      <c r="AR30" s="2">
        <v>3.3019289999999999</v>
      </c>
      <c r="AS30" s="2">
        <v>3.9615559999999999</v>
      </c>
      <c r="AT30" s="2">
        <v>4.5232960000000002</v>
      </c>
      <c r="AU30" s="1" t="s">
        <v>68</v>
      </c>
      <c r="AV30" s="3">
        <v>1.65</v>
      </c>
      <c r="AW30" s="3">
        <v>208.37</v>
      </c>
      <c r="AX30" s="2">
        <v>28.5441</v>
      </c>
      <c r="AY30" s="2">
        <v>10.12678</v>
      </c>
      <c r="AZ30" s="2" t="e">
        <v>#N/A</v>
      </c>
      <c r="BA30" s="2">
        <v>-8.5214379999999998</v>
      </c>
      <c r="BB30" s="2">
        <v>-5.7009819999999998</v>
      </c>
      <c r="BC30" s="3">
        <v>149.55000000000001</v>
      </c>
      <c r="BD30" s="2">
        <v>8.3918459999999993</v>
      </c>
      <c r="BE30" s="3">
        <v>211</v>
      </c>
      <c r="BF30" s="2">
        <v>-23.175350000000002</v>
      </c>
      <c r="BG30" s="2">
        <v>54.966119999999997</v>
      </c>
      <c r="BH30" s="2">
        <v>49.960760000000001</v>
      </c>
      <c r="BI30" s="2">
        <v>51.203679999999999</v>
      </c>
      <c r="BJ30" s="2">
        <v>52.484929999999999</v>
      </c>
      <c r="BK30" s="2">
        <v>10</v>
      </c>
      <c r="BL30" s="2">
        <v>9</v>
      </c>
      <c r="BM30" s="4">
        <v>10</v>
      </c>
      <c r="BN30" s="4">
        <v>3</v>
      </c>
      <c r="BO30" s="4">
        <v>0</v>
      </c>
      <c r="BP30" s="4">
        <v>7</v>
      </c>
      <c r="BQ30" s="2">
        <v>30</v>
      </c>
      <c r="BR30" s="4">
        <v>5</v>
      </c>
      <c r="BS30" s="4">
        <v>1</v>
      </c>
      <c r="BT30" s="4">
        <v>10</v>
      </c>
      <c r="BU30" s="2">
        <v>50</v>
      </c>
      <c r="BV30" s="2">
        <v>7.99838</v>
      </c>
      <c r="BW30" s="2">
        <v>54.856650000000002</v>
      </c>
      <c r="BX30" s="3">
        <v>8.7134139999999999E-2</v>
      </c>
      <c r="BY30" s="3">
        <v>0.1588397</v>
      </c>
      <c r="BZ30" s="2">
        <v>0.75649200000000005</v>
      </c>
      <c r="CA30" s="3">
        <v>0.1588397</v>
      </c>
      <c r="CB30" s="3">
        <v>9.5731560000000009</v>
      </c>
      <c r="CC30" s="3">
        <v>9.4729890000000001</v>
      </c>
      <c r="CD30" s="2">
        <v>-1.0463359999999999</v>
      </c>
      <c r="CE30" s="3">
        <v>1245.9739999999999</v>
      </c>
      <c r="CF30" s="3">
        <v>1243.74</v>
      </c>
      <c r="CG30" s="2">
        <v>-0.17930869999999999</v>
      </c>
      <c r="CH30" s="3">
        <v>200.71299999999999</v>
      </c>
      <c r="CI30" s="2">
        <v>3.8149000000000002</v>
      </c>
      <c r="CJ30" s="3">
        <v>9856.848</v>
      </c>
      <c r="CK30" s="3">
        <v>11256.3</v>
      </c>
      <c r="CL30" s="2">
        <v>14.197749999999999</v>
      </c>
      <c r="CM30" s="3">
        <v>178.36320000000001</v>
      </c>
      <c r="CN30" s="3">
        <v>168.35589999999999</v>
      </c>
      <c r="CO30" s="3">
        <v>162.29810000000001</v>
      </c>
      <c r="CP30" s="2">
        <v>-9.1180140000000005</v>
      </c>
      <c r="CQ30" s="2">
        <v>-3.715849</v>
      </c>
      <c r="CR30" s="2">
        <v>-0.12205240000000001</v>
      </c>
      <c r="CS30" s="2">
        <v>-5.6106509999999998</v>
      </c>
      <c r="CT30" s="2">
        <v>14.015180000000001</v>
      </c>
      <c r="CU30" s="3">
        <v>0.1576109</v>
      </c>
      <c r="CV30" s="2" t="e">
        <v>#N/A</v>
      </c>
      <c r="CW30" s="2" t="e">
        <v>#N/A</v>
      </c>
      <c r="CX30" s="2" t="e">
        <v>#N/A</v>
      </c>
      <c r="CY30" s="2">
        <v>18.91919</v>
      </c>
    </row>
    <row r="31" spans="1:103" ht="15" customHeight="1" x14ac:dyDescent="0.2">
      <c r="A31" s="1">
        <f t="shared" si="0"/>
        <v>25</v>
      </c>
      <c r="B31" s="1" t="s">
        <v>79</v>
      </c>
      <c r="C31" s="1" t="s">
        <v>78</v>
      </c>
      <c r="D31" s="1" t="s">
        <v>51</v>
      </c>
      <c r="E31" s="1" t="s">
        <v>52</v>
      </c>
      <c r="F31" s="2">
        <v>2309.7310000000002</v>
      </c>
      <c r="G31" s="2">
        <v>38.359099999999998</v>
      </c>
      <c r="H31" s="2">
        <v>885.99189999999999</v>
      </c>
      <c r="I31" s="3">
        <v>42.76</v>
      </c>
      <c r="J31" s="3">
        <v>0</v>
      </c>
      <c r="K31" s="2">
        <v>3.0168379999999999</v>
      </c>
      <c r="L31" s="2">
        <v>2.1110920000000002</v>
      </c>
      <c r="M31" s="2">
        <v>2.0813839999999999</v>
      </c>
      <c r="N31" s="2">
        <v>2.736202</v>
      </c>
      <c r="O31" s="2">
        <v>11.556760000000001</v>
      </c>
      <c r="P31" s="2">
        <v>19.254519999999999</v>
      </c>
      <c r="Q31" s="2">
        <v>15.54909</v>
      </c>
      <c r="R31" s="2">
        <v>11.91086</v>
      </c>
      <c r="S31" s="2">
        <v>6.79148</v>
      </c>
      <c r="T31" s="2">
        <v>12.532640000000001</v>
      </c>
      <c r="U31" s="2">
        <v>9.8782779999999999</v>
      </c>
      <c r="V31" s="2">
        <v>7.2309700000000001</v>
      </c>
      <c r="W31" s="2">
        <v>4.4449059999999996</v>
      </c>
      <c r="X31" s="2">
        <v>4.0320600000000004</v>
      </c>
      <c r="Y31" s="2">
        <v>3.3963459999999999</v>
      </c>
      <c r="Z31" s="2">
        <v>2.8196500000000002</v>
      </c>
      <c r="AA31" s="2">
        <v>9.633813</v>
      </c>
      <c r="AB31" s="2">
        <v>16.449110000000001</v>
      </c>
      <c r="AC31" s="2">
        <v>12.02656</v>
      </c>
      <c r="AD31" s="2">
        <v>10.458819999999999</v>
      </c>
      <c r="AE31" s="2">
        <v>5.3916320000000004</v>
      </c>
      <c r="AF31" s="2">
        <v>6.4764359999999996</v>
      </c>
      <c r="AG31" s="2">
        <v>8.5255189999999992</v>
      </c>
      <c r="AH31" s="2">
        <v>5.1663540000000001</v>
      </c>
      <c r="AI31" s="2">
        <v>5.905316</v>
      </c>
      <c r="AJ31" s="2">
        <v>7.3131849999999998</v>
      </c>
      <c r="AK31" s="3" t="e">
        <v>#N/A</v>
      </c>
      <c r="AL31" s="3" t="e">
        <v>#N/A</v>
      </c>
      <c r="AM31" s="2">
        <v>34.120089999999998</v>
      </c>
      <c r="AN31" s="2">
        <v>24.629960000000001</v>
      </c>
      <c r="AO31" s="2">
        <v>26.65</v>
      </c>
      <c r="AP31" s="2">
        <v>30.995480000000001</v>
      </c>
      <c r="AQ31" s="2">
        <v>-0.1899642</v>
      </c>
      <c r="AR31" s="2">
        <v>-0.54648200000000002</v>
      </c>
      <c r="AS31" s="2">
        <v>-0.95535650000000005</v>
      </c>
      <c r="AT31" s="2">
        <v>-1.198704</v>
      </c>
      <c r="AU31" s="1" t="s">
        <v>5</v>
      </c>
      <c r="AV31" s="3">
        <v>1.25</v>
      </c>
      <c r="AW31" s="3">
        <v>54.3</v>
      </c>
      <c r="AX31" s="2">
        <v>26.987839999999998</v>
      </c>
      <c r="AY31" s="2">
        <v>20.940850000000001</v>
      </c>
      <c r="AZ31" s="2">
        <v>-3</v>
      </c>
      <c r="BA31" s="2">
        <v>-21.397069999999999</v>
      </c>
      <c r="BB31" s="2">
        <v>18.58014</v>
      </c>
      <c r="BC31" s="3">
        <v>35.200000000000003</v>
      </c>
      <c r="BD31" s="2">
        <v>21.477270000000001</v>
      </c>
      <c r="BE31" s="3">
        <v>61.45</v>
      </c>
      <c r="BF31" s="2">
        <v>-30.41497</v>
      </c>
      <c r="BG31" s="2">
        <v>33.133690000000001</v>
      </c>
      <c r="BH31" s="2">
        <v>40.297989999999999</v>
      </c>
      <c r="BI31" s="2">
        <v>33.571370000000002</v>
      </c>
      <c r="BJ31" s="2">
        <v>32.591380000000001</v>
      </c>
      <c r="BK31" s="2">
        <v>9</v>
      </c>
      <c r="BL31" s="2">
        <v>9</v>
      </c>
      <c r="BM31" s="4">
        <v>10</v>
      </c>
      <c r="BN31" s="4">
        <v>1</v>
      </c>
      <c r="BO31" s="4">
        <v>0</v>
      </c>
      <c r="BP31" s="4">
        <v>10</v>
      </c>
      <c r="BQ31" s="2">
        <v>9.0909089999999999</v>
      </c>
      <c r="BR31" s="4">
        <v>8</v>
      </c>
      <c r="BS31" s="4">
        <v>0</v>
      </c>
      <c r="BT31" s="4">
        <v>10</v>
      </c>
      <c r="BU31" s="2">
        <v>80</v>
      </c>
      <c r="BV31" s="2">
        <v>10.1875</v>
      </c>
      <c r="BW31" s="2">
        <v>54.016159999999999</v>
      </c>
      <c r="BX31" s="3">
        <v>0.1576246</v>
      </c>
      <c r="BY31" s="3">
        <v>0.29181020000000002</v>
      </c>
      <c r="BZ31" s="2">
        <v>0.74853800000000004</v>
      </c>
      <c r="CA31" s="3">
        <v>0.29181020000000002</v>
      </c>
      <c r="CB31" s="3">
        <v>2.3967230000000002</v>
      </c>
      <c r="CC31" s="3">
        <v>2.3376440000000001</v>
      </c>
      <c r="CD31" s="2">
        <v>-2.4649679999999998</v>
      </c>
      <c r="CE31" s="3">
        <v>152.14439999999999</v>
      </c>
      <c r="CF31" s="3">
        <v>156.70830000000001</v>
      </c>
      <c r="CG31" s="2">
        <v>2.999711</v>
      </c>
      <c r="CH31" s="3">
        <v>59.400239999999997</v>
      </c>
      <c r="CI31" s="2">
        <v>-8.5862339999999993</v>
      </c>
      <c r="CJ31" s="3">
        <v>728.76059999999995</v>
      </c>
      <c r="CK31" s="3">
        <v>726.07569999999998</v>
      </c>
      <c r="CL31" s="2">
        <v>-0.36841629999999997</v>
      </c>
      <c r="CM31" s="3">
        <v>40.609549999999999</v>
      </c>
      <c r="CN31" s="3">
        <v>41.850589999999997</v>
      </c>
      <c r="CO31" s="3">
        <v>42.880769999999998</v>
      </c>
      <c r="CP31" s="2">
        <v>5.2954319999999999</v>
      </c>
      <c r="CQ31" s="2">
        <v>2.1729949999999998</v>
      </c>
      <c r="CR31" s="2">
        <v>-0.28164980000000001</v>
      </c>
      <c r="CS31" s="2">
        <v>3.0560260000000001</v>
      </c>
      <c r="CT31" s="2">
        <v>4.8954709999999997</v>
      </c>
      <c r="CU31" s="3">
        <v>0.21194979999999999</v>
      </c>
      <c r="CV31" s="2" t="e">
        <v>#N/A</v>
      </c>
      <c r="CW31" s="2">
        <v>3.8600099999999999</v>
      </c>
      <c r="CX31" s="2">
        <v>11.580880000000001</v>
      </c>
      <c r="CY31" s="2">
        <v>19.55556</v>
      </c>
    </row>
    <row r="32" spans="1:103" ht="15" customHeight="1" x14ac:dyDescent="0.2">
      <c r="A32" s="1">
        <f t="shared" si="0"/>
        <v>26</v>
      </c>
      <c r="B32" s="1" t="s">
        <v>81</v>
      </c>
      <c r="C32" s="1" t="s">
        <v>80</v>
      </c>
      <c r="D32" s="1" t="s">
        <v>82</v>
      </c>
      <c r="E32" s="1" t="s">
        <v>83</v>
      </c>
      <c r="F32" s="2">
        <v>17979.580000000002</v>
      </c>
      <c r="G32" s="2">
        <v>95.577100000000002</v>
      </c>
      <c r="H32" s="2">
        <v>17184.36</v>
      </c>
      <c r="I32" s="3">
        <v>13.545</v>
      </c>
      <c r="J32" s="3">
        <v>0</v>
      </c>
      <c r="K32" s="2">
        <v>5.1679589999999997</v>
      </c>
      <c r="L32" s="2">
        <v>5.1679589999999997</v>
      </c>
      <c r="M32" s="2">
        <v>5.5370990000000004</v>
      </c>
      <c r="N32" s="2">
        <v>5.9062390000000002</v>
      </c>
      <c r="O32" s="2">
        <v>2.9203769999999998</v>
      </c>
      <c r="P32" s="2">
        <v>4.0553889999999999</v>
      </c>
      <c r="Q32" s="2">
        <v>5.0166659999999998</v>
      </c>
      <c r="R32" s="2">
        <v>5.2398449999999999</v>
      </c>
      <c r="S32" s="2">
        <v>1.6749700000000001</v>
      </c>
      <c r="T32" s="2">
        <v>1.889958</v>
      </c>
      <c r="U32" s="2">
        <v>2.1013359999999999</v>
      </c>
      <c r="V32" s="2">
        <v>2.1368939999999998</v>
      </c>
      <c r="W32" s="2">
        <v>0.72636400000000001</v>
      </c>
      <c r="X32" s="2">
        <v>0.63353599999999999</v>
      </c>
      <c r="Y32" s="2">
        <v>0.56593159999999998</v>
      </c>
      <c r="Z32" s="2">
        <v>0.50411130000000004</v>
      </c>
      <c r="AA32" s="2">
        <v>2.0413450000000002</v>
      </c>
      <c r="AB32" s="2">
        <v>2.406428</v>
      </c>
      <c r="AC32" s="2">
        <v>2.4969649999999999</v>
      </c>
      <c r="AD32" s="2">
        <v>2.2918780000000001</v>
      </c>
      <c r="AE32" s="2">
        <v>10.466469999999999</v>
      </c>
      <c r="AF32" s="2">
        <v>11.49837</v>
      </c>
      <c r="AG32" s="2">
        <v>10.04041</v>
      </c>
      <c r="AH32" s="2">
        <v>11.27347</v>
      </c>
      <c r="AI32" s="2">
        <v>12.219670000000001</v>
      </c>
      <c r="AJ32" s="2">
        <v>10.77364</v>
      </c>
      <c r="AK32" s="3" t="e">
        <v>#N/A</v>
      </c>
      <c r="AL32" s="3" t="e">
        <v>#N/A</v>
      </c>
      <c r="AM32" s="2">
        <v>17.41527</v>
      </c>
      <c r="AN32" s="2">
        <v>15.687200000000001</v>
      </c>
      <c r="AO32" s="2">
        <v>15.123390000000001</v>
      </c>
      <c r="AP32" s="2">
        <v>16.048670000000001</v>
      </c>
      <c r="AQ32" s="2">
        <v>0.1830416</v>
      </c>
      <c r="AR32" s="2">
        <v>0.13529189999999999</v>
      </c>
      <c r="AS32" s="2">
        <v>0.1240371</v>
      </c>
      <c r="AT32" s="2">
        <v>0.14543110000000001</v>
      </c>
      <c r="AU32" s="1" t="s">
        <v>5</v>
      </c>
      <c r="AV32" s="3">
        <v>1.4827589999999999</v>
      </c>
      <c r="AW32" s="3">
        <v>17.329999999999998</v>
      </c>
      <c r="AX32" s="2">
        <v>27.94389</v>
      </c>
      <c r="AY32" s="2">
        <v>15.62208</v>
      </c>
      <c r="AZ32" s="2">
        <v>-13.512689999999999</v>
      </c>
      <c r="BA32" s="2">
        <v>-11.73021</v>
      </c>
      <c r="BB32" s="2">
        <v>-8.7878819999999997</v>
      </c>
      <c r="BC32" s="3">
        <v>11.05</v>
      </c>
      <c r="BD32" s="2">
        <v>22.579180000000001</v>
      </c>
      <c r="BE32" s="3">
        <v>15.585000000000001</v>
      </c>
      <c r="BF32" s="2">
        <v>-13.089510000000001</v>
      </c>
      <c r="BG32" s="2">
        <v>14.44557</v>
      </c>
      <c r="BH32" s="2">
        <v>21.24315</v>
      </c>
      <c r="BI32" s="2">
        <v>29.087759999999999</v>
      </c>
      <c r="BJ32" s="2">
        <v>32.939880000000002</v>
      </c>
      <c r="BK32" s="2">
        <v>25</v>
      </c>
      <c r="BL32" s="2">
        <v>21</v>
      </c>
      <c r="BM32" s="4">
        <v>29</v>
      </c>
      <c r="BN32" s="4">
        <v>3</v>
      </c>
      <c r="BO32" s="4">
        <v>3</v>
      </c>
      <c r="BP32" s="4">
        <v>22</v>
      </c>
      <c r="BQ32" s="2">
        <v>10.71429</v>
      </c>
      <c r="BR32" s="4">
        <v>17</v>
      </c>
      <c r="BS32" s="4">
        <v>2</v>
      </c>
      <c r="BT32" s="4">
        <v>29</v>
      </c>
      <c r="BU32" s="2">
        <v>58.620690000000003</v>
      </c>
      <c r="BV32" s="2">
        <v>12.9345</v>
      </c>
      <c r="BW32" s="2">
        <v>1327.396</v>
      </c>
      <c r="BX32" s="3">
        <v>6.0399209999999997</v>
      </c>
      <c r="BY32" s="3">
        <v>0.45502019999999999</v>
      </c>
      <c r="BZ32" s="2">
        <v>1.64327</v>
      </c>
      <c r="CA32" s="3">
        <v>0.45502019999999999</v>
      </c>
      <c r="CB32" s="3">
        <v>3.2573210000000001</v>
      </c>
      <c r="CC32" s="3">
        <v>3.3568470000000001</v>
      </c>
      <c r="CD32" s="2">
        <v>3.055453</v>
      </c>
      <c r="CE32" s="3">
        <v>7543.0529999999999</v>
      </c>
      <c r="CF32" s="3">
        <v>7423.4359999999997</v>
      </c>
      <c r="CG32" s="2">
        <v>-1.585799</v>
      </c>
      <c r="CH32" s="3">
        <v>18.175070000000002</v>
      </c>
      <c r="CI32" s="2">
        <v>-4.64961</v>
      </c>
      <c r="CJ32" s="3">
        <v>69343.62</v>
      </c>
      <c r="CK32" s="3">
        <v>65845.34</v>
      </c>
      <c r="CL32" s="2">
        <v>-5.0448599999999999</v>
      </c>
      <c r="CM32" s="3">
        <v>13.88537</v>
      </c>
      <c r="CN32" s="3">
        <v>13.378629999999999</v>
      </c>
      <c r="CO32" s="3">
        <v>13.25173</v>
      </c>
      <c r="CP32" s="2">
        <v>-2.4513129999999999</v>
      </c>
      <c r="CQ32" s="2">
        <v>1.243579</v>
      </c>
      <c r="CR32" s="2">
        <v>2.2130730000000001</v>
      </c>
      <c r="CS32" s="2">
        <v>-3.6495090000000001</v>
      </c>
      <c r="CT32" s="2">
        <v>64.882040000000003</v>
      </c>
      <c r="CU32" s="3">
        <v>0.3608652</v>
      </c>
      <c r="CV32" s="2">
        <v>-23.983499999999999</v>
      </c>
      <c r="CW32" s="2">
        <v>-6.5571229999999998</v>
      </c>
      <c r="CX32" s="2">
        <v>12.22312</v>
      </c>
      <c r="CY32" s="2">
        <v>19.767679999999999</v>
      </c>
    </row>
    <row r="33" spans="1:103" ht="15" customHeight="1" x14ac:dyDescent="0.2">
      <c r="A33" s="1">
        <f t="shared" si="0"/>
        <v>27</v>
      </c>
      <c r="B33" s="1" t="s">
        <v>85</v>
      </c>
      <c r="C33" s="1" t="s">
        <v>84</v>
      </c>
      <c r="D33" s="1" t="s">
        <v>86</v>
      </c>
      <c r="E33" s="1" t="s">
        <v>87</v>
      </c>
      <c r="F33" s="2">
        <v>3452.56</v>
      </c>
      <c r="G33" s="2">
        <v>43.365699999999997</v>
      </c>
      <c r="H33" s="2">
        <v>1497.2270000000001</v>
      </c>
      <c r="I33" s="3">
        <v>17.97</v>
      </c>
      <c r="J33" s="3">
        <v>0</v>
      </c>
      <c r="K33" s="2">
        <v>3.895381</v>
      </c>
      <c r="L33" s="2">
        <v>3.031774</v>
      </c>
      <c r="M33" s="2">
        <v>3.2832499999999998</v>
      </c>
      <c r="N33" s="2">
        <v>3.7006130000000002</v>
      </c>
      <c r="O33" s="2">
        <v>13.056430000000001</v>
      </c>
      <c r="P33" s="2">
        <v>17.792079999999999</v>
      </c>
      <c r="Q33" s="2">
        <v>15.58126</v>
      </c>
      <c r="R33" s="2">
        <v>13.46062</v>
      </c>
      <c r="S33" s="2">
        <v>8.1360039999999998</v>
      </c>
      <c r="T33" s="2">
        <v>10.77106</v>
      </c>
      <c r="U33" s="2">
        <v>9.3835119999999996</v>
      </c>
      <c r="V33" s="2">
        <v>8.3762360000000005</v>
      </c>
      <c r="W33" s="2">
        <v>2.0858970000000001</v>
      </c>
      <c r="X33" s="2">
        <v>2.082271</v>
      </c>
      <c r="Y33" s="2">
        <v>2.0100669999999998</v>
      </c>
      <c r="Z33" s="2">
        <v>1.9178230000000001</v>
      </c>
      <c r="AA33" s="2">
        <v>11.936260000000001</v>
      </c>
      <c r="AB33" s="2">
        <v>10.757099999999999</v>
      </c>
      <c r="AC33" s="2">
        <v>11.18113</v>
      </c>
      <c r="AD33" s="2">
        <v>11.14236</v>
      </c>
      <c r="AE33" s="2">
        <v>6.9661030000000004</v>
      </c>
      <c r="AF33" s="2">
        <v>6.0549439999999999</v>
      </c>
      <c r="AG33" s="2">
        <v>6.4301830000000004</v>
      </c>
      <c r="AH33" s="2">
        <v>9.3449270000000002</v>
      </c>
      <c r="AI33" s="2">
        <v>7.8990660000000004</v>
      </c>
      <c r="AJ33" s="2">
        <v>8.1417660000000005</v>
      </c>
      <c r="AK33" s="3">
        <v>1.3964799999999999</v>
      </c>
      <c r="AL33" s="3">
        <v>1.1488689999999999</v>
      </c>
      <c r="AM33" s="2">
        <v>21.431560000000001</v>
      </c>
      <c r="AN33" s="2">
        <v>20.321359999999999</v>
      </c>
      <c r="AO33" s="2">
        <v>21.729289999999999</v>
      </c>
      <c r="AP33" s="2">
        <v>22.701180000000001</v>
      </c>
      <c r="AQ33" s="2">
        <v>2.5880860000000001</v>
      </c>
      <c r="AR33" s="2">
        <v>2.74186</v>
      </c>
      <c r="AS33" s="2">
        <v>2.1906840000000001</v>
      </c>
      <c r="AT33" s="2">
        <v>1.7608740000000001</v>
      </c>
      <c r="AU33" s="1" t="s">
        <v>5</v>
      </c>
      <c r="AV33" s="3">
        <v>1.4375</v>
      </c>
      <c r="AW33" s="3">
        <v>19.64</v>
      </c>
      <c r="AX33" s="2">
        <v>9.2932699999999997</v>
      </c>
      <c r="AY33" s="2">
        <v>11.70336</v>
      </c>
      <c r="AZ33" s="2">
        <v>7.6</v>
      </c>
      <c r="BA33" s="2">
        <v>-14.10134</v>
      </c>
      <c r="BB33" s="2">
        <v>23.76032</v>
      </c>
      <c r="BC33" s="3">
        <v>11.93</v>
      </c>
      <c r="BD33" s="2">
        <v>50.628660000000004</v>
      </c>
      <c r="BE33" s="3">
        <v>23.06</v>
      </c>
      <c r="BF33" s="2">
        <v>-22.072849999999999</v>
      </c>
      <c r="BG33" s="2">
        <v>55.802410000000002</v>
      </c>
      <c r="BH33" s="2">
        <v>58.982840000000003</v>
      </c>
      <c r="BI33" s="2">
        <v>51.310989999999997</v>
      </c>
      <c r="BJ33" s="2">
        <v>48.848869999999998</v>
      </c>
      <c r="BK33" s="2">
        <v>15</v>
      </c>
      <c r="BL33" s="2">
        <v>15</v>
      </c>
      <c r="BM33" s="4">
        <v>16</v>
      </c>
      <c r="BN33" s="4">
        <v>0</v>
      </c>
      <c r="BO33" s="4">
        <v>0</v>
      </c>
      <c r="BP33" s="4">
        <v>16</v>
      </c>
      <c r="BQ33" s="2">
        <v>0</v>
      </c>
      <c r="BR33" s="4">
        <v>10</v>
      </c>
      <c r="BS33" s="4">
        <v>1</v>
      </c>
      <c r="BT33" s="4">
        <v>16</v>
      </c>
      <c r="BU33" s="2">
        <v>62.5</v>
      </c>
      <c r="BV33" s="2">
        <v>9.5997900000000005</v>
      </c>
      <c r="BW33" s="2">
        <v>192.12909999999999</v>
      </c>
      <c r="BX33" s="3">
        <v>0.73217690000000002</v>
      </c>
      <c r="BY33" s="3">
        <v>0.38108599999999998</v>
      </c>
      <c r="BZ33" s="2">
        <v>0.65805499999999995</v>
      </c>
      <c r="CA33" s="3">
        <v>0.38108599999999998</v>
      </c>
      <c r="CB33" s="3">
        <v>1.007881</v>
      </c>
      <c r="CC33" s="3">
        <v>0.97062729999999997</v>
      </c>
      <c r="CD33" s="2">
        <v>-3.6962570000000001</v>
      </c>
      <c r="CE33" s="3">
        <v>279.15980000000002</v>
      </c>
      <c r="CF33" s="3">
        <v>255.46029999999999</v>
      </c>
      <c r="CG33" s="2">
        <v>-8.4895969999999998</v>
      </c>
      <c r="CH33" s="3">
        <v>20.153130000000001</v>
      </c>
      <c r="CI33" s="2">
        <v>-2.546138</v>
      </c>
      <c r="CJ33" s="3">
        <v>2183.0729999999999</v>
      </c>
      <c r="CK33" s="3">
        <v>2116.0419999999999</v>
      </c>
      <c r="CL33" s="2">
        <v>-3.070468</v>
      </c>
      <c r="CM33" s="3">
        <v>15.41</v>
      </c>
      <c r="CN33" s="3">
        <v>16.062349999999999</v>
      </c>
      <c r="CO33" s="3">
        <v>16.899619999999999</v>
      </c>
      <c r="CP33" s="2">
        <v>16.612580000000001</v>
      </c>
      <c r="CQ33" s="2">
        <v>11.876519999999999</v>
      </c>
      <c r="CR33" s="2">
        <v>6.3337680000000001</v>
      </c>
      <c r="CS33" s="2">
        <v>4.2332890000000001</v>
      </c>
      <c r="CT33" s="2">
        <v>10.358969999999999</v>
      </c>
      <c r="CU33" s="3">
        <v>0.30003730000000001</v>
      </c>
      <c r="CV33" s="2">
        <v>21.098130000000001</v>
      </c>
      <c r="CW33" s="2">
        <v>7.6136749999999997</v>
      </c>
      <c r="CX33" s="2">
        <v>13.387</v>
      </c>
      <c r="CY33" s="2">
        <v>19.77778</v>
      </c>
    </row>
    <row r="34" spans="1:103" ht="15" customHeight="1" x14ac:dyDescent="0.2">
      <c r="A34" s="1">
        <f t="shared" si="0"/>
        <v>28</v>
      </c>
      <c r="B34" s="1" t="s">
        <v>89</v>
      </c>
      <c r="C34" s="1" t="s">
        <v>88</v>
      </c>
      <c r="D34" s="1" t="s">
        <v>15</v>
      </c>
      <c r="E34" s="1" t="s">
        <v>90</v>
      </c>
      <c r="F34" s="2">
        <v>3708.84</v>
      </c>
      <c r="G34" s="2">
        <v>66.211399999999998</v>
      </c>
      <c r="H34" s="2">
        <v>2455.6750000000002</v>
      </c>
      <c r="I34" s="3">
        <v>7.8949999999999996</v>
      </c>
      <c r="J34" s="3">
        <v>0</v>
      </c>
      <c r="K34" s="2">
        <v>15.07283</v>
      </c>
      <c r="L34" s="2">
        <v>5.5731479999999998</v>
      </c>
      <c r="M34" s="2">
        <v>5.8264719999999999</v>
      </c>
      <c r="N34" s="2">
        <v>6.0922919999999996</v>
      </c>
      <c r="O34" s="2">
        <v>12.94262</v>
      </c>
      <c r="P34" s="2">
        <v>13.612069999999999</v>
      </c>
      <c r="Q34" s="2">
        <v>12.55167</v>
      </c>
      <c r="R34" s="2">
        <v>11.525550000000001</v>
      </c>
      <c r="S34" s="2">
        <v>24.397189999999998</v>
      </c>
      <c r="T34" s="2">
        <v>21.684280000000001</v>
      </c>
      <c r="U34" s="2">
        <v>20.182929999999999</v>
      </c>
      <c r="V34" s="2">
        <v>19.019030000000001</v>
      </c>
      <c r="W34" s="2">
        <v>0.54149519999999995</v>
      </c>
      <c r="X34" s="2">
        <v>0.60235479999999997</v>
      </c>
      <c r="Y34" s="2">
        <v>0.61487539999999996</v>
      </c>
      <c r="Z34" s="2">
        <v>0.58185229999999999</v>
      </c>
      <c r="AA34" s="2">
        <v>13.582509999999999</v>
      </c>
      <c r="AB34" s="2">
        <v>14.4954</v>
      </c>
      <c r="AC34" s="2">
        <v>13.59497</v>
      </c>
      <c r="AD34" s="2">
        <v>12.335940000000001</v>
      </c>
      <c r="AE34" s="2">
        <v>1.646998</v>
      </c>
      <c r="AF34" s="2">
        <v>2.2573509999999999</v>
      </c>
      <c r="AG34" s="2">
        <v>2.7378010000000002</v>
      </c>
      <c r="AH34" s="2">
        <v>3.4381689999999998</v>
      </c>
      <c r="AI34" s="2">
        <v>4.7570389999999998</v>
      </c>
      <c r="AJ34" s="2">
        <v>5.784281</v>
      </c>
      <c r="AK34" s="3" t="e">
        <v>#N/A</v>
      </c>
      <c r="AL34" s="3" t="e">
        <v>#N/A</v>
      </c>
      <c r="AM34" s="2">
        <v>72.453199999999995</v>
      </c>
      <c r="AN34" s="2">
        <v>74.435959999999994</v>
      </c>
      <c r="AO34" s="2">
        <v>74.919089999999997</v>
      </c>
      <c r="AP34" s="2">
        <v>75.781130000000005</v>
      </c>
      <c r="AQ34" s="2">
        <v>11.83755</v>
      </c>
      <c r="AR34" s="2">
        <v>11.29678</v>
      </c>
      <c r="AS34" s="2">
        <v>10.605549999999999</v>
      </c>
      <c r="AT34" s="2">
        <v>10.01699</v>
      </c>
      <c r="AU34" s="1" t="s">
        <v>5</v>
      </c>
      <c r="AV34" s="3">
        <v>1.323529</v>
      </c>
      <c r="AW34" s="3">
        <v>10.475</v>
      </c>
      <c r="AX34" s="2">
        <v>32.678910000000002</v>
      </c>
      <c r="AY34" s="2">
        <v>4.4251519999999998</v>
      </c>
      <c r="AZ34" s="2" t="e">
        <v>#N/A</v>
      </c>
      <c r="BA34" s="2">
        <v>-18.186530000000001</v>
      </c>
      <c r="BB34" s="2">
        <v>-10.02849</v>
      </c>
      <c r="BC34" s="3">
        <v>7.24</v>
      </c>
      <c r="BD34" s="2">
        <v>9.0469600000000003</v>
      </c>
      <c r="BE34" s="3">
        <v>10.52</v>
      </c>
      <c r="BF34" s="2">
        <v>-24.952480000000001</v>
      </c>
      <c r="BG34" s="2">
        <v>199.0436</v>
      </c>
      <c r="BH34" s="2">
        <v>76.623019999999997</v>
      </c>
      <c r="BI34" s="2">
        <v>73.425030000000007</v>
      </c>
      <c r="BJ34" s="2">
        <v>70.836619999999996</v>
      </c>
      <c r="BK34" s="2">
        <v>16</v>
      </c>
      <c r="BL34" s="2">
        <v>10</v>
      </c>
      <c r="BM34" s="4">
        <v>17</v>
      </c>
      <c r="BN34" s="4">
        <v>0</v>
      </c>
      <c r="BO34" s="4">
        <v>0</v>
      </c>
      <c r="BP34" s="4">
        <v>16</v>
      </c>
      <c r="BQ34" s="2">
        <v>0</v>
      </c>
      <c r="BR34" s="4">
        <v>12</v>
      </c>
      <c r="BS34" s="4">
        <v>0</v>
      </c>
      <c r="BT34" s="4">
        <v>17</v>
      </c>
      <c r="BU34" s="2">
        <v>70.588229999999996</v>
      </c>
      <c r="BV34" s="2">
        <v>9.2356400000000001</v>
      </c>
      <c r="BW34" s="2">
        <v>469.77080000000001</v>
      </c>
      <c r="BX34" s="3">
        <v>0.84388839999999998</v>
      </c>
      <c r="BY34" s="3">
        <v>0.1796383</v>
      </c>
      <c r="BZ34" s="2">
        <v>1.1246499999999999</v>
      </c>
      <c r="CA34" s="3">
        <v>0.1796383</v>
      </c>
      <c r="CB34" s="3">
        <v>0.60562000000000005</v>
      </c>
      <c r="CC34" s="3">
        <v>0.57561519999999999</v>
      </c>
      <c r="CD34" s="2">
        <v>-4.9543910000000002</v>
      </c>
      <c r="CE34" s="3">
        <v>352.96480000000003</v>
      </c>
      <c r="CF34" s="3">
        <v>349.57619999999997</v>
      </c>
      <c r="CG34" s="2">
        <v>-0.9600341</v>
      </c>
      <c r="CH34" s="3">
        <v>10.53889</v>
      </c>
      <c r="CI34" s="2">
        <v>-0.60621499999999995</v>
      </c>
      <c r="CJ34" s="3">
        <v>472.70310000000001</v>
      </c>
      <c r="CK34" s="3">
        <v>480.15249999999997</v>
      </c>
      <c r="CL34" s="2">
        <v>1.5759110000000001</v>
      </c>
      <c r="CM34" s="3">
        <v>8.4738810000000004</v>
      </c>
      <c r="CN34" s="3">
        <v>7.8513710000000003</v>
      </c>
      <c r="CO34" s="3">
        <v>7.7982690000000003</v>
      </c>
      <c r="CP34" s="2">
        <v>-6.8313540000000001</v>
      </c>
      <c r="CQ34" s="2">
        <v>0.55569409999999997</v>
      </c>
      <c r="CR34" s="2">
        <v>1.2404200000000001</v>
      </c>
      <c r="CS34" s="2">
        <v>-7.3462189999999996</v>
      </c>
      <c r="CT34" s="2">
        <v>6.7437690000000003</v>
      </c>
      <c r="CU34" s="3">
        <v>0.18182960000000001</v>
      </c>
      <c r="CV34" s="2" t="e">
        <v>#N/A</v>
      </c>
      <c r="CW34" s="2" t="e">
        <v>#N/A</v>
      </c>
      <c r="CX34" s="2" t="e">
        <v>#N/A</v>
      </c>
      <c r="CY34" s="2">
        <v>21.0505</v>
      </c>
    </row>
    <row r="35" spans="1:103" ht="15" customHeight="1" x14ac:dyDescent="0.2">
      <c r="A35" s="1">
        <f t="shared" si="0"/>
        <v>29</v>
      </c>
      <c r="B35" s="1" t="s">
        <v>92</v>
      </c>
      <c r="C35" s="1" t="s">
        <v>91</v>
      </c>
      <c r="D35" s="1" t="s">
        <v>15</v>
      </c>
      <c r="E35" s="1" t="s">
        <v>93</v>
      </c>
      <c r="F35" s="2">
        <v>5727.9690000000001</v>
      </c>
      <c r="G35" s="2">
        <v>29.560199999999998</v>
      </c>
      <c r="H35" s="2">
        <v>1693.1990000000001</v>
      </c>
      <c r="I35" s="3">
        <v>1.86</v>
      </c>
      <c r="J35" s="3">
        <v>0</v>
      </c>
      <c r="K35" s="2">
        <v>8.0645170000000004</v>
      </c>
      <c r="L35" s="2">
        <v>8.0645170000000004</v>
      </c>
      <c r="M35" s="2">
        <v>8.0645170000000004</v>
      </c>
      <c r="N35" s="2">
        <v>8.6285539999999994</v>
      </c>
      <c r="O35" s="2">
        <v>8.8571430000000007</v>
      </c>
      <c r="P35" s="2">
        <v>7.878501</v>
      </c>
      <c r="Q35" s="2">
        <v>6.8888889999999998</v>
      </c>
      <c r="R35" s="2">
        <v>6.4137940000000002</v>
      </c>
      <c r="S35" s="2" t="e">
        <v>#N/A</v>
      </c>
      <c r="T35" s="2" t="e">
        <v>#N/A</v>
      </c>
      <c r="U35" s="2" t="e">
        <v>#N/A</v>
      </c>
      <c r="V35" s="2" t="e">
        <v>#N/A</v>
      </c>
      <c r="W35" s="2">
        <v>0.78481020000000001</v>
      </c>
      <c r="X35" s="2">
        <v>0.74251500000000004</v>
      </c>
      <c r="Y35" s="2">
        <v>0.68761559999999999</v>
      </c>
      <c r="Z35" s="2">
        <v>0.64137929999999999</v>
      </c>
      <c r="AA35" s="2" t="e">
        <v>#N/A</v>
      </c>
      <c r="AB35" s="2" t="e">
        <v>#N/A</v>
      </c>
      <c r="AC35" s="2" t="e">
        <v>#N/A</v>
      </c>
      <c r="AD35" s="2" t="e">
        <v>#N/A</v>
      </c>
      <c r="AE35" s="2" t="e">
        <v>#N/A</v>
      </c>
      <c r="AF35" s="2" t="e">
        <v>#N/A</v>
      </c>
      <c r="AG35" s="2" t="e">
        <v>#N/A</v>
      </c>
      <c r="AH35" s="2">
        <v>9.8289629999999999</v>
      </c>
      <c r="AI35" s="2">
        <v>11.17324</v>
      </c>
      <c r="AJ35" s="2">
        <v>11.784280000000001</v>
      </c>
      <c r="AK35" s="3">
        <v>0.6213573</v>
      </c>
      <c r="AL35" s="3">
        <v>0.51420160000000004</v>
      </c>
      <c r="AM35" s="2" t="e">
        <v>#N/A</v>
      </c>
      <c r="AN35" s="2">
        <v>0.95631100000000002</v>
      </c>
      <c r="AO35" s="2">
        <v>2.0709550000000001</v>
      </c>
      <c r="AP35" s="2">
        <v>2.440985</v>
      </c>
      <c r="AQ35" s="2" t="e">
        <v>#N/A</v>
      </c>
      <c r="AR35" s="2" t="e">
        <v>#N/A</v>
      </c>
      <c r="AS35" s="2" t="e">
        <v>#N/A</v>
      </c>
      <c r="AT35" s="2" t="e">
        <v>#N/A</v>
      </c>
      <c r="AU35" s="1" t="s">
        <v>48</v>
      </c>
      <c r="AV35" s="3">
        <v>1.954545</v>
      </c>
      <c r="AW35" s="3">
        <v>2.1</v>
      </c>
      <c r="AX35" s="2">
        <v>12.903219999999999</v>
      </c>
      <c r="AY35" s="2">
        <v>9.4245710000000003</v>
      </c>
      <c r="AZ35" s="2">
        <v>12.638109999999999</v>
      </c>
      <c r="BA35" s="2">
        <v>11.44397</v>
      </c>
      <c r="BB35" s="2">
        <v>2.7624369999999998</v>
      </c>
      <c r="BC35" s="3">
        <v>1.5249999999999999</v>
      </c>
      <c r="BD35" s="2">
        <v>21.967220000000001</v>
      </c>
      <c r="BE35" s="3">
        <v>2.056</v>
      </c>
      <c r="BF35" s="2">
        <v>-9.5330720000000007</v>
      </c>
      <c r="BG35" s="2">
        <v>70.238100000000003</v>
      </c>
      <c r="BH35" s="2">
        <v>63.09478</v>
      </c>
      <c r="BI35" s="2">
        <v>56.179279999999999</v>
      </c>
      <c r="BJ35" s="2">
        <v>54.897129999999997</v>
      </c>
      <c r="BK35" s="2">
        <v>11</v>
      </c>
      <c r="BL35" s="2">
        <v>3</v>
      </c>
      <c r="BM35" s="4">
        <v>11</v>
      </c>
      <c r="BN35" s="4">
        <v>0</v>
      </c>
      <c r="BO35" s="4">
        <v>1</v>
      </c>
      <c r="BP35" s="4">
        <v>10</v>
      </c>
      <c r="BQ35" s="2">
        <v>0</v>
      </c>
      <c r="BR35" s="4">
        <v>5</v>
      </c>
      <c r="BS35" s="4">
        <v>4</v>
      </c>
      <c r="BT35" s="4">
        <v>11</v>
      </c>
      <c r="BU35" s="2">
        <v>45.454549999999998</v>
      </c>
      <c r="BV35" s="2">
        <v>7.1372600000000004</v>
      </c>
      <c r="BW35" s="2">
        <v>3079.5529999999999</v>
      </c>
      <c r="BX35" s="3">
        <v>3.512845</v>
      </c>
      <c r="BY35" s="3">
        <v>0.1140699</v>
      </c>
      <c r="BZ35" s="2">
        <v>0.81834300000000004</v>
      </c>
      <c r="CA35" s="3">
        <v>0.1140699</v>
      </c>
      <c r="CB35" s="3">
        <v>0.23989189999999999</v>
      </c>
      <c r="CC35" s="3">
        <v>0.2368586</v>
      </c>
      <c r="CD35" s="2">
        <v>-1.2644470000000001</v>
      </c>
      <c r="CE35" s="3">
        <v>1637.3520000000001</v>
      </c>
      <c r="CF35" s="3">
        <v>1662.172</v>
      </c>
      <c r="CG35" s="2">
        <v>1.5158529999999999</v>
      </c>
      <c r="CH35" s="3">
        <v>2.169</v>
      </c>
      <c r="CI35" s="2">
        <v>-3.1811889999999998</v>
      </c>
      <c r="CJ35" s="3">
        <v>24995.919999999998</v>
      </c>
      <c r="CK35" s="3">
        <v>26935.97</v>
      </c>
      <c r="CL35" s="2">
        <v>7.7614900000000002</v>
      </c>
      <c r="CM35" s="3">
        <v>1.8202389999999999</v>
      </c>
      <c r="CN35" s="3">
        <v>1.867961</v>
      </c>
      <c r="CO35" s="3">
        <v>1.8652310000000001</v>
      </c>
      <c r="CP35" s="2">
        <v>2.1844030000000001</v>
      </c>
      <c r="CQ35" s="2">
        <v>-0.42616130000000002</v>
      </c>
      <c r="CR35" s="2">
        <v>-0.28043390000000001</v>
      </c>
      <c r="CS35" s="2">
        <v>2.6217459999999999</v>
      </c>
      <c r="CT35" s="2">
        <v>6.4258559999999996</v>
      </c>
      <c r="CU35" s="3">
        <v>0.1121838</v>
      </c>
      <c r="CV35" s="2">
        <v>-81.501400000000004</v>
      </c>
      <c r="CW35" s="2">
        <v>32.217140000000001</v>
      </c>
      <c r="CX35" s="2">
        <v>-22.430720000000001</v>
      </c>
      <c r="CY35" s="2">
        <v>22.292929999999998</v>
      </c>
    </row>
    <row r="36" spans="1:103" ht="15" customHeight="1" x14ac:dyDescent="0.2">
      <c r="A36" s="1">
        <f t="shared" si="0"/>
        <v>30</v>
      </c>
      <c r="B36" s="1" t="s">
        <v>95</v>
      </c>
      <c r="C36" s="1" t="s">
        <v>94</v>
      </c>
      <c r="D36" s="1" t="s">
        <v>27</v>
      </c>
      <c r="E36" s="1" t="s">
        <v>28</v>
      </c>
      <c r="F36" s="2">
        <v>8841.2469999999994</v>
      </c>
      <c r="G36" s="2">
        <v>74.656599999999997</v>
      </c>
      <c r="H36" s="2">
        <v>6600.5739999999996</v>
      </c>
      <c r="I36" s="3">
        <v>16.34</v>
      </c>
      <c r="J36" s="3">
        <v>0</v>
      </c>
      <c r="K36" s="2">
        <v>6.1199510000000004</v>
      </c>
      <c r="L36" s="2">
        <v>6.1199510000000004</v>
      </c>
      <c r="M36" s="2">
        <v>4.8959609999999998</v>
      </c>
      <c r="N36" s="2">
        <v>4.8959609999999998</v>
      </c>
      <c r="O36" s="2">
        <v>13.284549999999999</v>
      </c>
      <c r="P36" s="2">
        <v>13.33961</v>
      </c>
      <c r="Q36" s="2">
        <v>17.405660000000001</v>
      </c>
      <c r="R36" s="2">
        <v>17.10266</v>
      </c>
      <c r="S36" s="2">
        <v>9.0086929999999992</v>
      </c>
      <c r="T36" s="2">
        <v>9.4084109999999992</v>
      </c>
      <c r="U36" s="2">
        <v>10.83375</v>
      </c>
      <c r="V36" s="2">
        <v>10.75088</v>
      </c>
      <c r="W36" s="2">
        <v>1.846139</v>
      </c>
      <c r="X36" s="2">
        <v>1.79758</v>
      </c>
      <c r="Y36" s="2">
        <v>1.805525</v>
      </c>
      <c r="Z36" s="2">
        <v>1.7703139999999999</v>
      </c>
      <c r="AA36" s="2">
        <v>7.3304729999999996</v>
      </c>
      <c r="AB36" s="2">
        <v>7.4949440000000003</v>
      </c>
      <c r="AC36" s="2">
        <v>8.4099020000000007</v>
      </c>
      <c r="AD36" s="2">
        <v>8.17</v>
      </c>
      <c r="AE36" s="2">
        <v>-1.5939319999999999</v>
      </c>
      <c r="AF36" s="2">
        <v>0.60781830000000003</v>
      </c>
      <c r="AG36" s="2">
        <v>-0.28060160000000001</v>
      </c>
      <c r="AH36" s="2">
        <v>-2.5788220000000002</v>
      </c>
      <c r="AI36" s="2">
        <v>1.0134320000000001</v>
      </c>
      <c r="AJ36" s="2">
        <v>-0.48315200000000003</v>
      </c>
      <c r="AK36" s="3" t="e">
        <v>#N/A</v>
      </c>
      <c r="AL36" s="3" t="e">
        <v>#N/A</v>
      </c>
      <c r="AM36" s="2">
        <v>73.99503</v>
      </c>
      <c r="AN36" s="2">
        <v>73.703609999999998</v>
      </c>
      <c r="AO36" s="2">
        <v>71.426659999999998</v>
      </c>
      <c r="AP36" s="2">
        <v>73.216130000000007</v>
      </c>
      <c r="AQ36" s="2">
        <v>3.1079810000000001</v>
      </c>
      <c r="AR36" s="2">
        <v>3.5932089999999999</v>
      </c>
      <c r="AS36" s="2">
        <v>4.336074</v>
      </c>
      <c r="AT36" s="2">
        <v>4.5070620000000003</v>
      </c>
      <c r="AU36" s="1" t="s">
        <v>48</v>
      </c>
      <c r="AV36" s="3">
        <v>2.2777780000000001</v>
      </c>
      <c r="AW36" s="3">
        <v>16.899999999999999</v>
      </c>
      <c r="AX36" s="2">
        <v>3.4271720000000001</v>
      </c>
      <c r="AY36" s="2">
        <v>13.47551</v>
      </c>
      <c r="AZ36" s="2">
        <v>-7.05</v>
      </c>
      <c r="BA36" s="2">
        <v>-9.0453679999999999</v>
      </c>
      <c r="BB36" s="2">
        <v>0.49200060000000001</v>
      </c>
      <c r="BC36" s="3">
        <v>14.505000000000001</v>
      </c>
      <c r="BD36" s="2">
        <v>12.65081</v>
      </c>
      <c r="BE36" s="3">
        <v>19.925000000000001</v>
      </c>
      <c r="BF36" s="2">
        <v>-17.992470000000001</v>
      </c>
      <c r="BG36" s="2">
        <v>81.394409999999993</v>
      </c>
      <c r="BH36" s="2">
        <v>81.847530000000006</v>
      </c>
      <c r="BI36" s="2">
        <v>88.840850000000003</v>
      </c>
      <c r="BJ36" s="2">
        <v>87.303089999999997</v>
      </c>
      <c r="BK36" s="2">
        <v>14</v>
      </c>
      <c r="BL36" s="2">
        <v>14</v>
      </c>
      <c r="BM36" s="4">
        <v>18</v>
      </c>
      <c r="BN36" s="4">
        <v>0</v>
      </c>
      <c r="BO36" s="4">
        <v>1</v>
      </c>
      <c r="BP36" s="4">
        <v>18</v>
      </c>
      <c r="BQ36" s="2">
        <v>0</v>
      </c>
      <c r="BR36" s="4">
        <v>1</v>
      </c>
      <c r="BS36" s="4">
        <v>7</v>
      </c>
      <c r="BT36" s="4">
        <v>18</v>
      </c>
      <c r="BU36" s="2">
        <v>5.5555560000000002</v>
      </c>
      <c r="BV36" s="2">
        <v>5.63009</v>
      </c>
      <c r="BW36" s="2">
        <v>541.08000000000004</v>
      </c>
      <c r="BX36" s="3">
        <v>1.1429929999999999</v>
      </c>
      <c r="BY36" s="3">
        <v>0.21124280000000001</v>
      </c>
      <c r="BZ36" s="2">
        <v>0.48921399999999998</v>
      </c>
      <c r="CA36" s="3">
        <v>0.21124280000000001</v>
      </c>
      <c r="CB36" s="3">
        <v>1.223446</v>
      </c>
      <c r="CC36" s="3">
        <v>1.221784</v>
      </c>
      <c r="CD36" s="2">
        <v>-0.13586880000000001</v>
      </c>
      <c r="CE36" s="3">
        <v>995.92740000000003</v>
      </c>
      <c r="CF36" s="3">
        <v>991.72140000000002</v>
      </c>
      <c r="CG36" s="2">
        <v>-0.4223228</v>
      </c>
      <c r="CH36" s="3">
        <v>17.135560000000002</v>
      </c>
      <c r="CI36" s="2">
        <v>-1.3746620000000001</v>
      </c>
      <c r="CJ36" s="3">
        <v>2070.2199999999998</v>
      </c>
      <c r="CK36" s="3">
        <v>2057.8389999999999</v>
      </c>
      <c r="CL36" s="2">
        <v>-0.59805509999999995</v>
      </c>
      <c r="CM36" s="3">
        <v>16.403700000000001</v>
      </c>
      <c r="CN36" s="3">
        <v>16.28912</v>
      </c>
      <c r="CO36" s="3">
        <v>16.124040000000001</v>
      </c>
      <c r="CP36" s="2">
        <v>-0.38833620000000002</v>
      </c>
      <c r="CQ36" s="2">
        <v>0.31237599999999999</v>
      </c>
      <c r="CR36" s="2">
        <v>1.3393759999999999</v>
      </c>
      <c r="CS36" s="2">
        <v>-0.6985247</v>
      </c>
      <c r="CT36" s="2">
        <v>15.369210000000001</v>
      </c>
      <c r="CU36" s="3">
        <v>0.1738353</v>
      </c>
      <c r="CV36" s="2">
        <v>-7.133286</v>
      </c>
      <c r="CW36" s="2">
        <v>-0.1092505</v>
      </c>
      <c r="CX36" s="2">
        <v>-0.18348619999999999</v>
      </c>
      <c r="CY36" s="2">
        <v>22.575759999999999</v>
      </c>
    </row>
    <row r="37" spans="1:103" ht="15" customHeight="1" x14ac:dyDescent="0.2">
      <c r="A37" s="1">
        <f t="shared" si="0"/>
        <v>31</v>
      </c>
      <c r="B37" s="1" t="s">
        <v>97</v>
      </c>
      <c r="C37" s="1" t="s">
        <v>96</v>
      </c>
      <c r="D37" s="1" t="s">
        <v>55</v>
      </c>
      <c r="E37" s="1" t="s">
        <v>56</v>
      </c>
      <c r="F37" s="2">
        <v>25811.119999999999</v>
      </c>
      <c r="G37" s="2">
        <v>12.858599999999999</v>
      </c>
      <c r="H37" s="2">
        <v>3318.9479999999999</v>
      </c>
      <c r="I37" s="3">
        <v>26.62</v>
      </c>
      <c r="J37" s="3">
        <v>0</v>
      </c>
      <c r="K37" s="2">
        <v>4.5078889999999996</v>
      </c>
      <c r="L37" s="2">
        <v>4.5078889999999996</v>
      </c>
      <c r="M37" s="2">
        <v>4.5078889999999996</v>
      </c>
      <c r="N37" s="2">
        <v>4.5078889999999996</v>
      </c>
      <c r="O37" s="2">
        <v>15.649620000000001</v>
      </c>
      <c r="P37" s="2">
        <v>14.5863</v>
      </c>
      <c r="Q37" s="2">
        <v>15.649470000000001</v>
      </c>
      <c r="R37" s="2">
        <v>16.432099999999998</v>
      </c>
      <c r="S37" s="2">
        <v>7.244008</v>
      </c>
      <c r="T37" s="2">
        <v>7.6776759999999999</v>
      </c>
      <c r="U37" s="2">
        <v>8.2096900000000002</v>
      </c>
      <c r="V37" s="2">
        <v>8.3147479999999998</v>
      </c>
      <c r="W37" s="2">
        <v>3.4128210000000001</v>
      </c>
      <c r="X37" s="2">
        <v>3.0457670000000001</v>
      </c>
      <c r="Y37" s="2">
        <v>2.980963</v>
      </c>
      <c r="Z37" s="2">
        <v>2.880255</v>
      </c>
      <c r="AA37" s="2">
        <v>8.2923659999999995</v>
      </c>
      <c r="AB37" s="2">
        <v>7.413265</v>
      </c>
      <c r="AC37" s="2">
        <v>7.5600360000000002</v>
      </c>
      <c r="AD37" s="2">
        <v>7.6873930000000001</v>
      </c>
      <c r="AE37" s="2">
        <v>-1.2605980000000001</v>
      </c>
      <c r="AF37" s="2">
        <v>0.2854081</v>
      </c>
      <c r="AG37" s="2">
        <v>3.5776290000000002E-2</v>
      </c>
      <c r="AH37" s="2">
        <v>-1.8838779999999999</v>
      </c>
      <c r="AI37" s="2">
        <v>0.43237179999999997</v>
      </c>
      <c r="AJ37" s="2">
        <v>5.5789909999999998E-2</v>
      </c>
      <c r="AK37" s="3" t="e">
        <v>#N/A</v>
      </c>
      <c r="AL37" s="3" t="e">
        <v>#N/A</v>
      </c>
      <c r="AM37" s="2">
        <v>14.585599999999999</v>
      </c>
      <c r="AN37" s="2">
        <v>17.432390000000002</v>
      </c>
      <c r="AO37" s="2">
        <v>17.34864</v>
      </c>
      <c r="AP37" s="2">
        <v>20.29598</v>
      </c>
      <c r="AQ37" s="2">
        <v>2.4859710000000002</v>
      </c>
      <c r="AR37" s="2">
        <v>2.5401560000000001</v>
      </c>
      <c r="AS37" s="2">
        <v>2.790483</v>
      </c>
      <c r="AT37" s="2">
        <v>2.982764</v>
      </c>
      <c r="AU37" s="1" t="s">
        <v>98</v>
      </c>
      <c r="AV37" s="3">
        <v>2.5384609999999999</v>
      </c>
      <c r="AW37" s="3">
        <v>24.815000000000001</v>
      </c>
      <c r="AX37" s="2">
        <v>-6.7806189999999997</v>
      </c>
      <c r="AY37" s="2">
        <v>20.88101</v>
      </c>
      <c r="AZ37" s="2">
        <v>-5.5</v>
      </c>
      <c r="BA37" s="2">
        <v>-1.66235</v>
      </c>
      <c r="BB37" s="2">
        <v>9.5022680000000008</v>
      </c>
      <c r="BC37" s="3">
        <v>22.16</v>
      </c>
      <c r="BD37" s="2">
        <v>20.126349999999999</v>
      </c>
      <c r="BE37" s="3">
        <v>30.05</v>
      </c>
      <c r="BF37" s="2">
        <v>-11.41431</v>
      </c>
      <c r="BG37" s="2">
        <v>70.644419999999997</v>
      </c>
      <c r="BH37" s="2">
        <v>68.369280000000003</v>
      </c>
      <c r="BI37" s="2">
        <v>75.193659999999994</v>
      </c>
      <c r="BJ37" s="2">
        <v>78.738870000000006</v>
      </c>
      <c r="BK37" s="2">
        <v>10</v>
      </c>
      <c r="BL37" s="2">
        <v>9</v>
      </c>
      <c r="BM37" s="4">
        <v>13</v>
      </c>
      <c r="BN37" s="4">
        <v>0</v>
      </c>
      <c r="BO37" s="4">
        <v>1</v>
      </c>
      <c r="BP37" s="4">
        <v>10</v>
      </c>
      <c r="BQ37" s="2">
        <v>0</v>
      </c>
      <c r="BR37" s="4">
        <v>0</v>
      </c>
      <c r="BS37" s="4">
        <v>8</v>
      </c>
      <c r="BT37" s="4">
        <v>13</v>
      </c>
      <c r="BU37" s="2">
        <v>0</v>
      </c>
      <c r="BV37" s="2">
        <v>7.5484600000000004</v>
      </c>
      <c r="BW37" s="2">
        <v>969.61379999999997</v>
      </c>
      <c r="BX37" s="3">
        <v>0.36863319999999999</v>
      </c>
      <c r="BY37" s="3">
        <v>3.8018549999999998E-2</v>
      </c>
      <c r="BZ37" s="2">
        <v>0.66413599999999995</v>
      </c>
      <c r="CA37" s="3">
        <v>3.8018549999999998E-2</v>
      </c>
      <c r="CB37" s="3">
        <v>1.764716</v>
      </c>
      <c r="CC37" s="3">
        <v>1.8754360000000001</v>
      </c>
      <c r="CD37" s="2">
        <v>6.2740919999999996</v>
      </c>
      <c r="CE37" s="3">
        <v>3215.8539999999998</v>
      </c>
      <c r="CF37" s="3">
        <v>3294.4340000000002</v>
      </c>
      <c r="CG37" s="2">
        <v>2.4435159999999998</v>
      </c>
      <c r="CH37" s="3">
        <v>23.926870000000001</v>
      </c>
      <c r="CI37" s="2">
        <v>3.7118319999999998</v>
      </c>
      <c r="CJ37" s="3">
        <v>29755.9</v>
      </c>
      <c r="CK37" s="3">
        <v>29249.8</v>
      </c>
      <c r="CL37" s="2">
        <v>-1.7008300000000001</v>
      </c>
      <c r="CM37" s="3">
        <v>26.312940000000001</v>
      </c>
      <c r="CN37" s="3">
        <v>27.648620000000001</v>
      </c>
      <c r="CO37" s="3">
        <v>26.985379999999999</v>
      </c>
      <c r="CP37" s="2">
        <v>1.1669750000000001</v>
      </c>
      <c r="CQ37" s="2">
        <v>-3.7203430000000002</v>
      </c>
      <c r="CR37" s="2">
        <v>-1.3539969999999999</v>
      </c>
      <c r="CS37" s="2">
        <v>5.0761580000000004</v>
      </c>
      <c r="CT37" s="2">
        <v>9.4246320000000008</v>
      </c>
      <c r="CU37" s="3">
        <v>3.651385E-2</v>
      </c>
      <c r="CV37" s="2" t="e">
        <v>#N/A</v>
      </c>
      <c r="CW37" s="2" t="e">
        <v>#N/A</v>
      </c>
      <c r="CX37" s="2" t="e">
        <v>#N/A</v>
      </c>
      <c r="CY37" s="2">
        <v>23.545449999999999</v>
      </c>
    </row>
    <row r="38" spans="1:103" ht="15" customHeight="1" x14ac:dyDescent="0.2">
      <c r="A38" s="1">
        <f t="shared" si="0"/>
        <v>32</v>
      </c>
      <c r="B38" s="1" t="s">
        <v>100</v>
      </c>
      <c r="C38" s="1" t="s">
        <v>99</v>
      </c>
      <c r="D38" s="1" t="s">
        <v>15</v>
      </c>
      <c r="E38" s="1" t="s">
        <v>16</v>
      </c>
      <c r="F38" s="2">
        <v>2495.5430000000001</v>
      </c>
      <c r="G38" s="2">
        <v>47.862699999999997</v>
      </c>
      <c r="H38" s="2">
        <v>1194.4349999999999</v>
      </c>
      <c r="I38" s="3">
        <v>0.94</v>
      </c>
      <c r="J38" s="3">
        <v>0</v>
      </c>
      <c r="K38" s="2">
        <v>5.3191490000000003</v>
      </c>
      <c r="L38" s="2">
        <v>7.4468079999999999</v>
      </c>
      <c r="M38" s="2">
        <v>8.3727660000000004</v>
      </c>
      <c r="N38" s="2">
        <v>9.5412370000000006</v>
      </c>
      <c r="O38" s="2">
        <v>10.24657</v>
      </c>
      <c r="P38" s="2">
        <v>6.9201899999999998</v>
      </c>
      <c r="Q38" s="2">
        <v>6.2666659999999998</v>
      </c>
      <c r="R38" s="2">
        <v>5.2404099999999998</v>
      </c>
      <c r="S38" s="2" t="e">
        <v>#N/A</v>
      </c>
      <c r="T38" s="2" t="e">
        <v>#N/A</v>
      </c>
      <c r="U38" s="2" t="e">
        <v>#N/A</v>
      </c>
      <c r="V38" s="2" t="e">
        <v>#N/A</v>
      </c>
      <c r="W38" s="2">
        <v>0.38683129999999999</v>
      </c>
      <c r="X38" s="2">
        <v>0.37826959999999998</v>
      </c>
      <c r="Y38" s="2">
        <v>0.37007869999999998</v>
      </c>
      <c r="Z38" s="2">
        <v>0.3580952</v>
      </c>
      <c r="AA38" s="2" t="e">
        <v>#N/A</v>
      </c>
      <c r="AB38" s="2" t="e">
        <v>#N/A</v>
      </c>
      <c r="AC38" s="2" t="e">
        <v>#N/A</v>
      </c>
      <c r="AD38" s="2" t="e">
        <v>#N/A</v>
      </c>
      <c r="AE38" s="2" t="e">
        <v>#N/A</v>
      </c>
      <c r="AF38" s="2" t="e">
        <v>#N/A</v>
      </c>
      <c r="AG38" s="2" t="e">
        <v>#N/A</v>
      </c>
      <c r="AH38" s="2" t="e">
        <v>#N/A</v>
      </c>
      <c r="AI38" s="2" t="e">
        <v>#N/A</v>
      </c>
      <c r="AJ38" s="2" t="e">
        <v>#N/A</v>
      </c>
      <c r="AK38" s="3">
        <v>0.28146870000000002</v>
      </c>
      <c r="AL38" s="3">
        <v>0.252168</v>
      </c>
      <c r="AM38" s="2" t="e">
        <v>#N/A</v>
      </c>
      <c r="AN38" s="2" t="e">
        <v>#N/A</v>
      </c>
      <c r="AO38" s="2" t="e">
        <v>#N/A</v>
      </c>
      <c r="AP38" s="2" t="e">
        <v>#N/A</v>
      </c>
      <c r="AQ38" s="2" t="e">
        <v>#N/A</v>
      </c>
      <c r="AR38" s="2" t="e">
        <v>#N/A</v>
      </c>
      <c r="AS38" s="2" t="e">
        <v>#N/A</v>
      </c>
      <c r="AT38" s="2" t="e">
        <v>#N/A</v>
      </c>
      <c r="AU38" s="1" t="s">
        <v>5</v>
      </c>
      <c r="AV38" s="3">
        <v>1.4375</v>
      </c>
      <c r="AW38" s="3">
        <v>1.35</v>
      </c>
      <c r="AX38" s="2">
        <v>43.617019999999997</v>
      </c>
      <c r="AY38" s="2">
        <v>5.4661739999999996</v>
      </c>
      <c r="AZ38" s="2">
        <v>24.81672</v>
      </c>
      <c r="BA38" s="2">
        <v>8.4823970000000006</v>
      </c>
      <c r="BB38" s="2">
        <v>-8.8263870000000004</v>
      </c>
      <c r="BC38" s="3">
        <v>0.753</v>
      </c>
      <c r="BD38" s="2">
        <v>24.83399</v>
      </c>
      <c r="BE38" s="3">
        <v>1.2569999999999999</v>
      </c>
      <c r="BF38" s="2">
        <v>-25.218769999999999</v>
      </c>
      <c r="BG38" s="2">
        <v>49.803489999999996</v>
      </c>
      <c r="BH38" s="2">
        <v>47.968850000000003</v>
      </c>
      <c r="BI38" s="2">
        <v>48.806319999999999</v>
      </c>
      <c r="BJ38" s="2">
        <v>51.027520000000003</v>
      </c>
      <c r="BK38" s="2">
        <v>15</v>
      </c>
      <c r="BL38" s="2">
        <v>12</v>
      </c>
      <c r="BM38" s="4">
        <v>16</v>
      </c>
      <c r="BN38" s="4">
        <v>0</v>
      </c>
      <c r="BO38" s="4">
        <v>1</v>
      </c>
      <c r="BP38" s="4">
        <v>14</v>
      </c>
      <c r="BQ38" s="2">
        <v>0</v>
      </c>
      <c r="BR38" s="4">
        <v>11</v>
      </c>
      <c r="BS38" s="4">
        <v>2</v>
      </c>
      <c r="BT38" s="4">
        <v>16</v>
      </c>
      <c r="BU38" s="2">
        <v>68.75</v>
      </c>
      <c r="BV38" s="2">
        <v>11.853999999999999</v>
      </c>
      <c r="BW38" s="2">
        <v>2654.8330000000001</v>
      </c>
      <c r="BX38" s="3">
        <v>5.4954640000000001</v>
      </c>
      <c r="BY38" s="3">
        <v>0.2069985</v>
      </c>
      <c r="BZ38" s="2">
        <v>0.98867499999999997</v>
      </c>
      <c r="CA38" s="3">
        <v>0.2069985</v>
      </c>
      <c r="CB38" s="3">
        <v>0.1513562</v>
      </c>
      <c r="CC38" s="3">
        <v>0.14116049999999999</v>
      </c>
      <c r="CD38" s="2">
        <v>-6.7362669999999998</v>
      </c>
      <c r="CE38" s="3">
        <v>896.56439999999998</v>
      </c>
      <c r="CF38" s="3">
        <v>848.13819999999998</v>
      </c>
      <c r="CG38" s="2">
        <v>-5.4013070000000001</v>
      </c>
      <c r="CH38" s="3">
        <v>1.4570590000000001</v>
      </c>
      <c r="CI38" s="2">
        <v>-7.3475960000000002</v>
      </c>
      <c r="CJ38" s="3">
        <v>1747.5550000000001</v>
      </c>
      <c r="CK38" s="3">
        <v>1722.298</v>
      </c>
      <c r="CL38" s="2">
        <v>-1.4452579999999999</v>
      </c>
      <c r="CM38" s="3">
        <v>1.015477</v>
      </c>
      <c r="CN38" s="3">
        <v>0.95375480000000001</v>
      </c>
      <c r="CO38" s="3">
        <v>0.92667319999999997</v>
      </c>
      <c r="CP38" s="2">
        <v>-7.4327050000000003</v>
      </c>
      <c r="CQ38" s="2">
        <v>-1.44217</v>
      </c>
      <c r="CR38" s="2">
        <v>1.4381409999999999</v>
      </c>
      <c r="CS38" s="2">
        <v>-6.0781900000000002</v>
      </c>
      <c r="CT38" s="2">
        <v>6.7999200000000002</v>
      </c>
      <c r="CU38" s="3">
        <v>0.27248250000000002</v>
      </c>
      <c r="CV38" s="2">
        <v>-60</v>
      </c>
      <c r="CW38" s="2">
        <v>-2.547355</v>
      </c>
      <c r="CX38" s="2">
        <v>-6.8219630000000002</v>
      </c>
      <c r="CY38" s="2">
        <v>23.646470000000001</v>
      </c>
    </row>
    <row r="39" spans="1:103" ht="15" customHeight="1" x14ac:dyDescent="0.2">
      <c r="A39" s="1">
        <f t="shared" si="0"/>
        <v>33</v>
      </c>
      <c r="B39" s="1" t="s">
        <v>102</v>
      </c>
      <c r="C39" s="1" t="s">
        <v>101</v>
      </c>
      <c r="D39" s="1" t="s">
        <v>55</v>
      </c>
      <c r="E39" s="1" t="s">
        <v>103</v>
      </c>
      <c r="F39" s="2">
        <v>1689.336</v>
      </c>
      <c r="G39" s="2">
        <v>63.25</v>
      </c>
      <c r="H39" s="2">
        <v>1068.5050000000001</v>
      </c>
      <c r="I39" s="3">
        <v>13.52</v>
      </c>
      <c r="J39" s="3">
        <v>0</v>
      </c>
      <c r="K39" s="2">
        <v>0</v>
      </c>
      <c r="L39" s="2">
        <v>0</v>
      </c>
      <c r="M39" s="2">
        <v>0</v>
      </c>
      <c r="N39" s="2">
        <v>0</v>
      </c>
      <c r="O39" s="2">
        <v>18.77778</v>
      </c>
      <c r="P39" s="2">
        <v>15.665380000000001</v>
      </c>
      <c r="Q39" s="2">
        <v>14.857139999999999</v>
      </c>
      <c r="R39" s="2">
        <v>13.386139999999999</v>
      </c>
      <c r="S39" s="2">
        <v>19.51952</v>
      </c>
      <c r="T39" s="2">
        <v>14.267379999999999</v>
      </c>
      <c r="U39" s="2">
        <v>12.72382</v>
      </c>
      <c r="V39" s="2">
        <v>11.79181</v>
      </c>
      <c r="W39" s="2">
        <v>4.9163639999999997</v>
      </c>
      <c r="X39" s="2">
        <v>3.7245180000000002</v>
      </c>
      <c r="Y39" s="2">
        <v>3.003625</v>
      </c>
      <c r="Z39" s="2">
        <v>2.5318350000000001</v>
      </c>
      <c r="AA39" s="2">
        <v>14.68515</v>
      </c>
      <c r="AB39" s="2">
        <v>11.26667</v>
      </c>
      <c r="AC39" s="2">
        <v>10.480090000000001</v>
      </c>
      <c r="AD39" s="2">
        <v>8.5704460000000005</v>
      </c>
      <c r="AE39" s="2">
        <v>-9.45303</v>
      </c>
      <c r="AF39" s="2">
        <v>-10.92431</v>
      </c>
      <c r="AG39" s="2">
        <v>-10.168670000000001</v>
      </c>
      <c r="AH39" s="2">
        <v>-15.328519999999999</v>
      </c>
      <c r="AI39" s="2">
        <v>-20.158660000000001</v>
      </c>
      <c r="AJ39" s="2">
        <v>-21.364629999999998</v>
      </c>
      <c r="AK39" s="3">
        <v>1.5109859999999999</v>
      </c>
      <c r="AL39" s="3">
        <v>1.3573379999999999</v>
      </c>
      <c r="AM39" s="2">
        <v>90.486459999999994</v>
      </c>
      <c r="AN39" s="2">
        <v>85.333340000000007</v>
      </c>
      <c r="AO39" s="2">
        <v>88.768119999999996</v>
      </c>
      <c r="AP39" s="2">
        <v>81.351349999999996</v>
      </c>
      <c r="AQ39" s="2">
        <v>4.971419</v>
      </c>
      <c r="AR39" s="2">
        <v>5.46875</v>
      </c>
      <c r="AS39" s="2">
        <v>5.8285710000000002</v>
      </c>
      <c r="AT39" s="2">
        <v>6.1794019999999996</v>
      </c>
      <c r="AU39" s="1" t="s">
        <v>48</v>
      </c>
      <c r="AV39" s="3">
        <v>1.7352939999999999</v>
      </c>
      <c r="AW39" s="3">
        <v>18.5</v>
      </c>
      <c r="AX39" s="2">
        <v>36.834310000000002</v>
      </c>
      <c r="AY39" s="2">
        <v>23.775469999999999</v>
      </c>
      <c r="AZ39" s="2">
        <v>10.5</v>
      </c>
      <c r="BA39" s="2">
        <v>-31.9406</v>
      </c>
      <c r="BB39" s="2">
        <v>-21.028040000000001</v>
      </c>
      <c r="BC39" s="3">
        <v>12.484999999999999</v>
      </c>
      <c r="BD39" s="2">
        <v>8.2899569999999994</v>
      </c>
      <c r="BE39" s="3">
        <v>24.65</v>
      </c>
      <c r="BF39" s="2">
        <v>-45.15213</v>
      </c>
      <c r="BG39" s="2">
        <v>0</v>
      </c>
      <c r="BH39" s="2">
        <v>0</v>
      </c>
      <c r="BI39" s="2">
        <v>0</v>
      </c>
      <c r="BJ39" s="2">
        <v>0</v>
      </c>
      <c r="BK39" s="2">
        <v>16</v>
      </c>
      <c r="BL39" s="2">
        <v>15</v>
      </c>
      <c r="BM39" s="4">
        <v>17</v>
      </c>
      <c r="BN39" s="4">
        <v>3</v>
      </c>
      <c r="BO39" s="4">
        <v>1</v>
      </c>
      <c r="BP39" s="4">
        <v>14</v>
      </c>
      <c r="BQ39" s="2">
        <v>16.66667</v>
      </c>
      <c r="BR39" s="4">
        <v>7</v>
      </c>
      <c r="BS39" s="4">
        <v>2</v>
      </c>
      <c r="BT39" s="4">
        <v>17</v>
      </c>
      <c r="BU39" s="2">
        <v>41.176470000000002</v>
      </c>
      <c r="BV39" s="2">
        <v>12.732799999999999</v>
      </c>
      <c r="BW39" s="2">
        <v>124.9509</v>
      </c>
      <c r="BX39" s="3">
        <v>0.54867149999999998</v>
      </c>
      <c r="BY39" s="3">
        <v>0.43910979999999999</v>
      </c>
      <c r="BZ39" s="2">
        <v>0.65072799999999997</v>
      </c>
      <c r="CA39" s="3">
        <v>0.43910979999999999</v>
      </c>
      <c r="CB39" s="3">
        <v>0.88834279999999999</v>
      </c>
      <c r="CC39" s="3">
        <v>0.85217120000000002</v>
      </c>
      <c r="CD39" s="2">
        <v>-4.0718019999999999</v>
      </c>
      <c r="CE39" s="3">
        <v>165.5154</v>
      </c>
      <c r="CF39" s="3">
        <v>161.07470000000001</v>
      </c>
      <c r="CG39" s="2">
        <v>-2.682966</v>
      </c>
      <c r="CH39" s="3">
        <v>19.466429999999999</v>
      </c>
      <c r="CI39" s="2">
        <v>-4.9645900000000003</v>
      </c>
      <c r="CJ39" s="3">
        <v>239.31200000000001</v>
      </c>
      <c r="CK39" s="3">
        <v>229.11789999999999</v>
      </c>
      <c r="CL39" s="2">
        <v>-4.259735</v>
      </c>
      <c r="CM39" s="3">
        <v>16.59843</v>
      </c>
      <c r="CN39" s="3">
        <v>14.35108</v>
      </c>
      <c r="CO39" s="3">
        <v>13.684810000000001</v>
      </c>
      <c r="CP39" s="2">
        <v>-18.546520000000001</v>
      </c>
      <c r="CQ39" s="2">
        <v>-5.7910560000000002</v>
      </c>
      <c r="CR39" s="2">
        <v>-1.204318</v>
      </c>
      <c r="CS39" s="2">
        <v>-13.539529999999999</v>
      </c>
      <c r="CT39" s="2">
        <v>7.0362429999999998</v>
      </c>
      <c r="CU39" s="3">
        <v>0.41650939999999997</v>
      </c>
      <c r="CV39" s="2" t="e">
        <v>#N/A</v>
      </c>
      <c r="CW39" s="2" t="e">
        <v>#N/A</v>
      </c>
      <c r="CX39" s="2" t="e">
        <v>#N/A</v>
      </c>
      <c r="CY39" s="2">
        <v>24.08081</v>
      </c>
    </row>
    <row r="40" spans="1:103" ht="15" customHeight="1" x14ac:dyDescent="0.2">
      <c r="A40" s="1">
        <f t="shared" si="0"/>
        <v>34</v>
      </c>
      <c r="B40" s="1" t="s">
        <v>105</v>
      </c>
      <c r="C40" s="1" t="s">
        <v>104</v>
      </c>
      <c r="D40" s="1" t="s">
        <v>55</v>
      </c>
      <c r="E40" s="1" t="s">
        <v>103</v>
      </c>
      <c r="F40" s="2">
        <v>10377.98</v>
      </c>
      <c r="G40" s="2">
        <v>17.324300000000001</v>
      </c>
      <c r="H40" s="2">
        <v>1797.912</v>
      </c>
      <c r="I40" s="3">
        <v>31.52</v>
      </c>
      <c r="J40" s="3">
        <v>0</v>
      </c>
      <c r="K40" s="2">
        <v>2.220812</v>
      </c>
      <c r="L40" s="2">
        <v>2.00962</v>
      </c>
      <c r="M40" s="2">
        <v>1.8998379999999999</v>
      </c>
      <c r="N40" s="2">
        <v>1.919416</v>
      </c>
      <c r="O40" s="2">
        <v>13.70435</v>
      </c>
      <c r="P40" s="2">
        <v>16.896270000000001</v>
      </c>
      <c r="Q40" s="2">
        <v>18.395099999999999</v>
      </c>
      <c r="R40" s="2">
        <v>19.7</v>
      </c>
      <c r="S40" s="2">
        <v>8.4211229999999997</v>
      </c>
      <c r="T40" s="2">
        <v>9.0392279999999996</v>
      </c>
      <c r="U40" s="2">
        <v>9.4981299999999997</v>
      </c>
      <c r="V40" s="2">
        <v>9.9550879999999999</v>
      </c>
      <c r="W40" s="2">
        <v>1.7678069999999999</v>
      </c>
      <c r="X40" s="2">
        <v>1.660258</v>
      </c>
      <c r="Y40" s="2">
        <v>1.575177</v>
      </c>
      <c r="Z40" s="2">
        <v>1.509579</v>
      </c>
      <c r="AA40" s="2">
        <v>9.0705039999999997</v>
      </c>
      <c r="AB40" s="2">
        <v>9.6136280000000003</v>
      </c>
      <c r="AC40" s="2">
        <v>9.4561499999999992</v>
      </c>
      <c r="AD40" s="2">
        <v>10.04177</v>
      </c>
      <c r="AE40" s="2">
        <v>-5.6559679999999997</v>
      </c>
      <c r="AF40" s="2">
        <v>-6.1717589999999998</v>
      </c>
      <c r="AG40" s="2">
        <v>-4.7471670000000001</v>
      </c>
      <c r="AH40" s="2">
        <v>-7.2910029999999999</v>
      </c>
      <c r="AI40" s="2">
        <v>-8.5588759999999997</v>
      </c>
      <c r="AJ40" s="2">
        <v>-6.9533870000000002</v>
      </c>
      <c r="AK40" s="3">
        <v>3.399956</v>
      </c>
      <c r="AL40" s="3">
        <v>3.720205</v>
      </c>
      <c r="AM40" s="2">
        <v>37.99127</v>
      </c>
      <c r="AN40" s="2">
        <v>38.154159999999997</v>
      </c>
      <c r="AO40" s="2">
        <v>40.363439999999997</v>
      </c>
      <c r="AP40" s="2">
        <v>41.448610000000002</v>
      </c>
      <c r="AQ40" s="2">
        <v>1.2226250000000001</v>
      </c>
      <c r="AR40" s="2">
        <v>2.0270809999999999</v>
      </c>
      <c r="AS40" s="2">
        <v>2.649079</v>
      </c>
      <c r="AT40" s="2">
        <v>3.1586210000000001</v>
      </c>
      <c r="AU40" s="1" t="s">
        <v>48</v>
      </c>
      <c r="AV40" s="3">
        <v>1.763158</v>
      </c>
      <c r="AW40" s="3">
        <v>39</v>
      </c>
      <c r="AX40" s="2">
        <v>23.73096</v>
      </c>
      <c r="AY40" s="2">
        <v>9.8261789999999998</v>
      </c>
      <c r="AZ40" s="2">
        <v>4.8913640000000003</v>
      </c>
      <c r="BA40" s="2">
        <v>-9.2165949999999999</v>
      </c>
      <c r="BB40" s="2">
        <v>-12.783620000000001</v>
      </c>
      <c r="BC40" s="3">
        <v>30.54</v>
      </c>
      <c r="BD40" s="2">
        <v>3.2088990000000002</v>
      </c>
      <c r="BE40" s="3">
        <v>44.2</v>
      </c>
      <c r="BF40" s="2">
        <v>-28.68778</v>
      </c>
      <c r="BG40" s="2">
        <v>24.33248</v>
      </c>
      <c r="BH40" s="2">
        <v>32.723880000000001</v>
      </c>
      <c r="BI40" s="2">
        <v>34.776049999999998</v>
      </c>
      <c r="BJ40" s="2">
        <v>38.950389999999999</v>
      </c>
      <c r="BK40" s="2">
        <v>18</v>
      </c>
      <c r="BL40" s="2">
        <v>16</v>
      </c>
      <c r="BM40" s="4">
        <v>19</v>
      </c>
      <c r="BN40" s="4">
        <v>1</v>
      </c>
      <c r="BO40" s="4">
        <v>0</v>
      </c>
      <c r="BP40" s="4">
        <v>18</v>
      </c>
      <c r="BQ40" s="2">
        <v>5.2631579999999998</v>
      </c>
      <c r="BR40" s="4">
        <v>6</v>
      </c>
      <c r="BS40" s="4">
        <v>1</v>
      </c>
      <c r="BT40" s="4">
        <v>19</v>
      </c>
      <c r="BU40" s="2">
        <v>31.578949999999999</v>
      </c>
      <c r="BV40" s="2">
        <v>7.6778199999999996</v>
      </c>
      <c r="BW40" s="2">
        <v>329.25060000000002</v>
      </c>
      <c r="BX40" s="3">
        <v>0.31458049999999999</v>
      </c>
      <c r="BY40" s="3">
        <v>9.5544409999999996E-2</v>
      </c>
      <c r="BZ40" s="2">
        <v>0.40525</v>
      </c>
      <c r="CA40" s="3">
        <v>9.5544409999999996E-2</v>
      </c>
      <c r="CB40" s="3">
        <v>1.9736119999999999</v>
      </c>
      <c r="CC40" s="3">
        <v>1.895322</v>
      </c>
      <c r="CD40" s="2">
        <v>-3.9668679999999998</v>
      </c>
      <c r="CE40" s="3">
        <v>1092.145</v>
      </c>
      <c r="CF40" s="3">
        <v>1026.039</v>
      </c>
      <c r="CG40" s="2">
        <v>-6.0528339999999998</v>
      </c>
      <c r="CH40" s="3">
        <v>40.9345</v>
      </c>
      <c r="CI40" s="2">
        <v>-4.7258430000000002</v>
      </c>
      <c r="CJ40" s="3">
        <v>3767.6669999999999</v>
      </c>
      <c r="CK40" s="3">
        <v>3816.3829999999998</v>
      </c>
      <c r="CL40" s="2">
        <v>1.2929919999999999</v>
      </c>
      <c r="CM40" s="3">
        <v>36.271839999999997</v>
      </c>
      <c r="CN40" s="3">
        <v>32.693730000000002</v>
      </c>
      <c r="CO40" s="3">
        <v>31.833079999999999</v>
      </c>
      <c r="CP40" s="2">
        <v>-13.10064</v>
      </c>
      <c r="CQ40" s="2">
        <v>-3.590071</v>
      </c>
      <c r="CR40" s="2">
        <v>-0.9835005</v>
      </c>
      <c r="CS40" s="2">
        <v>-9.8647120000000008</v>
      </c>
      <c r="CT40" s="2">
        <v>11.368550000000001</v>
      </c>
      <c r="CU40" s="3">
        <v>0.109545</v>
      </c>
      <c r="CV40" s="2" t="e">
        <v>#N/A</v>
      </c>
      <c r="CW40" s="2" t="e">
        <v>#N/A</v>
      </c>
      <c r="CX40" s="2" t="e">
        <v>#N/A</v>
      </c>
      <c r="CY40" s="2">
        <v>24.63636</v>
      </c>
    </row>
    <row r="41" spans="1:103" ht="15" customHeight="1" x14ac:dyDescent="0.2">
      <c r="A41" s="1">
        <f t="shared" si="0"/>
        <v>35</v>
      </c>
      <c r="B41" s="1" t="s">
        <v>107</v>
      </c>
      <c r="C41" s="1" t="s">
        <v>106</v>
      </c>
      <c r="D41" s="1" t="s">
        <v>15</v>
      </c>
      <c r="E41" s="1" t="s">
        <v>90</v>
      </c>
      <c r="F41" s="2">
        <v>3070.413</v>
      </c>
      <c r="G41" s="2">
        <v>47.539700000000003</v>
      </c>
      <c r="H41" s="2">
        <v>1459.665</v>
      </c>
      <c r="I41" s="3">
        <v>5.69</v>
      </c>
      <c r="J41" s="3">
        <v>0</v>
      </c>
      <c r="K41" s="2">
        <v>4.2179260000000003</v>
      </c>
      <c r="L41" s="2">
        <v>4.3936729999999997</v>
      </c>
      <c r="M41" s="2">
        <v>4.7451670000000004</v>
      </c>
      <c r="N41" s="2">
        <v>5.0441229999999999</v>
      </c>
      <c r="O41" s="2">
        <v>19.070350000000001</v>
      </c>
      <c r="P41" s="2">
        <v>18.966670000000001</v>
      </c>
      <c r="Q41" s="2">
        <v>17.21237</v>
      </c>
      <c r="R41" s="2">
        <v>16.25714</v>
      </c>
      <c r="S41" s="2">
        <v>30.312380000000001</v>
      </c>
      <c r="T41" s="2">
        <v>26.879909999999999</v>
      </c>
      <c r="U41" s="2">
        <v>24.366810000000001</v>
      </c>
      <c r="V41" s="2">
        <v>22.777370000000001</v>
      </c>
      <c r="W41" s="2">
        <v>0.4986854</v>
      </c>
      <c r="X41" s="2">
        <v>0.64732650000000003</v>
      </c>
      <c r="Y41" s="2">
        <v>0.65177549999999995</v>
      </c>
      <c r="Z41" s="2">
        <v>0.60371350000000001</v>
      </c>
      <c r="AA41" s="2">
        <v>27.17822</v>
      </c>
      <c r="AB41" s="2">
        <v>17.78125</v>
      </c>
      <c r="AC41" s="2">
        <v>17.242419999999999</v>
      </c>
      <c r="AD41" s="2">
        <v>13.54762</v>
      </c>
      <c r="AE41" s="2">
        <v>3.574738</v>
      </c>
      <c r="AF41" s="2">
        <v>2.9842520000000001</v>
      </c>
      <c r="AG41" s="2">
        <v>3.2236940000000001</v>
      </c>
      <c r="AH41" s="2">
        <v>9.4041530000000009</v>
      </c>
      <c r="AI41" s="2">
        <v>7.8390849999999999</v>
      </c>
      <c r="AJ41" s="2">
        <v>8.4418070000000007</v>
      </c>
      <c r="AK41" s="3">
        <v>2.8245770000000001</v>
      </c>
      <c r="AL41" s="3">
        <v>2.5449250000000001</v>
      </c>
      <c r="AM41" s="2">
        <v>79.436610000000002</v>
      </c>
      <c r="AN41" s="2">
        <v>78.33681</v>
      </c>
      <c r="AO41" s="2">
        <v>80.267799999999994</v>
      </c>
      <c r="AP41" s="2">
        <v>80.410020000000003</v>
      </c>
      <c r="AQ41" s="2">
        <v>18.812059999999999</v>
      </c>
      <c r="AR41" s="2">
        <v>16.662230000000001</v>
      </c>
      <c r="AS41" s="2">
        <v>15.090630000000001</v>
      </c>
      <c r="AT41" s="2">
        <v>14.079319999999999</v>
      </c>
      <c r="AU41" s="1" t="s">
        <v>5</v>
      </c>
      <c r="AV41" s="3">
        <v>1.5789470000000001</v>
      </c>
      <c r="AW41" s="3">
        <v>6.875</v>
      </c>
      <c r="AX41" s="2">
        <v>20.82601</v>
      </c>
      <c r="AY41" s="2">
        <v>3.4129689999999999</v>
      </c>
      <c r="AZ41" s="2">
        <v>6.5891390000000003</v>
      </c>
      <c r="BA41" s="2">
        <v>-12.326650000000001</v>
      </c>
      <c r="BB41" s="2">
        <v>-5.3244590000000001</v>
      </c>
      <c r="BC41" s="3">
        <v>4.5019999999999998</v>
      </c>
      <c r="BD41" s="2">
        <v>26.388280000000002</v>
      </c>
      <c r="BE41" s="3">
        <v>7.01</v>
      </c>
      <c r="BF41" s="2">
        <v>-18.830249999999999</v>
      </c>
      <c r="BG41" s="2">
        <v>83.793779999999998</v>
      </c>
      <c r="BH41" s="2">
        <v>83.642589999999998</v>
      </c>
      <c r="BI41" s="2">
        <v>80.495739999999998</v>
      </c>
      <c r="BJ41" s="2">
        <v>77.17004</v>
      </c>
      <c r="BK41" s="2">
        <v>17</v>
      </c>
      <c r="BL41" s="2">
        <v>11</v>
      </c>
      <c r="BM41" s="4">
        <v>19</v>
      </c>
      <c r="BN41" s="4">
        <v>0</v>
      </c>
      <c r="BO41" s="4">
        <v>1</v>
      </c>
      <c r="BP41" s="4">
        <v>17</v>
      </c>
      <c r="BQ41" s="2">
        <v>0</v>
      </c>
      <c r="BR41" s="4">
        <v>10</v>
      </c>
      <c r="BS41" s="4">
        <v>2</v>
      </c>
      <c r="BT41" s="4">
        <v>19</v>
      </c>
      <c r="BU41" s="2">
        <v>52.63158</v>
      </c>
      <c r="BV41" s="2">
        <v>9.1845199999999991</v>
      </c>
      <c r="BW41" s="2">
        <v>539.61559999999997</v>
      </c>
      <c r="BX41" s="3">
        <v>1.1541600000000001</v>
      </c>
      <c r="BY41" s="3">
        <v>0.21388550000000001</v>
      </c>
      <c r="BZ41" s="2">
        <v>1.2989200000000001</v>
      </c>
      <c r="CA41" s="3">
        <v>0.21388550000000001</v>
      </c>
      <c r="CB41" s="3">
        <v>0.33062390000000003</v>
      </c>
      <c r="CC41" s="3">
        <v>0.30572440000000001</v>
      </c>
      <c r="CD41" s="2">
        <v>-7.5310589999999999</v>
      </c>
      <c r="CE41" s="3">
        <v>311.33249999999998</v>
      </c>
      <c r="CF41" s="3">
        <v>290.02370000000002</v>
      </c>
      <c r="CG41" s="2">
        <v>-6.8443959999999997</v>
      </c>
      <c r="CH41" s="3">
        <v>7.296875</v>
      </c>
      <c r="CI41" s="2">
        <v>-5.7815849999999998</v>
      </c>
      <c r="CJ41" s="3">
        <v>388.55189999999999</v>
      </c>
      <c r="CK41" s="3">
        <v>377.96359999999999</v>
      </c>
      <c r="CL41" s="2">
        <v>-2.7250649999999998</v>
      </c>
      <c r="CM41" s="3">
        <v>5.8580329999999998</v>
      </c>
      <c r="CN41" s="3">
        <v>5.6588229999999999</v>
      </c>
      <c r="CO41" s="3">
        <v>5.5882699999999996</v>
      </c>
      <c r="CP41" s="2">
        <v>-2.868414</v>
      </c>
      <c r="CQ41" s="2">
        <v>0.55093769999999997</v>
      </c>
      <c r="CR41" s="2">
        <v>1.8204210000000001</v>
      </c>
      <c r="CS41" s="2">
        <v>-3.4006180000000001</v>
      </c>
      <c r="CT41" s="2">
        <v>6.1808389999999997</v>
      </c>
      <c r="CU41" s="3">
        <v>0.20130319999999999</v>
      </c>
      <c r="CV41" s="2" t="e">
        <v>#N/A</v>
      </c>
      <c r="CW41" s="2" t="e">
        <v>#N/A</v>
      </c>
      <c r="CX41" s="2" t="e">
        <v>#N/A</v>
      </c>
      <c r="CY41" s="2">
        <v>25.090910000000001</v>
      </c>
    </row>
  </sheetData>
  <pageMargins left="0.25" right="0.25" top="0.7" bottom="0.7" header="0.3" footer="0.3"/>
  <pageSetup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link</cp:lastModifiedBy>
  <dcterms:created xsi:type="dcterms:W3CDTF">2023-06-15T05:01:41Z</dcterms:created>
  <dcterms:modified xsi:type="dcterms:W3CDTF">2023-06-15T05:01:41Z</dcterms:modified>
  <cp:category/>
</cp:coreProperties>
</file>