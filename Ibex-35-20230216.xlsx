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8F3A6505-6CFE-4BEE-B10D-79CC5CD492C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</calcChain>
</file>

<file path=xl/sharedStrings.xml><?xml version="1.0" encoding="utf-8"?>
<sst xmlns="http://schemas.openxmlformats.org/spreadsheetml/2006/main" count="380" uniqueCount="311">
  <si>
    <t>FactSet Universal Screen</t>
  </si>
  <si>
    <t>SAB-ES</t>
  </si>
  <si>
    <t>Banco de Sabadell SA</t>
  </si>
  <si>
    <t>Finance</t>
  </si>
  <si>
    <t>Major Banks</t>
  </si>
  <si>
    <t>Buy (1.00)</t>
  </si>
  <si>
    <t>REP-ES</t>
  </si>
  <si>
    <t>Repsol SA</t>
  </si>
  <si>
    <t>Energy Minerals</t>
  </si>
  <si>
    <t>Integrated Oil</t>
  </si>
  <si>
    <t>BBVA-ES</t>
  </si>
  <si>
    <t>Banco Bilbao Vizcaya Argentaria, S.A.</t>
  </si>
  <si>
    <t>Overweight (1.50)</t>
  </si>
  <si>
    <t>CABK-ES</t>
  </si>
  <si>
    <t>CaixaBank SA</t>
  </si>
  <si>
    <t>Regional Banks</t>
  </si>
  <si>
    <t>IAG-ES</t>
  </si>
  <si>
    <t>International Consolidated Airlines Group SA</t>
  </si>
  <si>
    <t>Transportation</t>
  </si>
  <si>
    <t>Airlines</t>
  </si>
  <si>
    <t>SCYR-ES</t>
  </si>
  <si>
    <t>Sacyr SA</t>
  </si>
  <si>
    <t>Industrial Services</t>
  </si>
  <si>
    <t>Engineering &amp; Construction</t>
  </si>
  <si>
    <t>LOG-ES</t>
  </si>
  <si>
    <t>Compania de Distribucion Integral Logista Holdings S.A.</t>
  </si>
  <si>
    <t>Air Freight/Couriers</t>
  </si>
  <si>
    <t>SAN-ES</t>
  </si>
  <si>
    <t>Banco Santander, S.A.</t>
  </si>
  <si>
    <t>BKT-ES</t>
  </si>
  <si>
    <t>Bankinter SA</t>
  </si>
  <si>
    <t>Hold (2.00)</t>
  </si>
  <si>
    <t>ITX-ES</t>
  </si>
  <si>
    <t>Industria de Diseno Textil, S.A.</t>
  </si>
  <si>
    <t>Consumer Non-Durables</t>
  </si>
  <si>
    <t>Apparel/Footwear</t>
  </si>
  <si>
    <t>ELE-ES</t>
  </si>
  <si>
    <t>Endesa S.A.</t>
  </si>
  <si>
    <t>Utilities</t>
  </si>
  <si>
    <t>Electric Utilities</t>
  </si>
  <si>
    <t>Overweight (1.25)</t>
  </si>
  <si>
    <t>CLNX-ES</t>
  </si>
  <si>
    <t>Cellnex Telecom S.A.</t>
  </si>
  <si>
    <t>Communications</t>
  </si>
  <si>
    <t>Specialty Telecommunications</t>
  </si>
  <si>
    <t>UNI-ES</t>
  </si>
  <si>
    <t>Unicaja Banco S.A.</t>
  </si>
  <si>
    <t>GRF-ES</t>
  </si>
  <si>
    <t>Grifols, S.A. Class A</t>
  </si>
  <si>
    <t>Health Technology</t>
  </si>
  <si>
    <t>Pharmaceuticals: Major</t>
  </si>
  <si>
    <t>IDR-ES</t>
  </si>
  <si>
    <t>Indra Sistemas, S.A. Class A</t>
  </si>
  <si>
    <t>Technology Services</t>
  </si>
  <si>
    <t>Information Technology Services</t>
  </si>
  <si>
    <t>AENA-ES</t>
  </si>
  <si>
    <t>Aena SME SA</t>
  </si>
  <si>
    <t>Other Transportation</t>
  </si>
  <si>
    <t>ROVI-ES</t>
  </si>
  <si>
    <t>Laboratorios Farmaceuticos Rovi, S.A.</t>
  </si>
  <si>
    <t>FER-ES</t>
  </si>
  <si>
    <t>Ferrovial, S.A.</t>
  </si>
  <si>
    <t>TEF-ES</t>
  </si>
  <si>
    <t>Telefonica SA</t>
  </si>
  <si>
    <t>Hold (1.75)</t>
  </si>
  <si>
    <t>MTS-ES</t>
  </si>
  <si>
    <t>ArcelorMittal SA</t>
  </si>
  <si>
    <t>Non-Energy Minerals</t>
  </si>
  <si>
    <t>Steel</t>
  </si>
  <si>
    <t>AMS-ES</t>
  </si>
  <si>
    <t>Amadeus IT Group SA Class A</t>
  </si>
  <si>
    <t>ACX-ES</t>
  </si>
  <si>
    <t>Acerinox SA</t>
  </si>
  <si>
    <t>MEL-ES</t>
  </si>
  <si>
    <t>Melia Hotels International, S.A.</t>
  </si>
  <si>
    <t>Consumer Services</t>
  </si>
  <si>
    <t>Hotels/Resorts/Cruiselines</t>
  </si>
  <si>
    <t>NTGY-ES</t>
  </si>
  <si>
    <t>Naturgy Energy Group, S.A.</t>
  </si>
  <si>
    <t>Sell (3.00)</t>
  </si>
  <si>
    <t>IBE-ES</t>
  </si>
  <si>
    <t>Iberdrola SA</t>
  </si>
  <si>
    <t>FDR-ES</t>
  </si>
  <si>
    <t>Fluidra, S.A.</t>
  </si>
  <si>
    <t>Consumer Durables</t>
  </si>
  <si>
    <t>Recreational Products</t>
  </si>
  <si>
    <t>ACS-ES</t>
  </si>
  <si>
    <t>ACS Actividades de Construccion y Servicios SA</t>
  </si>
  <si>
    <t>SLR-ES</t>
  </si>
  <si>
    <t>Solaria Energia y Medio Ambiente, S.A.</t>
  </si>
  <si>
    <t>Alternative Power Generation</t>
  </si>
  <si>
    <t>COL-ES</t>
  </si>
  <si>
    <t>Inmobiliaria Colonial SOCIMI SA</t>
  </si>
  <si>
    <t>Real Estate Investment Trusts</t>
  </si>
  <si>
    <t>ANA-ES</t>
  </si>
  <si>
    <t>Acciona SA</t>
  </si>
  <si>
    <t>ENG-ES</t>
  </si>
  <si>
    <t>Enagas SA</t>
  </si>
  <si>
    <t>Gas Distributors</t>
  </si>
  <si>
    <t>MRL-ES</t>
  </si>
  <si>
    <t>MERLIN Properties SOCIMI, S.A.</t>
  </si>
  <si>
    <t>RED-ES</t>
  </si>
  <si>
    <t>Red Electrica Corp. SA</t>
  </si>
  <si>
    <t>ANE-ES</t>
  </si>
  <si>
    <t>Corporacion Acciona Energias Renovables SA</t>
  </si>
  <si>
    <t>MAP-ES</t>
  </si>
  <si>
    <t>Mapfre SA</t>
  </si>
  <si>
    <t>Multi-Line Insurance</t>
  </si>
  <si>
    <t>Company Symbol</t>
  </si>
  <si>
    <t>Company Name</t>
  </si>
  <si>
    <t>FE Ticker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</si>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</sst>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03FD9-835C-46A3-807C-27D45AF034F6}">
  <sheetPr>
    <outlinePr summaryBelow="0" summaryRight="0"/>
    <pageSetUpPr fitToPage="1"/>
  </sheetPr>
  <dimension ref="A1:CY41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2.140625" customWidth="1"/>
    <col min="2" max="2" width="36" customWidth="1"/>
    <col min="3" max="3" width="14.28515625" customWidth="1"/>
    <col min="4" max="4" width="28" customWidth="1"/>
    <col min="5" max="5" width="23" customWidth="1"/>
    <col min="6" max="7" width="10" customWidth="1"/>
    <col min="8" max="8" width="12" customWidth="1"/>
    <col min="9" max="42" width="10" customWidth="1"/>
    <col min="43" max="44" width="6" customWidth="1"/>
    <col min="45" max="51" width="10" customWidth="1"/>
    <col min="52" max="52" width="12" customWidth="1"/>
    <col min="53" max="53" width="11" customWidth="1"/>
    <col min="54" max="54" width="8" customWidth="1"/>
    <col min="55" max="68" width="10" customWidth="1"/>
    <col min="69" max="69" width="14" customWidth="1"/>
    <col min="70" max="78" width="10" customWidth="1"/>
    <col min="79" max="79" width="12" customWidth="1"/>
    <col min="80" max="98" width="10" customWidth="1"/>
    <col min="99" max="99" width="12" customWidth="1"/>
    <col min="100" max="102" width="10" customWidth="1"/>
    <col min="103" max="103" width="14.28515625" customWidth="1"/>
  </cols>
  <sheetData>
    <row r="1" spans="1:103" ht="15" customHeight="1" x14ac:dyDescent="0.2">
      <c r="A1" t="s">
        <v>0</v>
      </c>
    </row>
    <row r="4" spans="1:103" ht="43.5" customHeight="1" x14ac:dyDescent="0.2">
      <c r="A4" s="5" t="s">
        <v>108</v>
      </c>
      <c r="B4" s="5" t="s">
        <v>109</v>
      </c>
      <c r="C4" s="5" t="s">
        <v>110</v>
      </c>
      <c r="D4" s="5" t="s">
        <v>111</v>
      </c>
      <c r="E4" s="5" t="s">
        <v>112</v>
      </c>
      <c r="F4" s="6" t="s">
        <v>113</v>
      </c>
      <c r="G4" s="6" t="s">
        <v>114</v>
      </c>
      <c r="H4" s="6" t="s">
        <v>115</v>
      </c>
      <c r="I4" s="6" t="s">
        <v>116</v>
      </c>
      <c r="J4" s="6" t="s">
        <v>117</v>
      </c>
      <c r="K4" s="6" t="s">
        <v>118</v>
      </c>
      <c r="L4" s="6" t="s">
        <v>119</v>
      </c>
      <c r="M4" s="6" t="s">
        <v>120</v>
      </c>
      <c r="N4" s="6" t="s">
        <v>121</v>
      </c>
      <c r="O4" s="6" t="s">
        <v>122</v>
      </c>
      <c r="P4" s="6" t="s">
        <v>123</v>
      </c>
      <c r="Q4" s="6" t="s">
        <v>124</v>
      </c>
      <c r="R4" s="6" t="s">
        <v>125</v>
      </c>
      <c r="S4" s="6" t="s">
        <v>126</v>
      </c>
      <c r="T4" s="6" t="s">
        <v>127</v>
      </c>
      <c r="U4" s="6" t="s">
        <v>128</v>
      </c>
      <c r="V4" s="6" t="s">
        <v>129</v>
      </c>
      <c r="W4" s="6" t="s">
        <v>130</v>
      </c>
      <c r="X4" s="6" t="s">
        <v>131</v>
      </c>
      <c r="Y4" s="6" t="s">
        <v>132</v>
      </c>
      <c r="Z4" s="6" t="s">
        <v>133</v>
      </c>
      <c r="AA4" s="6" t="s">
        <v>134</v>
      </c>
      <c r="AB4" s="6" t="s">
        <v>135</v>
      </c>
      <c r="AC4" s="6" t="s">
        <v>136</v>
      </c>
      <c r="AD4" s="6" t="s">
        <v>137</v>
      </c>
      <c r="AE4" s="6" t="s">
        <v>138</v>
      </c>
      <c r="AF4" s="6" t="s">
        <v>139</v>
      </c>
      <c r="AG4" s="6" t="s">
        <v>140</v>
      </c>
      <c r="AH4" s="6" t="s">
        <v>141</v>
      </c>
      <c r="AI4" s="6" t="s">
        <v>142</v>
      </c>
      <c r="AJ4" s="6" t="s">
        <v>143</v>
      </c>
      <c r="AK4" s="6" t="s">
        <v>144</v>
      </c>
      <c r="AL4" s="6" t="s">
        <v>145</v>
      </c>
      <c r="AM4" s="6" t="s">
        <v>146</v>
      </c>
      <c r="AN4" s="6" t="s">
        <v>147</v>
      </c>
      <c r="AO4" s="6" t="s">
        <v>148</v>
      </c>
      <c r="AP4" s="6" t="s">
        <v>149</v>
      </c>
      <c r="AQ4" s="6" t="s">
        <v>150</v>
      </c>
      <c r="AR4" s="6" t="s">
        <v>151</v>
      </c>
      <c r="AS4" s="6" t="s">
        <v>152</v>
      </c>
      <c r="AT4" s="6" t="s">
        <v>153</v>
      </c>
      <c r="AU4" s="5" t="s">
        <v>154</v>
      </c>
      <c r="AV4" s="6" t="s">
        <v>155</v>
      </c>
      <c r="AW4" s="6" t="s">
        <v>156</v>
      </c>
      <c r="AX4" s="6" t="s">
        <v>157</v>
      </c>
      <c r="AY4" s="6" t="s">
        <v>158</v>
      </c>
      <c r="AZ4" s="6" t="s">
        <v>159</v>
      </c>
      <c r="BA4" s="6" t="s">
        <v>160</v>
      </c>
      <c r="BB4" s="6" t="s">
        <v>161</v>
      </c>
      <c r="BC4" s="6" t="s">
        <v>162</v>
      </c>
      <c r="BD4" s="6" t="s">
        <v>163</v>
      </c>
      <c r="BE4" s="6" t="s">
        <v>164</v>
      </c>
      <c r="BF4" s="6" t="s">
        <v>165</v>
      </c>
      <c r="BG4" s="6" t="s">
        <v>166</v>
      </c>
      <c r="BH4" s="6" t="s">
        <v>167</v>
      </c>
      <c r="BI4" s="6" t="s">
        <v>168</v>
      </c>
      <c r="BJ4" s="6" t="s">
        <v>169</v>
      </c>
      <c r="BK4" s="6" t="s">
        <v>170</v>
      </c>
      <c r="BL4" s="6" t="s">
        <v>171</v>
      </c>
      <c r="BM4" s="6" t="s">
        <v>172</v>
      </c>
      <c r="BN4" s="6" t="s">
        <v>173</v>
      </c>
      <c r="BO4" s="6" t="s">
        <v>174</v>
      </c>
      <c r="BP4" s="6" t="s">
        <v>175</v>
      </c>
      <c r="BQ4" s="6" t="s">
        <v>176</v>
      </c>
      <c r="BR4" s="6" t="s">
        <v>177</v>
      </c>
      <c r="BS4" s="6" t="s">
        <v>178</v>
      </c>
      <c r="BT4" s="6" t="s">
        <v>172</v>
      </c>
      <c r="BU4" s="6" t="s">
        <v>179</v>
      </c>
      <c r="BV4" s="6" t="s">
        <v>180</v>
      </c>
      <c r="BW4" s="6" t="s">
        <v>181</v>
      </c>
      <c r="BX4" s="6" t="s">
        <v>182</v>
      </c>
      <c r="BY4" s="6" t="s">
        <v>183</v>
      </c>
      <c r="BZ4" s="6" t="s">
        <v>184</v>
      </c>
      <c r="CA4" s="6" t="s">
        <v>185</v>
      </c>
      <c r="CB4" s="6" t="s">
        <v>186</v>
      </c>
      <c r="CC4" s="6" t="s">
        <v>187</v>
      </c>
      <c r="CD4" s="6" t="s">
        <v>188</v>
      </c>
      <c r="CE4" s="6" t="s">
        <v>189</v>
      </c>
      <c r="CF4" s="6" t="s">
        <v>190</v>
      </c>
      <c r="CG4" s="6" t="s">
        <v>191</v>
      </c>
      <c r="CH4" s="6" t="s">
        <v>192</v>
      </c>
      <c r="CI4" s="6" t="s">
        <v>193</v>
      </c>
      <c r="CJ4" s="6" t="s">
        <v>194</v>
      </c>
      <c r="CK4" s="6" t="s">
        <v>195</v>
      </c>
      <c r="CL4" s="6" t="s">
        <v>196</v>
      </c>
      <c r="CM4" s="6" t="s">
        <v>197</v>
      </c>
      <c r="CN4" s="6" t="s">
        <v>198</v>
      </c>
      <c r="CO4" s="6" t="s">
        <v>199</v>
      </c>
      <c r="CP4" s="6" t="s">
        <v>200</v>
      </c>
      <c r="CQ4" s="6" t="s">
        <v>201</v>
      </c>
      <c r="CR4" s="6" t="s">
        <v>202</v>
      </c>
      <c r="CS4" s="6" t="s">
        <v>203</v>
      </c>
      <c r="CT4" s="6" t="s">
        <v>204</v>
      </c>
      <c r="CU4" s="6" t="s">
        <v>205</v>
      </c>
      <c r="CV4" s="6" t="s">
        <v>206</v>
      </c>
      <c r="CW4" s="6" t="s">
        <v>207</v>
      </c>
      <c r="CX4" s="6" t="s">
        <v>208</v>
      </c>
      <c r="CY4" s="6" t="s">
        <v>209</v>
      </c>
    </row>
    <row r="5" spans="1:103" ht="12.75" x14ac:dyDescent="0.2">
      <c r="A5" s="5"/>
      <c r="B5" s="5"/>
      <c r="C5" s="5" t="s">
        <v>210</v>
      </c>
      <c r="D5" s="5" t="s">
        <v>211</v>
      </c>
      <c r="E5" s="5" t="s">
        <v>212</v>
      </c>
      <c r="F5" s="6" t="s">
        <v>213</v>
      </c>
      <c r="G5" s="6" t="s">
        <v>214</v>
      </c>
      <c r="H5" s="6" t="s">
        <v>215</v>
      </c>
      <c r="I5" s="6" t="s">
        <v>216</v>
      </c>
      <c r="J5" s="6" t="s">
        <v>217</v>
      </c>
      <c r="K5" s="6" t="s">
        <v>218</v>
      </c>
      <c r="L5" s="6" t="s">
        <v>219</v>
      </c>
      <c r="M5" s="6" t="s">
        <v>220</v>
      </c>
      <c r="N5" s="6" t="s">
        <v>221</v>
      </c>
      <c r="O5" s="6" t="s">
        <v>222</v>
      </c>
      <c r="P5" s="6" t="s">
        <v>223</v>
      </c>
      <c r="Q5" s="6" t="s">
        <v>224</v>
      </c>
      <c r="R5" s="6" t="s">
        <v>225</v>
      </c>
      <c r="S5" s="6" t="s">
        <v>226</v>
      </c>
      <c r="T5" s="6" t="s">
        <v>227</v>
      </c>
      <c r="U5" s="6" t="s">
        <v>228</v>
      </c>
      <c r="V5" s="6" t="s">
        <v>229</v>
      </c>
      <c r="W5" s="6" t="s">
        <v>230</v>
      </c>
      <c r="X5" s="6" t="s">
        <v>231</v>
      </c>
      <c r="Y5" s="6" t="s">
        <v>232</v>
      </c>
      <c r="Z5" s="6" t="s">
        <v>233</v>
      </c>
      <c r="AA5" s="6" t="s">
        <v>234</v>
      </c>
      <c r="AB5" s="6" t="s">
        <v>235</v>
      </c>
      <c r="AC5" s="6" t="s">
        <v>236</v>
      </c>
      <c r="AD5" s="6" t="s">
        <v>237</v>
      </c>
      <c r="AE5" s="6" t="s">
        <v>238</v>
      </c>
      <c r="AF5" s="6" t="s">
        <v>239</v>
      </c>
      <c r="AG5" s="6" t="s">
        <v>240</v>
      </c>
      <c r="AH5" s="6" t="s">
        <v>241</v>
      </c>
      <c r="AI5" s="6" t="s">
        <v>242</v>
      </c>
      <c r="AJ5" s="6" t="s">
        <v>243</v>
      </c>
      <c r="AK5" s="6" t="s">
        <v>244</v>
      </c>
      <c r="AL5" s="6" t="s">
        <v>245</v>
      </c>
      <c r="AM5" s="6" t="s">
        <v>246</v>
      </c>
      <c r="AN5" s="6" t="s">
        <v>247</v>
      </c>
      <c r="AO5" s="6" t="s">
        <v>248</v>
      </c>
      <c r="AP5" s="6" t="s">
        <v>249</v>
      </c>
      <c r="AQ5" s="6" t="s">
        <v>250</v>
      </c>
      <c r="AR5" s="6" t="s">
        <v>251</v>
      </c>
      <c r="AS5" s="6" t="s">
        <v>252</v>
      </c>
      <c r="AT5" s="6" t="s">
        <v>253</v>
      </c>
      <c r="AU5" s="5" t="s">
        <v>254</v>
      </c>
      <c r="AV5" s="6" t="s">
        <v>255</v>
      </c>
      <c r="AW5" s="6" t="s">
        <v>256</v>
      </c>
      <c r="AX5" s="6" t="s">
        <v>257</v>
      </c>
      <c r="AY5" s="6" t="s">
        <v>258</v>
      </c>
      <c r="AZ5" s="6" t="s">
        <v>259</v>
      </c>
      <c r="BA5" s="6" t="s">
        <v>260</v>
      </c>
      <c r="BB5" s="6" t="s">
        <v>261</v>
      </c>
      <c r="BC5" s="6" t="s">
        <v>262</v>
      </c>
      <c r="BD5" s="6" t="s">
        <v>263</v>
      </c>
      <c r="BE5" s="6" t="s">
        <v>264</v>
      </c>
      <c r="BF5" s="6" t="s">
        <v>265</v>
      </c>
      <c r="BG5" s="6" t="s">
        <v>266</v>
      </c>
      <c r="BH5" s="6" t="s">
        <v>267</v>
      </c>
      <c r="BI5" s="6" t="s">
        <v>268</v>
      </c>
      <c r="BJ5" s="6" t="s">
        <v>269</v>
      </c>
      <c r="BK5" s="6" t="s">
        <v>270</v>
      </c>
      <c r="BL5" s="6" t="s">
        <v>271</v>
      </c>
      <c r="BM5" s="6" t="s">
        <v>272</v>
      </c>
      <c r="BN5" s="6" t="s">
        <v>273</v>
      </c>
      <c r="BO5" s="6" t="s">
        <v>274</v>
      </c>
      <c r="BP5" s="6" t="s">
        <v>275</v>
      </c>
      <c r="BQ5" s="6" t="s">
        <v>276</v>
      </c>
      <c r="BR5" s="6" t="s">
        <v>277</v>
      </c>
      <c r="BS5" s="6" t="s">
        <v>278</v>
      </c>
      <c r="BT5" s="6" t="s">
        <v>279</v>
      </c>
      <c r="BU5" s="6" t="s">
        <v>280</v>
      </c>
      <c r="BV5" s="6" t="s">
        <v>281</v>
      </c>
      <c r="BW5" s="6" t="s">
        <v>282</v>
      </c>
      <c r="BX5" s="6" t="s">
        <v>283</v>
      </c>
      <c r="BY5" s="6" t="s">
        <v>284</v>
      </c>
      <c r="BZ5" s="6" t="s">
        <v>285</v>
      </c>
      <c r="CA5" s="6" t="s">
        <v>286</v>
      </c>
      <c r="CB5" s="6" t="s">
        <v>287</v>
      </c>
      <c r="CC5" s="6" t="s">
        <v>288</v>
      </c>
      <c r="CD5" s="6" t="s">
        <v>289</v>
      </c>
      <c r="CE5" s="6" t="s">
        <v>290</v>
      </c>
      <c r="CF5" s="6" t="s">
        <v>291</v>
      </c>
      <c r="CG5" s="6" t="s">
        <v>292</v>
      </c>
      <c r="CH5" s="6" t="s">
        <v>293</v>
      </c>
      <c r="CI5" s="6" t="s">
        <v>294</v>
      </c>
      <c r="CJ5" s="6" t="s">
        <v>295</v>
      </c>
      <c r="CK5" s="6" t="s">
        <v>296</v>
      </c>
      <c r="CL5" s="6" t="s">
        <v>297</v>
      </c>
      <c r="CM5" s="6" t="s">
        <v>298</v>
      </c>
      <c r="CN5" s="6" t="s">
        <v>299</v>
      </c>
      <c r="CO5" s="6" t="s">
        <v>300</v>
      </c>
      <c r="CP5" s="6" t="s">
        <v>301</v>
      </c>
      <c r="CQ5" s="6" t="s">
        <v>302</v>
      </c>
      <c r="CR5" s="6" t="s">
        <v>303</v>
      </c>
      <c r="CS5" s="6" t="s">
        <v>304</v>
      </c>
      <c r="CT5" s="6" t="s">
        <v>305</v>
      </c>
      <c r="CU5" s="6" t="s">
        <v>306</v>
      </c>
      <c r="CV5" s="6" t="s">
        <v>307</v>
      </c>
      <c r="CW5" s="6" t="s">
        <v>308</v>
      </c>
      <c r="CX5" s="6" t="s">
        <v>309</v>
      </c>
      <c r="CY5" s="6" t="s">
        <v>310</v>
      </c>
    </row>
    <row r="6" spans="1:103" ht="12.75" hidden="1" x14ac:dyDescent="0.2">
      <c r="A6" s="1"/>
      <c r="B6" s="1"/>
      <c r="C6" s="1"/>
      <c r="D6" s="1"/>
      <c r="E6" s="1"/>
      <c r="F6" s="2"/>
      <c r="G6" s="2"/>
      <c r="H6" s="2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3"/>
      <c r="AL6" s="3"/>
      <c r="AM6" s="2"/>
      <c r="AN6" s="2"/>
      <c r="AO6" s="2"/>
      <c r="AP6" s="2"/>
      <c r="AQ6" s="2"/>
      <c r="AR6" s="2"/>
      <c r="AS6" s="2"/>
      <c r="AT6" s="2"/>
      <c r="AU6" s="1"/>
      <c r="AV6" s="3"/>
      <c r="AW6" s="3"/>
      <c r="AX6" s="2"/>
      <c r="AY6" s="2"/>
      <c r="AZ6" s="2"/>
      <c r="BA6" s="2"/>
      <c r="BB6" s="2"/>
      <c r="BC6" s="3"/>
      <c r="BD6" s="2"/>
      <c r="BE6" s="3"/>
      <c r="BF6" s="2"/>
      <c r="BG6" s="2"/>
      <c r="BH6" s="2"/>
      <c r="BI6" s="2"/>
      <c r="BJ6" s="2"/>
      <c r="BK6" s="2"/>
      <c r="BL6" s="2"/>
      <c r="BM6" s="4"/>
      <c r="BN6" s="4"/>
      <c r="BO6" s="4"/>
      <c r="BP6" s="4"/>
      <c r="BQ6" s="2"/>
      <c r="BR6" s="4"/>
      <c r="BS6" s="4"/>
      <c r="BT6" s="4"/>
      <c r="BU6" s="2"/>
      <c r="BV6" s="2"/>
      <c r="BW6" s="2"/>
      <c r="BX6" s="3"/>
      <c r="BY6" s="3"/>
      <c r="BZ6" s="2"/>
      <c r="CA6" s="3"/>
      <c r="CB6" s="3"/>
      <c r="CC6" s="3"/>
      <c r="CD6" s="2"/>
      <c r="CE6" s="3"/>
      <c r="CF6" s="3"/>
      <c r="CG6" s="2"/>
      <c r="CH6" s="3"/>
      <c r="CI6" s="2"/>
      <c r="CJ6" s="3"/>
      <c r="CK6" s="3"/>
      <c r="CL6" s="2"/>
      <c r="CM6" s="3"/>
      <c r="CN6" s="3"/>
      <c r="CO6" s="3"/>
      <c r="CP6" s="2"/>
      <c r="CQ6" s="2"/>
      <c r="CR6" s="2"/>
      <c r="CS6" s="2"/>
      <c r="CT6" s="2"/>
      <c r="CU6" s="3"/>
      <c r="CV6" s="2"/>
      <c r="CW6" s="2"/>
      <c r="CX6" s="2"/>
      <c r="CY6" s="2"/>
    </row>
    <row r="7" spans="1:103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2">
        <v>6712.9679999999998</v>
      </c>
      <c r="G7" s="2">
        <v>99.0792</v>
      </c>
      <c r="H7" s="2">
        <v>6651.1549999999997</v>
      </c>
      <c r="I7" s="3">
        <v>1.1930000000000001</v>
      </c>
      <c r="J7" s="3">
        <v>0</v>
      </c>
      <c r="K7" s="2">
        <v>3.3528920000000002</v>
      </c>
      <c r="L7" s="2">
        <v>5.8675610000000002</v>
      </c>
      <c r="M7" s="2">
        <v>6.2866730000000004</v>
      </c>
      <c r="N7" s="2">
        <v>8.3822299999999998</v>
      </c>
      <c r="O7" s="2">
        <v>8.5214280000000002</v>
      </c>
      <c r="P7" s="2">
        <v>7.2161860000000004</v>
      </c>
      <c r="Q7" s="2">
        <v>7.4562499999999998</v>
      </c>
      <c r="R7" s="2">
        <v>6.2789469999999996</v>
      </c>
      <c r="S7" s="2" t="e">
        <v>#N/A</v>
      </c>
      <c r="T7" s="2" t="e">
        <v>#N/A</v>
      </c>
      <c r="U7" s="2" t="e">
        <v>#N/A</v>
      </c>
      <c r="V7" s="2" t="e">
        <v>#N/A</v>
      </c>
      <c r="W7" s="2">
        <v>0.50866630000000002</v>
      </c>
      <c r="X7" s="2">
        <v>0.48299589999999998</v>
      </c>
      <c r="Y7" s="2">
        <v>0.46240310000000001</v>
      </c>
      <c r="Z7" s="2">
        <v>0.45275140000000003</v>
      </c>
      <c r="AA7" s="2" t="e">
        <v>#N/A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3">
        <v>0.35687530000000001</v>
      </c>
      <c r="AL7" s="3">
        <v>0.3394798</v>
      </c>
      <c r="AM7" s="2" t="e">
        <v>#N/A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1" t="s">
        <v>5</v>
      </c>
      <c r="AV7" s="3">
        <v>1.454545</v>
      </c>
      <c r="AW7" s="3">
        <v>1.35</v>
      </c>
      <c r="AX7" s="2">
        <v>13.16011</v>
      </c>
      <c r="AY7" s="2">
        <v>6.6932309999999999</v>
      </c>
      <c r="AZ7" s="2">
        <v>21</v>
      </c>
      <c r="BA7" s="2">
        <v>30.354019999999998</v>
      </c>
      <c r="BB7" s="2">
        <v>35.445050000000002</v>
      </c>
      <c r="BC7" s="3">
        <v>0.56499999999999995</v>
      </c>
      <c r="BD7" s="2">
        <v>111.1504</v>
      </c>
      <c r="BE7" s="3">
        <v>1.2344999999999999</v>
      </c>
      <c r="BF7" s="2">
        <v>-3.3616899999999998</v>
      </c>
      <c r="BG7" s="2">
        <v>28.681539999999998</v>
      </c>
      <c r="BH7" s="2">
        <v>43.207830000000001</v>
      </c>
      <c r="BI7" s="2">
        <v>44.646439999999998</v>
      </c>
      <c r="BJ7" s="2">
        <v>49.49953</v>
      </c>
      <c r="BK7" s="2">
        <v>20</v>
      </c>
      <c r="BL7" s="2">
        <v>14</v>
      </c>
      <c r="BM7" s="4">
        <v>22</v>
      </c>
      <c r="BN7" s="4">
        <v>1</v>
      </c>
      <c r="BO7" s="4">
        <v>0</v>
      </c>
      <c r="BP7" s="4">
        <v>18</v>
      </c>
      <c r="BQ7" s="2">
        <v>5.2631579999999998</v>
      </c>
      <c r="BR7" s="4">
        <v>13</v>
      </c>
      <c r="BS7" s="4">
        <v>1</v>
      </c>
      <c r="BT7" s="4">
        <v>22</v>
      </c>
      <c r="BU7" s="2">
        <v>59.090910000000001</v>
      </c>
      <c r="BV7" s="2">
        <v>15.633699999999999</v>
      </c>
      <c r="BW7" s="2">
        <v>5626.9639999999999</v>
      </c>
      <c r="BX7" s="3">
        <v>38.997529999999998</v>
      </c>
      <c r="BY7" s="3">
        <v>0.69304730000000003</v>
      </c>
      <c r="BZ7" s="2">
        <v>1.40984</v>
      </c>
      <c r="CA7" s="3">
        <v>0.69304730000000003</v>
      </c>
      <c r="CB7" s="3">
        <v>0.1300173</v>
      </c>
      <c r="CC7" s="3">
        <v>0.15918589999999999</v>
      </c>
      <c r="CD7" s="2">
        <v>22.4344</v>
      </c>
      <c r="CE7" s="3">
        <v>2290.0189999999998</v>
      </c>
      <c r="CF7" s="3">
        <v>2568.2510000000002</v>
      </c>
      <c r="CG7" s="2">
        <v>12.149749999999999</v>
      </c>
      <c r="CH7" s="3">
        <v>1.094211</v>
      </c>
      <c r="CI7" s="2">
        <v>23.376629999999999</v>
      </c>
      <c r="CJ7" s="3">
        <v>5271.9790000000003</v>
      </c>
      <c r="CK7" s="3">
        <v>5577.2820000000002</v>
      </c>
      <c r="CL7" s="2">
        <v>5.7910560000000002</v>
      </c>
      <c r="CM7" s="3">
        <v>0.80839309999999998</v>
      </c>
      <c r="CN7" s="3">
        <v>0.99482930000000003</v>
      </c>
      <c r="CO7" s="3">
        <v>1.0861190000000001</v>
      </c>
      <c r="CP7" s="2">
        <v>47.576709999999999</v>
      </c>
      <c r="CQ7" s="2">
        <v>19.920059999999999</v>
      </c>
      <c r="CR7" s="2">
        <v>9.8405839999999998</v>
      </c>
      <c r="CS7" s="2">
        <v>23.062560000000001</v>
      </c>
      <c r="CT7" s="2">
        <v>29.600670000000001</v>
      </c>
      <c r="CU7" s="3">
        <v>0.44094749999999999</v>
      </c>
      <c r="CV7" s="2">
        <v>33.047550000000001</v>
      </c>
      <c r="CW7" s="2">
        <v>2.6396449999999998</v>
      </c>
      <c r="CX7" s="2">
        <v>-2.5765250000000002</v>
      </c>
      <c r="CY7" s="2">
        <v>9.0909089999999999</v>
      </c>
    </row>
    <row r="8" spans="1:103" ht="15" customHeight="1" x14ac:dyDescent="0.2">
      <c r="A8" s="1">
        <f>1+A7</f>
        <v>2</v>
      </c>
      <c r="B8" s="1" t="s">
        <v>7</v>
      </c>
      <c r="C8" s="1" t="s">
        <v>6</v>
      </c>
      <c r="D8" s="1" t="s">
        <v>8</v>
      </c>
      <c r="E8" s="1" t="s">
        <v>9</v>
      </c>
      <c r="F8" s="2">
        <v>20362.259999999998</v>
      </c>
      <c r="G8" s="2">
        <v>96.217600000000004</v>
      </c>
      <c r="H8" s="2">
        <v>19592.07</v>
      </c>
      <c r="I8" s="3">
        <v>15.34</v>
      </c>
      <c r="J8" s="3">
        <v>0</v>
      </c>
      <c r="K8" s="2">
        <v>4.0247719999999996</v>
      </c>
      <c r="L8" s="2">
        <v>4.3024769999999997</v>
      </c>
      <c r="M8" s="2">
        <v>4.5632330000000003</v>
      </c>
      <c r="N8" s="2">
        <v>4.8891790000000004</v>
      </c>
      <c r="O8" s="2">
        <v>9.5251819999999991</v>
      </c>
      <c r="P8" s="2">
        <v>3.454955</v>
      </c>
      <c r="Q8" s="2">
        <v>4.9324760000000003</v>
      </c>
      <c r="R8" s="2">
        <v>6.1606430000000003</v>
      </c>
      <c r="S8" s="2">
        <v>2.6562920000000001</v>
      </c>
      <c r="T8" s="2">
        <v>1.705797</v>
      </c>
      <c r="U8" s="2">
        <v>2.0011580000000002</v>
      </c>
      <c r="V8" s="2">
        <v>2.1613340000000001</v>
      </c>
      <c r="W8" s="2">
        <v>1.0453399999999999</v>
      </c>
      <c r="X8" s="2">
        <v>0.78156349999999997</v>
      </c>
      <c r="Y8" s="2">
        <v>0.6666455</v>
      </c>
      <c r="Z8" s="2">
        <v>0.61298699999999995</v>
      </c>
      <c r="AA8" s="2">
        <v>4.368385</v>
      </c>
      <c r="AB8" s="2">
        <v>2.2201439999999999</v>
      </c>
      <c r="AC8" s="2">
        <v>2.4906320000000002</v>
      </c>
      <c r="AD8" s="2">
        <v>2.8219940000000001</v>
      </c>
      <c r="AE8" s="2">
        <v>24.353899999999999</v>
      </c>
      <c r="AF8" s="2">
        <v>18.92933</v>
      </c>
      <c r="AG8" s="2">
        <v>13.04644</v>
      </c>
      <c r="AH8" s="2">
        <v>27.071280000000002</v>
      </c>
      <c r="AI8" s="2">
        <v>18.583310000000001</v>
      </c>
      <c r="AJ8" s="2">
        <v>12.42722</v>
      </c>
      <c r="AK8" s="3">
        <v>0.40941909999999998</v>
      </c>
      <c r="AL8" s="3">
        <v>0.5738046</v>
      </c>
      <c r="AM8" s="2">
        <v>15.672359999999999</v>
      </c>
      <c r="AN8" s="2">
        <v>17.38475</v>
      </c>
      <c r="AO8" s="2">
        <v>15.93688</v>
      </c>
      <c r="AP8" s="2">
        <v>16.00189</v>
      </c>
      <c r="AQ8" s="2">
        <v>0.70526310000000003</v>
      </c>
      <c r="AR8" s="2">
        <v>0.17053219999999999</v>
      </c>
      <c r="AS8" s="2">
        <v>-3.7260889999999998E-2</v>
      </c>
      <c r="AT8" s="2">
        <v>-0.1076935</v>
      </c>
      <c r="AU8" s="1" t="s">
        <v>5</v>
      </c>
      <c r="AV8" s="3">
        <v>1.303571</v>
      </c>
      <c r="AW8" s="3">
        <v>18.5</v>
      </c>
      <c r="AX8" s="2">
        <v>20.599740000000001</v>
      </c>
      <c r="AY8" s="2">
        <v>22.62152</v>
      </c>
      <c r="AZ8" s="2">
        <v>8.4670159999999992</v>
      </c>
      <c r="BA8" s="2">
        <v>31.945630000000001</v>
      </c>
      <c r="BB8" s="2">
        <v>3.2996650000000001</v>
      </c>
      <c r="BC8" s="3">
        <v>10.98</v>
      </c>
      <c r="BD8" s="2">
        <v>39.708559999999999</v>
      </c>
      <c r="BE8" s="3">
        <v>16.23</v>
      </c>
      <c r="BF8" s="2">
        <v>-5.4836689999999999</v>
      </c>
      <c r="BG8" s="2">
        <v>38.466459999999998</v>
      </c>
      <c r="BH8" s="2">
        <v>15.20905</v>
      </c>
      <c r="BI8" s="2">
        <v>22.880649999999999</v>
      </c>
      <c r="BJ8" s="2">
        <v>29.943960000000001</v>
      </c>
      <c r="BK8" s="2">
        <v>27</v>
      </c>
      <c r="BL8" s="2">
        <v>24</v>
      </c>
      <c r="BM8" s="4">
        <v>28</v>
      </c>
      <c r="BN8" s="4">
        <v>2</v>
      </c>
      <c r="BO8" s="4">
        <v>0</v>
      </c>
      <c r="BP8" s="4">
        <v>26</v>
      </c>
      <c r="BQ8" s="2">
        <v>7.1428580000000004</v>
      </c>
      <c r="BR8" s="4">
        <v>21</v>
      </c>
      <c r="BS8" s="4">
        <v>1</v>
      </c>
      <c r="BT8" s="4">
        <v>28</v>
      </c>
      <c r="BU8" s="2">
        <v>75</v>
      </c>
      <c r="BV8" s="2">
        <v>13.6219</v>
      </c>
      <c r="BW8" s="2">
        <v>1327.396</v>
      </c>
      <c r="BX8" s="3">
        <v>7.3116089999999998</v>
      </c>
      <c r="BY8" s="3">
        <v>0.55082350000000002</v>
      </c>
      <c r="BZ8" s="2">
        <v>1.44855</v>
      </c>
      <c r="CA8" s="3">
        <v>0.55082350000000002</v>
      </c>
      <c r="CB8" s="3">
        <v>4.1097219999999997</v>
      </c>
      <c r="CC8" s="3">
        <v>4.3571759999999999</v>
      </c>
      <c r="CD8" s="2">
        <v>6.0211899999999998</v>
      </c>
      <c r="CE8" s="3">
        <v>9675.6579999999994</v>
      </c>
      <c r="CF8" s="3">
        <v>10124.15</v>
      </c>
      <c r="CG8" s="2">
        <v>4.6352979999999997</v>
      </c>
      <c r="CH8" s="3">
        <v>17.70083</v>
      </c>
      <c r="CI8" s="2">
        <v>4.5148489999999999</v>
      </c>
      <c r="CJ8" s="3">
        <v>79583.570000000007</v>
      </c>
      <c r="CK8" s="3">
        <v>88436.29</v>
      </c>
      <c r="CL8" s="2">
        <v>11.123799999999999</v>
      </c>
      <c r="CM8" s="3">
        <v>13.73911</v>
      </c>
      <c r="CN8" s="3">
        <v>14.80519</v>
      </c>
      <c r="CO8" s="3">
        <v>14.99423</v>
      </c>
      <c r="CP8" s="2">
        <v>11.652100000000001</v>
      </c>
      <c r="CQ8" s="2">
        <v>3.6122800000000002</v>
      </c>
      <c r="CR8" s="2">
        <v>2.3060200000000002</v>
      </c>
      <c r="CS8" s="2">
        <v>7.7595229999999997</v>
      </c>
      <c r="CT8" s="2">
        <v>101.1305</v>
      </c>
      <c r="CU8" s="3">
        <v>0.49665670000000001</v>
      </c>
      <c r="CV8" s="2">
        <v>-5.3167090000000004</v>
      </c>
      <c r="CW8" s="2">
        <v>142.67439999999999</v>
      </c>
      <c r="CX8" s="2">
        <v>7.7564849999999996</v>
      </c>
      <c r="CY8" s="2">
        <v>11.19192</v>
      </c>
    </row>
    <row r="9" spans="1:103" ht="15" customHeight="1" x14ac:dyDescent="0.2">
      <c r="A9" s="1">
        <f t="shared" ref="A9:A41" si="0">1+A8</f>
        <v>3</v>
      </c>
      <c r="B9" s="1" t="s">
        <v>11</v>
      </c>
      <c r="C9" s="1" t="s">
        <v>10</v>
      </c>
      <c r="D9" s="1" t="s">
        <v>3</v>
      </c>
      <c r="E9" s="1" t="s">
        <v>4</v>
      </c>
      <c r="F9" s="2">
        <v>41499.26</v>
      </c>
      <c r="G9" s="2">
        <v>99.733500000000006</v>
      </c>
      <c r="H9" s="2">
        <v>41388.660000000003</v>
      </c>
      <c r="I9" s="3">
        <v>6.8819999999999997</v>
      </c>
      <c r="J9" s="3">
        <v>0</v>
      </c>
      <c r="K9" s="2">
        <v>6.2481840000000002</v>
      </c>
      <c r="L9" s="2">
        <v>7.2653299999999996</v>
      </c>
      <c r="M9" s="2">
        <v>7.2653299999999996</v>
      </c>
      <c r="N9" s="2">
        <v>7.5559430000000001</v>
      </c>
      <c r="O9" s="2">
        <v>6.5542860000000003</v>
      </c>
      <c r="P9" s="2">
        <v>6.5542860000000003</v>
      </c>
      <c r="Q9" s="2">
        <v>6.5542860000000003</v>
      </c>
      <c r="R9" s="2">
        <v>6.5232229999999998</v>
      </c>
      <c r="S9" s="2" t="e">
        <v>#N/A</v>
      </c>
      <c r="T9" s="2" t="e">
        <v>#N/A</v>
      </c>
      <c r="U9" s="2" t="e">
        <v>#N/A</v>
      </c>
      <c r="V9" s="2" t="e">
        <v>#N/A</v>
      </c>
      <c r="W9" s="2">
        <v>0.88344029999999996</v>
      </c>
      <c r="X9" s="2">
        <v>0.83875690000000003</v>
      </c>
      <c r="Y9" s="2">
        <v>0.79636450000000003</v>
      </c>
      <c r="Z9" s="2">
        <v>0.73251719999999998</v>
      </c>
      <c r="AA9" s="2" t="e">
        <v>#N/A</v>
      </c>
      <c r="AB9" s="2" t="e">
        <v>#N/A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3">
        <v>0.60233210000000004</v>
      </c>
      <c r="AL9" s="3">
        <v>0.60809869999999999</v>
      </c>
      <c r="AM9" s="2" t="e">
        <v>#N/A</v>
      </c>
      <c r="AN9" s="2" t="e">
        <v>#N/A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1" t="s">
        <v>12</v>
      </c>
      <c r="AV9" s="3">
        <v>1.537037</v>
      </c>
      <c r="AW9" s="3">
        <v>7.76</v>
      </c>
      <c r="AX9" s="2">
        <v>12.75792</v>
      </c>
      <c r="AY9" s="2">
        <v>12.79707</v>
      </c>
      <c r="AZ9" s="2">
        <v>11.561019999999999</v>
      </c>
      <c r="BA9" s="2">
        <v>17.16037</v>
      </c>
      <c r="BB9" s="2">
        <v>22.151230000000002</v>
      </c>
      <c r="BC9" s="3">
        <v>3.972</v>
      </c>
      <c r="BD9" s="2">
        <v>73.262829999999994</v>
      </c>
      <c r="BE9" s="3">
        <v>6.96</v>
      </c>
      <c r="BF9" s="2">
        <v>-1.120692</v>
      </c>
      <c r="BG9" s="2">
        <v>42.323160000000001</v>
      </c>
      <c r="BH9" s="2">
        <v>47.338200000000001</v>
      </c>
      <c r="BI9" s="2">
        <v>48.113079999999997</v>
      </c>
      <c r="BJ9" s="2">
        <v>49.201560000000001</v>
      </c>
      <c r="BK9" s="2">
        <v>25</v>
      </c>
      <c r="BL9" s="2">
        <v>17</v>
      </c>
      <c r="BM9" s="4">
        <v>27</v>
      </c>
      <c r="BN9" s="4">
        <v>1</v>
      </c>
      <c r="BO9" s="4">
        <v>0</v>
      </c>
      <c r="BP9" s="4">
        <v>26</v>
      </c>
      <c r="BQ9" s="2">
        <v>3.7037040000000001</v>
      </c>
      <c r="BR9" s="4">
        <v>14</v>
      </c>
      <c r="BS9" s="4">
        <v>1</v>
      </c>
      <c r="BT9" s="4">
        <v>27</v>
      </c>
      <c r="BU9" s="2">
        <v>51.851849999999999</v>
      </c>
      <c r="BV9" s="2">
        <v>14.276</v>
      </c>
      <c r="BW9" s="2">
        <v>6030.116</v>
      </c>
      <c r="BX9" s="3">
        <v>21.435449999999999</v>
      </c>
      <c r="BY9" s="3">
        <v>0.35547319999999999</v>
      </c>
      <c r="BZ9" s="2">
        <v>1.7591699999999999</v>
      </c>
      <c r="CA9" s="3">
        <v>0.35547319999999999</v>
      </c>
      <c r="CB9" s="3">
        <v>0.93879780000000002</v>
      </c>
      <c r="CC9" s="3">
        <v>1.0526930000000001</v>
      </c>
      <c r="CD9" s="2">
        <v>12.132070000000001</v>
      </c>
      <c r="CE9" s="3">
        <v>14583.37</v>
      </c>
      <c r="CF9" s="3">
        <v>15190.81</v>
      </c>
      <c r="CG9" s="2">
        <v>4.1653390000000003</v>
      </c>
      <c r="CH9" s="3">
        <v>6.7913040000000002</v>
      </c>
      <c r="CI9" s="2">
        <v>14.263769999999999</v>
      </c>
      <c r="CJ9" s="3">
        <v>25905.26</v>
      </c>
      <c r="CK9" s="3">
        <v>26916.97</v>
      </c>
      <c r="CL9" s="2">
        <v>3.9054389999999999</v>
      </c>
      <c r="CM9" s="3">
        <v>5.1219419999999998</v>
      </c>
      <c r="CN9" s="3">
        <v>6.1485479999999999</v>
      </c>
      <c r="CO9" s="3">
        <v>6.5667309999999999</v>
      </c>
      <c r="CP9" s="2">
        <v>34.363109999999999</v>
      </c>
      <c r="CQ9" s="2">
        <v>11.92887</v>
      </c>
      <c r="CR9" s="2">
        <v>4.800999</v>
      </c>
      <c r="CS9" s="2">
        <v>20.043310000000002</v>
      </c>
      <c r="CT9" s="2">
        <v>85.252809999999997</v>
      </c>
      <c r="CU9" s="3">
        <v>0.20543210000000001</v>
      </c>
      <c r="CV9" s="2">
        <v>4.8323299999999998</v>
      </c>
      <c r="CW9" s="2">
        <v>-0.28612910000000003</v>
      </c>
      <c r="CX9" s="2">
        <v>-1.0890390000000001</v>
      </c>
      <c r="CY9" s="2">
        <v>11.74747</v>
      </c>
    </row>
    <row r="10" spans="1:103" ht="15" customHeight="1" x14ac:dyDescent="0.2">
      <c r="A10" s="1">
        <f t="shared" si="0"/>
        <v>4</v>
      </c>
      <c r="B10" s="1" t="s">
        <v>14</v>
      </c>
      <c r="C10" s="1" t="s">
        <v>13</v>
      </c>
      <c r="D10" s="1" t="s">
        <v>3</v>
      </c>
      <c r="E10" s="1" t="s">
        <v>15</v>
      </c>
      <c r="F10" s="2">
        <v>30046.04</v>
      </c>
      <c r="G10" s="2">
        <v>50.292999999999999</v>
      </c>
      <c r="H10" s="2">
        <v>15111.05</v>
      </c>
      <c r="I10" s="3">
        <v>4.0049999999999999</v>
      </c>
      <c r="J10" s="3">
        <v>0</v>
      </c>
      <c r="K10" s="2">
        <v>5.7428220000000003</v>
      </c>
      <c r="L10" s="2">
        <v>6.4918849999999999</v>
      </c>
      <c r="M10" s="2">
        <v>6.9912609999999997</v>
      </c>
      <c r="N10" s="2">
        <v>7.9900120000000001</v>
      </c>
      <c r="O10" s="2">
        <v>10.82432</v>
      </c>
      <c r="P10" s="2">
        <v>8.6262659999999993</v>
      </c>
      <c r="Q10" s="2">
        <v>8.2577320000000007</v>
      </c>
      <c r="R10" s="2">
        <v>7.5760870000000002</v>
      </c>
      <c r="S10" s="2" t="e">
        <v>#N/A</v>
      </c>
      <c r="T10" s="2" t="e">
        <v>#N/A</v>
      </c>
      <c r="U10" s="2" t="e">
        <v>#N/A</v>
      </c>
      <c r="V10" s="2" t="e">
        <v>#N/A</v>
      </c>
      <c r="W10" s="2">
        <v>0.87636760000000002</v>
      </c>
      <c r="X10" s="2">
        <v>0.84138659999999998</v>
      </c>
      <c r="Y10" s="2">
        <v>0.80531819999999998</v>
      </c>
      <c r="Z10" s="2">
        <v>0.77766990000000003</v>
      </c>
      <c r="AA10" s="2" t="e">
        <v>#N/A</v>
      </c>
      <c r="AB10" s="2" t="e">
        <v>#N/A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3">
        <v>0.75702800000000003</v>
      </c>
      <c r="AL10" s="3">
        <v>0.71112909999999996</v>
      </c>
      <c r="AM10" s="2" t="e">
        <v>#N/A</v>
      </c>
      <c r="AN10" s="2" t="e">
        <v>#N/A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1" t="s">
        <v>5</v>
      </c>
      <c r="AV10" s="3">
        <v>1.3958330000000001</v>
      </c>
      <c r="AW10" s="3">
        <v>4.55</v>
      </c>
      <c r="AX10" s="2">
        <v>13.607989999999999</v>
      </c>
      <c r="AY10" s="2">
        <v>9.7537739999999999</v>
      </c>
      <c r="AZ10" s="2">
        <v>15.2</v>
      </c>
      <c r="BA10" s="2">
        <v>21.36364</v>
      </c>
      <c r="BB10" s="2">
        <v>9.0686319999999991</v>
      </c>
      <c r="BC10" s="3">
        <v>2.4470000000000001</v>
      </c>
      <c r="BD10" s="2">
        <v>63.669800000000002</v>
      </c>
      <c r="BE10" s="3">
        <v>4.1970000000000001</v>
      </c>
      <c r="BF10" s="2">
        <v>-4.5746919999999998</v>
      </c>
      <c r="BG10" s="2">
        <v>62.007629999999999</v>
      </c>
      <c r="BH10" s="2">
        <v>57.066969999999998</v>
      </c>
      <c r="BI10" s="2">
        <v>58.510840000000002</v>
      </c>
      <c r="BJ10" s="2">
        <v>58.834739999999996</v>
      </c>
      <c r="BK10" s="2">
        <v>22</v>
      </c>
      <c r="BL10" s="2">
        <v>16</v>
      </c>
      <c r="BM10" s="4">
        <v>24</v>
      </c>
      <c r="BN10" s="4">
        <v>1</v>
      </c>
      <c r="BO10" s="4">
        <v>2</v>
      </c>
      <c r="BP10" s="4">
        <v>21</v>
      </c>
      <c r="BQ10" s="2">
        <v>4.1666670000000003</v>
      </c>
      <c r="BR10" s="4">
        <v>16</v>
      </c>
      <c r="BS10" s="4">
        <v>1</v>
      </c>
      <c r="BT10" s="4">
        <v>24</v>
      </c>
      <c r="BU10" s="2">
        <v>66.666669999999996</v>
      </c>
      <c r="BV10" s="2">
        <v>10.7798</v>
      </c>
      <c r="BW10" s="2">
        <v>7502.1319999999996</v>
      </c>
      <c r="BX10" s="3">
        <v>16.815100000000001</v>
      </c>
      <c r="BY10" s="3">
        <v>0.2241377</v>
      </c>
      <c r="BZ10" s="2">
        <v>1.1604099999999999</v>
      </c>
      <c r="CA10" s="3">
        <v>0.2241377</v>
      </c>
      <c r="CB10" s="3">
        <v>0.4128809</v>
      </c>
      <c r="CC10" s="3">
        <v>0.46003699999999997</v>
      </c>
      <c r="CD10" s="2">
        <v>11.42123</v>
      </c>
      <c r="CE10" s="3">
        <v>6124.6120000000001</v>
      </c>
      <c r="CF10" s="3">
        <v>6621.74</v>
      </c>
      <c r="CG10" s="2">
        <v>8.1168770000000006</v>
      </c>
      <c r="CH10" s="3">
        <v>4.1105</v>
      </c>
      <c r="CI10" s="2">
        <v>10.69214</v>
      </c>
      <c r="CJ10" s="3">
        <v>12499.38</v>
      </c>
      <c r="CK10" s="3">
        <v>13086.56</v>
      </c>
      <c r="CL10" s="2">
        <v>4.6976800000000001</v>
      </c>
      <c r="CM10" s="3">
        <v>3.372573</v>
      </c>
      <c r="CN10" s="3">
        <v>3.7862749999999998</v>
      </c>
      <c r="CO10" s="3">
        <v>3.9600770000000001</v>
      </c>
      <c r="CP10" s="2">
        <v>18.752079999999999</v>
      </c>
      <c r="CQ10" s="2">
        <v>5.7767989999999996</v>
      </c>
      <c r="CR10" s="2">
        <v>1.1344080000000001</v>
      </c>
      <c r="CS10" s="2">
        <v>12.26666</v>
      </c>
      <c r="CT10" s="2">
        <v>45.850009999999997</v>
      </c>
      <c r="CU10" s="3">
        <v>0.15259919999999999</v>
      </c>
      <c r="CV10" s="2">
        <v>13.85737</v>
      </c>
      <c r="CW10" s="2">
        <v>6.2593009999999998</v>
      </c>
      <c r="CX10" s="2">
        <v>13.679180000000001</v>
      </c>
      <c r="CY10" s="2">
        <v>12.0303</v>
      </c>
    </row>
    <row r="11" spans="1:103" ht="15" customHeight="1" x14ac:dyDescent="0.2">
      <c r="A11" s="1">
        <f t="shared" si="0"/>
        <v>5</v>
      </c>
      <c r="B11" s="1" t="s">
        <v>17</v>
      </c>
      <c r="C11" s="1" t="s">
        <v>16</v>
      </c>
      <c r="D11" s="1" t="s">
        <v>18</v>
      </c>
      <c r="E11" s="1" t="s">
        <v>19</v>
      </c>
      <c r="F11" s="2">
        <v>9357.1839999999993</v>
      </c>
      <c r="G11" s="2" t="e">
        <v>#N/A</v>
      </c>
      <c r="H11" s="2" t="e">
        <v>#N/A</v>
      </c>
      <c r="I11" s="3">
        <v>1.8885000000000001</v>
      </c>
      <c r="J11" s="3">
        <v>0</v>
      </c>
      <c r="K11" s="2">
        <v>0</v>
      </c>
      <c r="L11" s="2">
        <v>0</v>
      </c>
      <c r="M11" s="2">
        <v>0</v>
      </c>
      <c r="N11" s="2">
        <v>0</v>
      </c>
      <c r="O11" s="2" t="e">
        <v>#N/A</v>
      </c>
      <c r="P11" s="2">
        <v>30.46508</v>
      </c>
      <c r="Q11" s="2">
        <v>10.491669999999999</v>
      </c>
      <c r="R11" s="2">
        <v>6.5120690000000003</v>
      </c>
      <c r="S11" s="2" t="e">
        <v>#N/A</v>
      </c>
      <c r="T11" s="2">
        <v>5.9593949999999998</v>
      </c>
      <c r="U11" s="2">
        <v>5.3827970000000001</v>
      </c>
      <c r="V11" s="2">
        <v>4.5415349999999997</v>
      </c>
      <c r="W11" s="2" t="e">
        <v>#N/A</v>
      </c>
      <c r="X11" s="2">
        <v>8.9928570000000008</v>
      </c>
      <c r="Y11" s="2">
        <v>4.811134</v>
      </c>
      <c r="Z11" s="2">
        <v>2.8075130000000001</v>
      </c>
      <c r="AA11" s="2" t="e">
        <v>#N/A</v>
      </c>
      <c r="AB11" s="2">
        <v>3.7498740000000002</v>
      </c>
      <c r="AC11" s="2">
        <v>3.6617329999999999</v>
      </c>
      <c r="AD11" s="2">
        <v>3.4060760000000001</v>
      </c>
      <c r="AE11" s="2">
        <v>-4.2222989999999996</v>
      </c>
      <c r="AF11" s="2">
        <v>-2.5823550000000002</v>
      </c>
      <c r="AG11" s="2">
        <v>0.79185899999999998</v>
      </c>
      <c r="AH11" s="2">
        <v>-9.8648399999999992</v>
      </c>
      <c r="AI11" s="2">
        <v>-6.0970950000000004</v>
      </c>
      <c r="AJ11" s="2">
        <v>1.870668</v>
      </c>
      <c r="AK11" s="3">
        <v>0.34179320000000002</v>
      </c>
      <c r="AL11" s="3">
        <v>0.1238298</v>
      </c>
      <c r="AM11" s="2">
        <v>-12.035500000000001</v>
      </c>
      <c r="AN11" s="2">
        <v>14.1578</v>
      </c>
      <c r="AO11" s="2">
        <v>15.1081</v>
      </c>
      <c r="AP11" s="2">
        <v>16.983969999999999</v>
      </c>
      <c r="AQ11" s="2">
        <v>-11.47198</v>
      </c>
      <c r="AR11" s="2">
        <v>3.837307</v>
      </c>
      <c r="AS11" s="2">
        <v>3.1006399999999998</v>
      </c>
      <c r="AT11" s="2">
        <v>2.6171220000000002</v>
      </c>
      <c r="AU11" s="1" t="s">
        <v>12</v>
      </c>
      <c r="AV11" s="3">
        <v>1.58</v>
      </c>
      <c r="AW11" s="3">
        <v>2.0285859999999998</v>
      </c>
      <c r="AX11" s="2">
        <v>7.417834</v>
      </c>
      <c r="AY11" s="2">
        <v>29.51857</v>
      </c>
      <c r="AZ11" s="2">
        <v>85</v>
      </c>
      <c r="BA11" s="2">
        <v>-7.8780469999999996</v>
      </c>
      <c r="BB11" s="2">
        <v>35.814450000000001</v>
      </c>
      <c r="BC11" s="3">
        <v>1.0369999999999999</v>
      </c>
      <c r="BD11" s="2">
        <v>82.111869999999996</v>
      </c>
      <c r="BE11" s="3">
        <v>2.12</v>
      </c>
      <c r="BF11" s="2">
        <v>-10.91981</v>
      </c>
      <c r="BG11" s="2" t="e">
        <v>#N/A</v>
      </c>
      <c r="BH11" s="2">
        <v>0</v>
      </c>
      <c r="BI11" s="2">
        <v>4.2052630000000004</v>
      </c>
      <c r="BJ11" s="2">
        <v>5.3373220000000003</v>
      </c>
      <c r="BK11" s="2">
        <v>21</v>
      </c>
      <c r="BL11" s="2">
        <v>22</v>
      </c>
      <c r="BM11" s="4">
        <v>25</v>
      </c>
      <c r="BN11" s="4">
        <v>3</v>
      </c>
      <c r="BO11" s="4">
        <v>2</v>
      </c>
      <c r="BP11" s="4">
        <v>20</v>
      </c>
      <c r="BQ11" s="2">
        <v>12</v>
      </c>
      <c r="BR11" s="4">
        <v>13</v>
      </c>
      <c r="BS11" s="4">
        <v>2</v>
      </c>
      <c r="BT11" s="4">
        <v>25</v>
      </c>
      <c r="BU11" s="2">
        <v>52</v>
      </c>
      <c r="BV11" s="2">
        <v>21.1418</v>
      </c>
      <c r="BW11" s="2">
        <v>4954.8239999999996</v>
      </c>
      <c r="BX11" s="3">
        <v>17.53567</v>
      </c>
      <c r="BY11" s="3">
        <v>0.35391099999999998</v>
      </c>
      <c r="BZ11" s="2">
        <v>2.5968499999999999</v>
      </c>
      <c r="CA11" s="3">
        <v>0.35391099999999998</v>
      </c>
      <c r="CB11" s="3">
        <v>4.2042700000000002E-2</v>
      </c>
      <c r="CC11" s="3">
        <v>6.5003190000000002E-2</v>
      </c>
      <c r="CD11" s="2">
        <v>54.612290000000002</v>
      </c>
      <c r="CE11" s="3">
        <v>1034.9179999999999</v>
      </c>
      <c r="CF11" s="3">
        <v>1178.3109999999999</v>
      </c>
      <c r="CG11" s="2">
        <v>13.85547</v>
      </c>
      <c r="CH11" s="3">
        <v>1.728969</v>
      </c>
      <c r="CI11" s="2">
        <v>17.329219999999999</v>
      </c>
      <c r="CJ11" s="3">
        <v>22493.22</v>
      </c>
      <c r="CK11" s="3">
        <v>22671.72</v>
      </c>
      <c r="CL11" s="2">
        <v>0.7935643</v>
      </c>
      <c r="CM11" s="3">
        <v>1.4430970000000001</v>
      </c>
      <c r="CN11" s="3">
        <v>1.687578</v>
      </c>
      <c r="CO11" s="3">
        <v>1.860269</v>
      </c>
      <c r="CP11" s="2">
        <v>30.864380000000001</v>
      </c>
      <c r="CQ11" s="2">
        <v>11.90591</v>
      </c>
      <c r="CR11" s="2">
        <v>1.5175460000000001</v>
      </c>
      <c r="CS11" s="2">
        <v>16.94144</v>
      </c>
      <c r="CT11" s="2">
        <v>23.53763</v>
      </c>
      <c r="CU11" s="3">
        <v>0.25154609999999999</v>
      </c>
      <c r="CV11" s="2">
        <v>-65.841589999999997</v>
      </c>
      <c r="CW11" s="2">
        <v>6.4166689999999997</v>
      </c>
      <c r="CX11" s="2">
        <v>16.94736</v>
      </c>
      <c r="CY11" s="2">
        <v>12.31579</v>
      </c>
    </row>
    <row r="12" spans="1:103" ht="15" customHeight="1" x14ac:dyDescent="0.2">
      <c r="A12" s="1">
        <f t="shared" si="0"/>
        <v>6</v>
      </c>
      <c r="B12" s="1" t="s">
        <v>21</v>
      </c>
      <c r="C12" s="1" t="s">
        <v>20</v>
      </c>
      <c r="D12" s="1" t="s">
        <v>22</v>
      </c>
      <c r="E12" s="1" t="s">
        <v>23</v>
      </c>
      <c r="F12" s="2">
        <v>1976.1010000000001</v>
      </c>
      <c r="G12" s="2">
        <v>58.0685</v>
      </c>
      <c r="H12" s="2">
        <v>1147.492</v>
      </c>
      <c r="I12" s="3">
        <v>2.964</v>
      </c>
      <c r="J12" s="3">
        <v>0</v>
      </c>
      <c r="K12" s="2">
        <v>3.3738190000000001</v>
      </c>
      <c r="L12" s="2">
        <v>3.711201</v>
      </c>
      <c r="M12" s="2">
        <v>4.0485829999999998</v>
      </c>
      <c r="N12" s="2">
        <v>3.974831</v>
      </c>
      <c r="O12" s="2" t="e">
        <v>#N/A</v>
      </c>
      <c r="P12" s="2">
        <v>17.1858</v>
      </c>
      <c r="Q12" s="2">
        <v>11.61237</v>
      </c>
      <c r="R12" s="2">
        <v>9.8799989999999998</v>
      </c>
      <c r="S12" s="2">
        <v>8.0726130000000005</v>
      </c>
      <c r="T12" s="2">
        <v>7.3899670000000004</v>
      </c>
      <c r="U12" s="2">
        <v>7.8702750000000004</v>
      </c>
      <c r="V12" s="2">
        <v>7.8489199999999997</v>
      </c>
      <c r="W12" s="2">
        <v>4.4909090000000003</v>
      </c>
      <c r="X12" s="2">
        <v>3.6143519999999998</v>
      </c>
      <c r="Y12" s="2">
        <v>2.85</v>
      </c>
      <c r="Z12" s="2">
        <v>2.1635040000000001</v>
      </c>
      <c r="AA12" s="2" t="e">
        <v>#N/A</v>
      </c>
      <c r="AB12" s="2">
        <v>32.933329999999998</v>
      </c>
      <c r="AC12" s="2">
        <v>12.88696</v>
      </c>
      <c r="AD12" s="2">
        <v>10.18469</v>
      </c>
      <c r="AE12" s="2">
        <v>-7.2532690000000004</v>
      </c>
      <c r="AF12" s="2">
        <v>-1.3860060000000001</v>
      </c>
      <c r="AG12" s="2">
        <v>1.2210369999999999</v>
      </c>
      <c r="AH12" s="2">
        <v>-35.525260000000003</v>
      </c>
      <c r="AI12" s="2">
        <v>-7.0612950000000003</v>
      </c>
      <c r="AJ12" s="2">
        <v>6.4073979999999997</v>
      </c>
      <c r="AK12" s="3" t="e">
        <v>#N/A</v>
      </c>
      <c r="AL12" s="3" t="e">
        <v>#N/A</v>
      </c>
      <c r="AM12" s="2">
        <v>19.743320000000001</v>
      </c>
      <c r="AN12" s="2">
        <v>23.12931</v>
      </c>
      <c r="AO12" s="2">
        <v>22.891909999999999</v>
      </c>
      <c r="AP12" s="2">
        <v>23.281099999999999</v>
      </c>
      <c r="AQ12" s="2">
        <v>6.5146259999999998</v>
      </c>
      <c r="AR12" s="2">
        <v>6.0544729999999998</v>
      </c>
      <c r="AS12" s="2">
        <v>6.3254809999999999</v>
      </c>
      <c r="AT12" s="2">
        <v>6.3531769999999996</v>
      </c>
      <c r="AU12" s="1" t="s">
        <v>5</v>
      </c>
      <c r="AV12" s="3">
        <v>1.125</v>
      </c>
      <c r="AW12" s="3">
        <v>3.6</v>
      </c>
      <c r="AX12" s="2">
        <v>21.45748</v>
      </c>
      <c r="AY12" s="2">
        <v>21.031040000000001</v>
      </c>
      <c r="AZ12" s="2" t="e">
        <v>#N/A</v>
      </c>
      <c r="BA12" s="2">
        <v>32.085560000000001</v>
      </c>
      <c r="BB12" s="2">
        <v>14</v>
      </c>
      <c r="BC12" s="3">
        <v>1.8009999999999999</v>
      </c>
      <c r="BD12" s="2">
        <v>64.575230000000005</v>
      </c>
      <c r="BE12" s="3">
        <v>2.9980000000000002</v>
      </c>
      <c r="BF12" s="2">
        <v>-1.1340980000000001</v>
      </c>
      <c r="BG12" s="2" t="e">
        <v>#N/A</v>
      </c>
      <c r="BH12" s="2">
        <v>54.60454</v>
      </c>
      <c r="BI12" s="2">
        <v>46.933190000000003</v>
      </c>
      <c r="BJ12" s="2">
        <v>42.713850000000001</v>
      </c>
      <c r="BK12" s="2">
        <v>8</v>
      </c>
      <c r="BL12" s="2">
        <v>8</v>
      </c>
      <c r="BM12" s="4">
        <v>8</v>
      </c>
      <c r="BN12" s="4">
        <v>0</v>
      </c>
      <c r="BO12" s="4">
        <v>0</v>
      </c>
      <c r="BP12" s="4">
        <v>8</v>
      </c>
      <c r="BQ12" s="2">
        <v>0</v>
      </c>
      <c r="BR12" s="4">
        <v>7</v>
      </c>
      <c r="BS12" s="4">
        <v>0</v>
      </c>
      <c r="BT12" s="4">
        <v>8</v>
      </c>
      <c r="BU12" s="2">
        <v>87.5</v>
      </c>
      <c r="BV12" s="2">
        <v>12.808199999999999</v>
      </c>
      <c r="BW12" s="2">
        <v>666.70079999999996</v>
      </c>
      <c r="BX12" s="3">
        <v>2.3742009999999998</v>
      </c>
      <c r="BY12" s="3">
        <v>0.35611189999999998</v>
      </c>
      <c r="BZ12" s="2">
        <v>1.5117700000000001</v>
      </c>
      <c r="CA12" s="3">
        <v>0.35611189999999998</v>
      </c>
      <c r="CB12" s="3">
        <v>0.18416170000000001</v>
      </c>
      <c r="CC12" s="3">
        <v>0.20828459999999999</v>
      </c>
      <c r="CD12" s="2">
        <v>13.09878</v>
      </c>
      <c r="CE12" s="3">
        <v>943.10940000000005</v>
      </c>
      <c r="CF12" s="3">
        <v>1021.277</v>
      </c>
      <c r="CG12" s="2">
        <v>8.2882999999999996</v>
      </c>
      <c r="CH12" s="3">
        <v>3.3827029999999998</v>
      </c>
      <c r="CI12" s="2">
        <v>6.4237830000000002</v>
      </c>
      <c r="CJ12" s="3">
        <v>5327.384</v>
      </c>
      <c r="CK12" s="3">
        <v>5394.7389999999996</v>
      </c>
      <c r="CL12" s="2">
        <v>1.26431</v>
      </c>
      <c r="CM12" s="3">
        <v>2.4667870000000001</v>
      </c>
      <c r="CN12" s="3">
        <v>2.7221169999999999</v>
      </c>
      <c r="CO12" s="3">
        <v>2.7930769999999998</v>
      </c>
      <c r="CP12" s="2">
        <v>20.156320000000001</v>
      </c>
      <c r="CQ12" s="2">
        <v>8.8858239999999995</v>
      </c>
      <c r="CR12" s="2">
        <v>6.1195250000000003</v>
      </c>
      <c r="CS12" s="2">
        <v>10.35074</v>
      </c>
      <c r="CT12" s="2">
        <v>6.9208350000000003</v>
      </c>
      <c r="CU12" s="3">
        <v>0.3502267</v>
      </c>
      <c r="CV12" s="2" t="e">
        <v>#N/A</v>
      </c>
      <c r="CW12" s="2" t="e">
        <v>#N/A</v>
      </c>
      <c r="CX12" s="2" t="e">
        <v>#N/A</v>
      </c>
      <c r="CY12" s="2">
        <v>12.9596</v>
      </c>
    </row>
    <row r="13" spans="1:103" ht="15" customHeight="1" x14ac:dyDescent="0.2">
      <c r="A13" s="1">
        <f t="shared" si="0"/>
        <v>7</v>
      </c>
      <c r="B13" s="1" t="s">
        <v>25</v>
      </c>
      <c r="C13" s="1" t="s">
        <v>24</v>
      </c>
      <c r="D13" s="1" t="s">
        <v>18</v>
      </c>
      <c r="E13" s="1" t="s">
        <v>26</v>
      </c>
      <c r="F13" s="2">
        <v>3284.2350000000001</v>
      </c>
      <c r="G13" s="2">
        <v>43.895099999999999</v>
      </c>
      <c r="H13" s="2">
        <v>1441.6179999999999</v>
      </c>
      <c r="I13" s="3">
        <v>24.74</v>
      </c>
      <c r="J13" s="3">
        <v>0</v>
      </c>
      <c r="K13" s="2">
        <v>5.5780120000000002</v>
      </c>
      <c r="L13" s="2">
        <v>6.8108329999999997</v>
      </c>
      <c r="M13" s="2">
        <v>7.1544059999999998</v>
      </c>
      <c r="N13" s="2">
        <v>7.3969279999999999</v>
      </c>
      <c r="O13" s="2">
        <v>13.82123</v>
      </c>
      <c r="P13" s="2">
        <v>11.59869</v>
      </c>
      <c r="Q13" s="2">
        <v>11.29025</v>
      </c>
      <c r="R13" s="2">
        <v>10.898680000000001</v>
      </c>
      <c r="S13" s="2">
        <v>1.993212</v>
      </c>
      <c r="T13" s="2">
        <v>2.6358470000000001</v>
      </c>
      <c r="U13" s="2">
        <v>2.3218930000000002</v>
      </c>
      <c r="V13" s="2">
        <v>4.3717959999999998</v>
      </c>
      <c r="W13" s="2">
        <v>5.8487</v>
      </c>
      <c r="X13" s="2">
        <v>5.3090130000000002</v>
      </c>
      <c r="Y13" s="2">
        <v>5.154166</v>
      </c>
      <c r="Z13" s="2">
        <v>4.8845010000000002</v>
      </c>
      <c r="AA13" s="2">
        <v>9.6077670000000008</v>
      </c>
      <c r="AB13" s="2">
        <v>8.8673839999999995</v>
      </c>
      <c r="AC13" s="2">
        <v>8.8992810000000002</v>
      </c>
      <c r="AD13" s="2">
        <v>8.3242630000000002</v>
      </c>
      <c r="AE13" s="2">
        <v>9.1846789999999991</v>
      </c>
      <c r="AF13" s="2">
        <v>31.41929</v>
      </c>
      <c r="AG13" s="2">
        <v>15.73152</v>
      </c>
      <c r="AH13" s="2">
        <v>3.1328450000000001</v>
      </c>
      <c r="AI13" s="2">
        <v>9.8559470000000005</v>
      </c>
      <c r="AJ13" s="2">
        <v>9.4925350000000002</v>
      </c>
      <c r="AK13" s="3">
        <v>1.5890899999999999</v>
      </c>
      <c r="AL13" s="3">
        <v>1.544136</v>
      </c>
      <c r="AM13" s="2">
        <v>31.012139999999999</v>
      </c>
      <c r="AN13" s="2">
        <v>27.57949</v>
      </c>
      <c r="AO13" s="2">
        <v>28.180669999999999</v>
      </c>
      <c r="AP13" s="2">
        <v>28.172779999999999</v>
      </c>
      <c r="AQ13" s="2">
        <v>-6.1866839999999996</v>
      </c>
      <c r="AR13" s="2">
        <v>-5.0917649999999997</v>
      </c>
      <c r="AS13" s="2">
        <v>-5.0799560000000001</v>
      </c>
      <c r="AT13" s="2">
        <v>-2.873373</v>
      </c>
      <c r="AU13" s="1" t="s">
        <v>5</v>
      </c>
      <c r="AV13" s="3">
        <v>1.1363639999999999</v>
      </c>
      <c r="AW13" s="3">
        <v>28.38</v>
      </c>
      <c r="AX13" s="2">
        <v>14.713010000000001</v>
      </c>
      <c r="AY13" s="2">
        <v>45.772530000000003</v>
      </c>
      <c r="AZ13" s="2">
        <v>7.5</v>
      </c>
      <c r="BA13" s="2">
        <v>34.97</v>
      </c>
      <c r="BB13" s="2">
        <v>4.8305030000000002</v>
      </c>
      <c r="BC13" s="3">
        <v>14.72</v>
      </c>
      <c r="BD13" s="2">
        <v>68.070650000000001</v>
      </c>
      <c r="BE13" s="3">
        <v>25.54</v>
      </c>
      <c r="BF13" s="2">
        <v>-3.1323430000000001</v>
      </c>
      <c r="BG13" s="2">
        <v>77.257040000000003</v>
      </c>
      <c r="BH13" s="2">
        <v>77.920950000000005</v>
      </c>
      <c r="BI13" s="2">
        <v>82.444699999999997</v>
      </c>
      <c r="BJ13" s="2">
        <v>80.834320000000005</v>
      </c>
      <c r="BK13" s="2">
        <v>10</v>
      </c>
      <c r="BL13" s="2">
        <v>9</v>
      </c>
      <c r="BM13" s="4">
        <v>11</v>
      </c>
      <c r="BN13" s="4">
        <v>0</v>
      </c>
      <c r="BO13" s="4">
        <v>0</v>
      </c>
      <c r="BP13" s="4">
        <v>9</v>
      </c>
      <c r="BQ13" s="2">
        <v>0</v>
      </c>
      <c r="BR13" s="4">
        <v>10</v>
      </c>
      <c r="BS13" s="4">
        <v>0</v>
      </c>
      <c r="BT13" s="4">
        <v>11</v>
      </c>
      <c r="BU13" s="2">
        <v>90.909099999999995</v>
      </c>
      <c r="BV13" s="2">
        <v>6.5911999999999997</v>
      </c>
      <c r="BW13" s="2">
        <v>132.75</v>
      </c>
      <c r="BX13" s="3">
        <v>0.2828599</v>
      </c>
      <c r="BY13" s="3">
        <v>0.21307709999999999</v>
      </c>
      <c r="BZ13" s="2">
        <v>0.64911300000000005</v>
      </c>
      <c r="CA13" s="3">
        <v>0.21307709999999999</v>
      </c>
      <c r="CB13" s="3">
        <v>1.9734510000000001</v>
      </c>
      <c r="CC13" s="3">
        <v>2.0758220000000001</v>
      </c>
      <c r="CD13" s="2">
        <v>5.1873800000000001</v>
      </c>
      <c r="CE13" s="3">
        <v>313.38630000000001</v>
      </c>
      <c r="CF13" s="3">
        <v>320.24790000000002</v>
      </c>
      <c r="CG13" s="2">
        <v>2.1894930000000001</v>
      </c>
      <c r="CH13" s="3">
        <v>25.445450000000001</v>
      </c>
      <c r="CI13" s="2">
        <v>11.532690000000001</v>
      </c>
      <c r="CJ13" s="3">
        <v>1490.8320000000001</v>
      </c>
      <c r="CK13" s="3">
        <v>1554.174</v>
      </c>
      <c r="CL13" s="2">
        <v>4.2487740000000001</v>
      </c>
      <c r="CM13" s="3">
        <v>20.743580000000001</v>
      </c>
      <c r="CN13" s="3">
        <v>24.055299999999999</v>
      </c>
      <c r="CO13" s="3">
        <v>24.381540000000001</v>
      </c>
      <c r="CP13" s="2">
        <v>19.265830000000001</v>
      </c>
      <c r="CQ13" s="2">
        <v>2.8463720000000001</v>
      </c>
      <c r="CR13" s="2">
        <v>1.470208</v>
      </c>
      <c r="CS13" s="2">
        <v>15.96503</v>
      </c>
      <c r="CT13" s="2">
        <v>5.6257869999999999</v>
      </c>
      <c r="CU13" s="3">
        <v>0.1712967</v>
      </c>
      <c r="CV13" s="2" t="e">
        <v>#N/A</v>
      </c>
      <c r="CW13" s="2">
        <v>4.9103779999999997</v>
      </c>
      <c r="CX13" s="2">
        <v>0.70217499999999999</v>
      </c>
      <c r="CY13" s="2">
        <v>13.161619999999999</v>
      </c>
    </row>
    <row r="14" spans="1:103" ht="15" customHeight="1" x14ac:dyDescent="0.2">
      <c r="A14" s="1">
        <f t="shared" si="0"/>
        <v>8</v>
      </c>
      <c r="B14" s="1" t="s">
        <v>28</v>
      </c>
      <c r="C14" s="1" t="s">
        <v>27</v>
      </c>
      <c r="D14" s="1" t="s">
        <v>3</v>
      </c>
      <c r="E14" s="1" t="s">
        <v>4</v>
      </c>
      <c r="F14" s="2">
        <v>58293.37</v>
      </c>
      <c r="G14" s="2">
        <v>97.447500000000005</v>
      </c>
      <c r="H14" s="2">
        <v>56805.43</v>
      </c>
      <c r="I14" s="3">
        <v>3.4710000000000001</v>
      </c>
      <c r="J14" s="3">
        <v>0</v>
      </c>
      <c r="K14" s="2">
        <v>3.1691159999999998</v>
      </c>
      <c r="L14" s="2">
        <v>4.0334199999999996</v>
      </c>
      <c r="M14" s="2">
        <v>4.6096219999999999</v>
      </c>
      <c r="N14" s="2">
        <v>5.4739269999999998</v>
      </c>
      <c r="O14" s="2">
        <v>6.4397029999999997</v>
      </c>
      <c r="P14" s="2">
        <v>6.3594549999999996</v>
      </c>
      <c r="Q14" s="2">
        <v>5.883051</v>
      </c>
      <c r="R14" s="2">
        <v>5.423438</v>
      </c>
      <c r="S14" s="2" t="e">
        <v>#N/A</v>
      </c>
      <c r="T14" s="2" t="e">
        <v>#N/A</v>
      </c>
      <c r="U14" s="2" t="e">
        <v>#N/A</v>
      </c>
      <c r="V14" s="2" t="e">
        <v>#N/A</v>
      </c>
      <c r="W14" s="2">
        <v>0.6451673</v>
      </c>
      <c r="X14" s="2">
        <v>0.59536880000000003</v>
      </c>
      <c r="Y14" s="2">
        <v>0.55302450000000003</v>
      </c>
      <c r="Z14" s="2">
        <v>0.51728759999999996</v>
      </c>
      <c r="AA14" s="2" t="e">
        <v>#N/A</v>
      </c>
      <c r="AB14" s="2" t="e">
        <v>#N/A</v>
      </c>
      <c r="AC14" s="2" t="e">
        <v>#N/A</v>
      </c>
      <c r="AD14" s="2" t="e">
        <v>#N/A</v>
      </c>
      <c r="AE14" s="2" t="e">
        <v>#N/A</v>
      </c>
      <c r="AF14" s="2" t="e">
        <v>#N/A</v>
      </c>
      <c r="AG14" s="2" t="e">
        <v>#N/A</v>
      </c>
      <c r="AH14" s="2" t="e">
        <v>#N/A</v>
      </c>
      <c r="AI14" s="2" t="e">
        <v>#N/A</v>
      </c>
      <c r="AJ14" s="2" t="e">
        <v>#N/A</v>
      </c>
      <c r="AK14" s="3">
        <v>0.9903305</v>
      </c>
      <c r="AL14" s="3">
        <v>0.89957929999999997</v>
      </c>
      <c r="AM14" s="2" t="e">
        <v>#N/A</v>
      </c>
      <c r="AN14" s="2" t="e">
        <v>#N/A</v>
      </c>
      <c r="AO14" s="2" t="e">
        <v>#N/A</v>
      </c>
      <c r="AP14" s="2" t="e">
        <v>#N/A</v>
      </c>
      <c r="AQ14" s="2" t="e">
        <v>#N/A</v>
      </c>
      <c r="AR14" s="2" t="e">
        <v>#N/A</v>
      </c>
      <c r="AS14" s="2" t="e">
        <v>#N/A</v>
      </c>
      <c r="AT14" s="2" t="e">
        <v>#N/A</v>
      </c>
      <c r="AU14" s="1" t="s">
        <v>5</v>
      </c>
      <c r="AV14" s="3">
        <v>1.36</v>
      </c>
      <c r="AW14" s="3">
        <v>4.2</v>
      </c>
      <c r="AX14" s="2">
        <v>21.002590000000001</v>
      </c>
      <c r="AY14" s="2">
        <v>9.3619470000000007</v>
      </c>
      <c r="AZ14" s="2">
        <v>6.50068</v>
      </c>
      <c r="BA14" s="2">
        <v>1.402271</v>
      </c>
      <c r="BB14" s="2">
        <v>23.85369</v>
      </c>
      <c r="BC14" s="3">
        <v>2.3239999999999998</v>
      </c>
      <c r="BD14" s="2">
        <v>49.354559999999999</v>
      </c>
      <c r="BE14" s="3">
        <v>3.57</v>
      </c>
      <c r="BF14" s="2">
        <v>-2.7731059999999998</v>
      </c>
      <c r="BG14" s="2">
        <v>24.259989999999998</v>
      </c>
      <c r="BH14" s="2">
        <v>30.664549999999998</v>
      </c>
      <c r="BI14" s="2">
        <v>33.376370000000001</v>
      </c>
      <c r="BJ14" s="2">
        <v>34.138100000000001</v>
      </c>
      <c r="BK14" s="2">
        <v>22</v>
      </c>
      <c r="BL14" s="2">
        <v>15</v>
      </c>
      <c r="BM14" s="4">
        <v>25</v>
      </c>
      <c r="BN14" s="4">
        <v>1</v>
      </c>
      <c r="BO14" s="4">
        <v>0</v>
      </c>
      <c r="BP14" s="4">
        <v>23</v>
      </c>
      <c r="BQ14" s="2">
        <v>4.1666670000000003</v>
      </c>
      <c r="BR14" s="4">
        <v>17</v>
      </c>
      <c r="BS14" s="4">
        <v>1</v>
      </c>
      <c r="BT14" s="4">
        <v>25</v>
      </c>
      <c r="BU14" s="2">
        <v>68</v>
      </c>
      <c r="BV14" s="2">
        <v>12.8901</v>
      </c>
      <c r="BW14" s="2">
        <v>16794.400000000001</v>
      </c>
      <c r="BX14" s="3">
        <v>53.274239999999999</v>
      </c>
      <c r="BY14" s="3">
        <v>0.3172143</v>
      </c>
      <c r="BZ14" s="2">
        <v>1.59039</v>
      </c>
      <c r="CA14" s="3">
        <v>0.3172143</v>
      </c>
      <c r="CB14" s="3">
        <v>0.52100409999999997</v>
      </c>
      <c r="CC14" s="3">
        <v>0.53915749999999996</v>
      </c>
      <c r="CD14" s="2">
        <v>3.484321</v>
      </c>
      <c r="CE14" s="3">
        <v>30280.54</v>
      </c>
      <c r="CF14" s="3">
        <v>30074.06</v>
      </c>
      <c r="CG14" s="2">
        <v>-0.68188910000000003</v>
      </c>
      <c r="CH14" s="3">
        <v>3.96</v>
      </c>
      <c r="CI14" s="2">
        <v>6.0606</v>
      </c>
      <c r="CJ14" s="3">
        <v>55522.45</v>
      </c>
      <c r="CK14" s="3">
        <v>55238.03</v>
      </c>
      <c r="CL14" s="2">
        <v>-0.5122662</v>
      </c>
      <c r="CM14" s="3">
        <v>2.7356389999999999</v>
      </c>
      <c r="CN14" s="3">
        <v>3.0533920000000001</v>
      </c>
      <c r="CO14" s="3">
        <v>3.2636159999999999</v>
      </c>
      <c r="CP14" s="2">
        <v>26.880780000000001</v>
      </c>
      <c r="CQ14" s="2">
        <v>13.67686</v>
      </c>
      <c r="CR14" s="2">
        <v>6.3544390000000002</v>
      </c>
      <c r="CS14" s="2">
        <v>11.615309999999999</v>
      </c>
      <c r="CT14" s="2">
        <v>138.24770000000001</v>
      </c>
      <c r="CU14" s="3">
        <v>0.2371586</v>
      </c>
      <c r="CV14" s="2">
        <v>4.2870819999999998</v>
      </c>
      <c r="CW14" s="2">
        <v>1.058457</v>
      </c>
      <c r="CX14" s="2">
        <v>2.0212509999999999</v>
      </c>
      <c r="CY14" s="2">
        <v>14.11111</v>
      </c>
    </row>
    <row r="15" spans="1:103" ht="15" customHeight="1" x14ac:dyDescent="0.2">
      <c r="A15" s="1">
        <f t="shared" si="0"/>
        <v>9</v>
      </c>
      <c r="B15" s="1" t="s">
        <v>30</v>
      </c>
      <c r="C15" s="1" t="s">
        <v>29</v>
      </c>
      <c r="D15" s="1" t="s">
        <v>3</v>
      </c>
      <c r="E15" s="1" t="s">
        <v>4</v>
      </c>
      <c r="F15" s="2">
        <v>5930.7179999999998</v>
      </c>
      <c r="G15" s="2">
        <v>70.775999999999996</v>
      </c>
      <c r="H15" s="2">
        <v>4197.5249999999996</v>
      </c>
      <c r="I15" s="3">
        <v>6.5979999999999999</v>
      </c>
      <c r="J15" s="3">
        <v>0</v>
      </c>
      <c r="K15" s="2">
        <v>4.6983930000000003</v>
      </c>
      <c r="L15" s="2">
        <v>5.4926339999999998</v>
      </c>
      <c r="M15" s="2">
        <v>5.5423850000000003</v>
      </c>
      <c r="N15" s="2">
        <v>6.4200150000000002</v>
      </c>
      <c r="O15" s="2">
        <v>10.81639</v>
      </c>
      <c r="P15" s="2">
        <v>9.1333939999999991</v>
      </c>
      <c r="Q15" s="2">
        <v>8.7973339999999993</v>
      </c>
      <c r="R15" s="2">
        <v>7.8764919999999998</v>
      </c>
      <c r="S15" s="2" t="e">
        <v>#N/A</v>
      </c>
      <c r="T15" s="2" t="e">
        <v>#N/A</v>
      </c>
      <c r="U15" s="2" t="e">
        <v>#N/A</v>
      </c>
      <c r="V15" s="2" t="e">
        <v>#N/A</v>
      </c>
      <c r="W15" s="2">
        <v>1.2084250000000001</v>
      </c>
      <c r="X15" s="2">
        <v>1.137586</v>
      </c>
      <c r="Y15" s="2">
        <v>1.0781050000000001</v>
      </c>
      <c r="Z15" s="2">
        <v>1.0057929999999999</v>
      </c>
      <c r="AA15" s="2" t="e">
        <v>#N/A</v>
      </c>
      <c r="AB15" s="2" t="e">
        <v>#N/A</v>
      </c>
      <c r="AC15" s="2" t="e">
        <v>#N/A</v>
      </c>
      <c r="AD15" s="2" t="e">
        <v>#N/A</v>
      </c>
      <c r="AE15" s="2" t="e">
        <v>#N/A</v>
      </c>
      <c r="AF15" s="2" t="e">
        <v>#N/A</v>
      </c>
      <c r="AG15" s="2" t="e">
        <v>#N/A</v>
      </c>
      <c r="AH15" s="2" t="e">
        <v>#N/A</v>
      </c>
      <c r="AI15" s="2" t="e">
        <v>#N/A</v>
      </c>
      <c r="AJ15" s="2" t="e">
        <v>#N/A</v>
      </c>
      <c r="AK15" s="3">
        <v>0.38982359999999999</v>
      </c>
      <c r="AL15" s="3">
        <v>0.38186389999999998</v>
      </c>
      <c r="AM15" s="2" t="e">
        <v>#N/A</v>
      </c>
      <c r="AN15" s="2" t="e">
        <v>#N/A</v>
      </c>
      <c r="AO15" s="2" t="e">
        <v>#N/A</v>
      </c>
      <c r="AP15" s="2" t="e">
        <v>#N/A</v>
      </c>
      <c r="AQ15" s="2" t="e">
        <v>#N/A</v>
      </c>
      <c r="AR15" s="2" t="e">
        <v>#N/A</v>
      </c>
      <c r="AS15" s="2" t="e">
        <v>#N/A</v>
      </c>
      <c r="AT15" s="2" t="e">
        <v>#N/A</v>
      </c>
      <c r="AU15" s="1" t="s">
        <v>31</v>
      </c>
      <c r="AV15" s="3">
        <v>1.5952379999999999</v>
      </c>
      <c r="AW15" s="3">
        <v>7.5</v>
      </c>
      <c r="AX15" s="2">
        <v>13.670809999999999</v>
      </c>
      <c r="AY15" s="2">
        <v>12.45524</v>
      </c>
      <c r="AZ15" s="2">
        <v>23</v>
      </c>
      <c r="BA15" s="2">
        <v>14.03387</v>
      </c>
      <c r="BB15" s="2">
        <v>5.264831</v>
      </c>
      <c r="BC15" s="3">
        <v>4.0060000000000002</v>
      </c>
      <c r="BD15" s="2">
        <v>64.702939999999998</v>
      </c>
      <c r="BE15" s="3">
        <v>6.8819999999999997</v>
      </c>
      <c r="BF15" s="2">
        <v>-4.1267040000000001</v>
      </c>
      <c r="BG15" s="2">
        <v>49.819800000000001</v>
      </c>
      <c r="BH15" s="2">
        <v>48.951309999999999</v>
      </c>
      <c r="BI15" s="2">
        <v>48.711880000000001</v>
      </c>
      <c r="BJ15" s="2">
        <v>52.353929999999998</v>
      </c>
      <c r="BK15" s="2">
        <v>20</v>
      </c>
      <c r="BL15" s="2">
        <v>14</v>
      </c>
      <c r="BM15" s="4">
        <v>21</v>
      </c>
      <c r="BN15" s="4">
        <v>0</v>
      </c>
      <c r="BO15" s="4">
        <v>3</v>
      </c>
      <c r="BP15" s="4">
        <v>18</v>
      </c>
      <c r="BQ15" s="2">
        <v>0</v>
      </c>
      <c r="BR15" s="4">
        <v>10</v>
      </c>
      <c r="BS15" s="4">
        <v>2</v>
      </c>
      <c r="BT15" s="4">
        <v>21</v>
      </c>
      <c r="BU15" s="2">
        <v>47.619050000000001</v>
      </c>
      <c r="BV15" s="2">
        <v>11.7219</v>
      </c>
      <c r="BW15" s="2">
        <v>898.86609999999996</v>
      </c>
      <c r="BX15" s="3">
        <v>3.3838010000000001</v>
      </c>
      <c r="BY15" s="3">
        <v>0.37645220000000001</v>
      </c>
      <c r="BZ15" s="2">
        <v>1.1294</v>
      </c>
      <c r="CA15" s="3">
        <v>0.37645220000000001</v>
      </c>
      <c r="CB15" s="3">
        <v>0.67008639999999997</v>
      </c>
      <c r="CC15" s="3">
        <v>0.74234829999999996</v>
      </c>
      <c r="CD15" s="2">
        <v>10.78396</v>
      </c>
      <c r="CE15" s="3">
        <v>1290.6759999999999</v>
      </c>
      <c r="CF15" s="3">
        <v>1399.13</v>
      </c>
      <c r="CG15" s="2">
        <v>8.4028720000000003</v>
      </c>
      <c r="CH15" s="3">
        <v>7.0852630000000003</v>
      </c>
      <c r="CI15" s="2">
        <v>5.85351</v>
      </c>
      <c r="CJ15" s="3">
        <v>2242.7109999999998</v>
      </c>
      <c r="CK15" s="3">
        <v>2394.018</v>
      </c>
      <c r="CL15" s="2">
        <v>6.7465780000000004</v>
      </c>
      <c r="CM15" s="3">
        <v>5.8058909999999999</v>
      </c>
      <c r="CN15" s="3">
        <v>6.4150200000000002</v>
      </c>
      <c r="CO15" s="3">
        <v>6.5510010000000003</v>
      </c>
      <c r="CP15" s="2">
        <v>13.64321</v>
      </c>
      <c r="CQ15" s="2">
        <v>2.8523800000000001</v>
      </c>
      <c r="CR15" s="2">
        <v>0.71743730000000006</v>
      </c>
      <c r="CS15" s="2">
        <v>10.491569999999999</v>
      </c>
      <c r="CT15" s="2">
        <v>20.539269999999998</v>
      </c>
      <c r="CU15" s="3">
        <v>0.34632020000000002</v>
      </c>
      <c r="CV15" s="2">
        <v>-10.909129999999999</v>
      </c>
      <c r="CW15" s="2">
        <v>4.4405299999999999</v>
      </c>
      <c r="CX15" s="2">
        <v>1.3333330000000001</v>
      </c>
      <c r="CY15" s="2">
        <v>14.12121</v>
      </c>
    </row>
    <row r="16" spans="1:103" ht="15" customHeight="1" x14ac:dyDescent="0.2">
      <c r="A16" s="1">
        <f t="shared" si="0"/>
        <v>10</v>
      </c>
      <c r="B16" s="1" t="s">
        <v>33</v>
      </c>
      <c r="C16" s="1" t="s">
        <v>32</v>
      </c>
      <c r="D16" s="1" t="s">
        <v>34</v>
      </c>
      <c r="E16" s="1" t="s">
        <v>35</v>
      </c>
      <c r="F16" s="2">
        <v>89042.74</v>
      </c>
      <c r="G16" s="2">
        <v>35.4375</v>
      </c>
      <c r="H16" s="2">
        <v>31554.52</v>
      </c>
      <c r="I16" s="3">
        <v>28.57</v>
      </c>
      <c r="J16" s="3">
        <v>0</v>
      </c>
      <c r="K16" s="2">
        <v>3.255163</v>
      </c>
      <c r="L16" s="2">
        <v>4.2044389999999998</v>
      </c>
      <c r="M16" s="2">
        <v>4.4818340000000001</v>
      </c>
      <c r="N16" s="2">
        <v>4.7443840000000002</v>
      </c>
      <c r="O16" s="2">
        <v>27.418420000000001</v>
      </c>
      <c r="P16" s="2">
        <v>21.323779999999999</v>
      </c>
      <c r="Q16" s="2">
        <v>20.578240000000001</v>
      </c>
      <c r="R16" s="2">
        <v>19.174499999999998</v>
      </c>
      <c r="S16" s="2">
        <v>11.076029999999999</v>
      </c>
      <c r="T16" s="2">
        <v>7.8165469999999999</v>
      </c>
      <c r="U16" s="2">
        <v>8.9234220000000004</v>
      </c>
      <c r="V16" s="2">
        <v>8.6281440000000007</v>
      </c>
      <c r="W16" s="2">
        <v>5.6569630000000002</v>
      </c>
      <c r="X16" s="2">
        <v>5.2429480000000002</v>
      </c>
      <c r="Y16" s="2">
        <v>5.043228</v>
      </c>
      <c r="Z16" s="2">
        <v>4.9258620000000004</v>
      </c>
      <c r="AA16" s="2">
        <v>17.165510000000001</v>
      </c>
      <c r="AB16" s="2">
        <v>14.71083</v>
      </c>
      <c r="AC16" s="2">
        <v>14.958119999999999</v>
      </c>
      <c r="AD16" s="2">
        <v>14.52956</v>
      </c>
      <c r="AE16" s="2">
        <v>6.3190210000000002</v>
      </c>
      <c r="AF16" s="2">
        <v>6.585547</v>
      </c>
      <c r="AG16" s="2">
        <v>7.0257589999999999</v>
      </c>
      <c r="AH16" s="2">
        <v>5.5464120000000001</v>
      </c>
      <c r="AI16" s="2">
        <v>5.7074280000000002</v>
      </c>
      <c r="AJ16" s="2">
        <v>6.0896509999999999</v>
      </c>
      <c r="AK16" s="3">
        <v>1.585993</v>
      </c>
      <c r="AL16" s="3">
        <v>1.5462419999999999</v>
      </c>
      <c r="AM16" s="2">
        <v>25.916440000000001</v>
      </c>
      <c r="AN16" s="2">
        <v>26.20674</v>
      </c>
      <c r="AO16" s="2">
        <v>25.7425</v>
      </c>
      <c r="AP16" s="2">
        <v>25.468</v>
      </c>
      <c r="AQ16" s="2">
        <v>-1.3029379999999999</v>
      </c>
      <c r="AR16" s="2">
        <v>-1.278492</v>
      </c>
      <c r="AS16" s="2">
        <v>-1.372919</v>
      </c>
      <c r="AT16" s="2">
        <v>-1.326328</v>
      </c>
      <c r="AU16" s="1" t="s">
        <v>5</v>
      </c>
      <c r="AV16" s="3">
        <v>1.3703700000000001</v>
      </c>
      <c r="AW16" s="3">
        <v>29</v>
      </c>
      <c r="AX16" s="2">
        <v>1.505077</v>
      </c>
      <c r="AY16" s="2">
        <v>24.587330000000001</v>
      </c>
      <c r="AZ16" s="2">
        <v>13.4894</v>
      </c>
      <c r="BA16" s="2">
        <v>13.372999999999999</v>
      </c>
      <c r="BB16" s="2">
        <v>14.969810000000001</v>
      </c>
      <c r="BC16" s="3">
        <v>18.545000000000002</v>
      </c>
      <c r="BD16" s="2">
        <v>54.057690000000001</v>
      </c>
      <c r="BE16" s="3">
        <v>29.37</v>
      </c>
      <c r="BF16" s="2">
        <v>-2.7238730000000002</v>
      </c>
      <c r="BG16" s="2">
        <v>92.627970000000005</v>
      </c>
      <c r="BH16" s="2">
        <v>90.180080000000004</v>
      </c>
      <c r="BI16" s="2">
        <v>93.563339999999997</v>
      </c>
      <c r="BJ16" s="2">
        <v>93.718100000000007</v>
      </c>
      <c r="BK16" s="2">
        <v>25</v>
      </c>
      <c r="BL16" s="2">
        <v>24</v>
      </c>
      <c r="BM16" s="4">
        <v>27</v>
      </c>
      <c r="BN16" s="4">
        <v>0</v>
      </c>
      <c r="BO16" s="4">
        <v>1</v>
      </c>
      <c r="BP16" s="4">
        <v>25</v>
      </c>
      <c r="BQ16" s="2">
        <v>0</v>
      </c>
      <c r="BR16" s="4">
        <v>19</v>
      </c>
      <c r="BS16" s="4">
        <v>1</v>
      </c>
      <c r="BT16" s="4">
        <v>27</v>
      </c>
      <c r="BU16" s="2">
        <v>70.370369999999994</v>
      </c>
      <c r="BV16" s="2">
        <v>9.6723700000000008</v>
      </c>
      <c r="BW16" s="2">
        <v>3116.652</v>
      </c>
      <c r="BX16" s="3">
        <v>4.1404399999999999</v>
      </c>
      <c r="BY16" s="3">
        <v>0.13284899999999999</v>
      </c>
      <c r="BZ16" s="2">
        <v>1.08249</v>
      </c>
      <c r="CA16" s="3">
        <v>0.13284899999999999</v>
      </c>
      <c r="CB16" s="3">
        <v>1.2851030000000001</v>
      </c>
      <c r="CC16" s="3">
        <v>1.335415</v>
      </c>
      <c r="CD16" s="2">
        <v>3.91506</v>
      </c>
      <c r="CE16" s="3">
        <v>5298.4880000000003</v>
      </c>
      <c r="CF16" s="3">
        <v>5538.5810000000001</v>
      </c>
      <c r="CG16" s="2">
        <v>4.5313480000000004</v>
      </c>
      <c r="CH16" s="3">
        <v>27.684999999999999</v>
      </c>
      <c r="CI16" s="2">
        <v>4.7498699999999996</v>
      </c>
      <c r="CJ16" s="3">
        <v>31493.56</v>
      </c>
      <c r="CK16" s="3">
        <v>32413.27</v>
      </c>
      <c r="CL16" s="2">
        <v>2.9202940000000002</v>
      </c>
      <c r="CM16" s="3">
        <v>23.859349999999999</v>
      </c>
      <c r="CN16" s="3">
        <v>26.68196</v>
      </c>
      <c r="CO16" s="3">
        <v>28.086539999999999</v>
      </c>
      <c r="CP16" s="2">
        <v>19.743410000000001</v>
      </c>
      <c r="CQ16" s="2">
        <v>7.076085</v>
      </c>
      <c r="CR16" s="2">
        <v>1.7213229999999999</v>
      </c>
      <c r="CS16" s="2">
        <v>11.830209999999999</v>
      </c>
      <c r="CT16" s="2">
        <v>67.679910000000007</v>
      </c>
      <c r="CU16" s="3">
        <v>7.6008329999999999E-2</v>
      </c>
      <c r="CV16" s="2">
        <v>-3.9147290000000001E-2</v>
      </c>
      <c r="CW16" s="2">
        <v>1.7072149999999999</v>
      </c>
      <c r="CX16" s="2">
        <v>1.0682929999999999</v>
      </c>
      <c r="CY16" s="2">
        <v>14.52525</v>
      </c>
    </row>
    <row r="17" spans="1:103" ht="15" customHeight="1" x14ac:dyDescent="0.2">
      <c r="A17" s="1">
        <f t="shared" si="0"/>
        <v>11</v>
      </c>
      <c r="B17" s="1" t="s">
        <v>37</v>
      </c>
      <c r="C17" s="1" t="s">
        <v>36</v>
      </c>
      <c r="D17" s="1" t="s">
        <v>38</v>
      </c>
      <c r="E17" s="1" t="s">
        <v>39</v>
      </c>
      <c r="F17" s="2">
        <v>19872.78</v>
      </c>
      <c r="G17" s="2">
        <v>29.872199999999999</v>
      </c>
      <c r="H17" s="2">
        <v>5936.4359999999997</v>
      </c>
      <c r="I17" s="3">
        <v>18.77</v>
      </c>
      <c r="J17" s="3">
        <v>0</v>
      </c>
      <c r="K17" s="2">
        <v>7.6718169999999999</v>
      </c>
      <c r="L17" s="2">
        <v>7.9914759999999996</v>
      </c>
      <c r="M17" s="2">
        <v>5.540756</v>
      </c>
      <c r="N17" s="2">
        <v>6.2866270000000002</v>
      </c>
      <c r="O17" s="2">
        <v>11.28683</v>
      </c>
      <c r="P17" s="2">
        <v>8.7302320000000009</v>
      </c>
      <c r="Q17" s="2">
        <v>12.72542</v>
      </c>
      <c r="R17" s="2">
        <v>11.20632</v>
      </c>
      <c r="S17" s="2">
        <v>7.0576879999999997</v>
      </c>
      <c r="T17" s="2">
        <v>5.4701310000000003</v>
      </c>
      <c r="U17" s="2">
        <v>6.83446</v>
      </c>
      <c r="V17" s="2">
        <v>6.4525509999999997</v>
      </c>
      <c r="W17" s="2">
        <v>3.6938249999999999</v>
      </c>
      <c r="X17" s="2">
        <v>3.1733380000000002</v>
      </c>
      <c r="Y17" s="2">
        <v>3.1840540000000002</v>
      </c>
      <c r="Z17" s="2">
        <v>2.930523</v>
      </c>
      <c r="AA17" s="2">
        <v>5.3785259999999999</v>
      </c>
      <c r="AB17" s="2">
        <v>4.8936719999999996</v>
      </c>
      <c r="AC17" s="2">
        <v>5.9777069999999997</v>
      </c>
      <c r="AD17" s="2">
        <v>5.5830099999999998</v>
      </c>
      <c r="AE17" s="2">
        <v>2.0365639999999998</v>
      </c>
      <c r="AF17" s="2">
        <v>2.1481530000000002</v>
      </c>
      <c r="AG17" s="2">
        <v>1.847961</v>
      </c>
      <c r="AH17" s="2">
        <v>3.1149619999999998</v>
      </c>
      <c r="AI17" s="2">
        <v>3.3503349999999998</v>
      </c>
      <c r="AJ17" s="2">
        <v>2.918317</v>
      </c>
      <c r="AK17" s="3">
        <v>4.2660450000000001</v>
      </c>
      <c r="AL17" s="3">
        <v>5.9835120000000002</v>
      </c>
      <c r="AM17" s="2">
        <v>20.84084</v>
      </c>
      <c r="AN17" s="2">
        <v>21.538399999999999</v>
      </c>
      <c r="AO17" s="2">
        <v>19.733689999999999</v>
      </c>
      <c r="AP17" s="2">
        <v>21.9481</v>
      </c>
      <c r="AQ17" s="2">
        <v>2.0584389999999999</v>
      </c>
      <c r="AR17" s="2">
        <v>1.9717070000000001</v>
      </c>
      <c r="AS17" s="2">
        <v>2.4523700000000002</v>
      </c>
      <c r="AT17" s="2">
        <v>2.3666140000000002</v>
      </c>
      <c r="AU17" s="1" t="s">
        <v>40</v>
      </c>
      <c r="AV17" s="3">
        <v>1.454545</v>
      </c>
      <c r="AW17" s="3">
        <v>22</v>
      </c>
      <c r="AX17" s="2">
        <v>17.208310000000001</v>
      </c>
      <c r="AY17" s="2">
        <v>36.348840000000003</v>
      </c>
      <c r="AZ17" s="2">
        <v>3.6</v>
      </c>
      <c r="BA17" s="2">
        <v>1.2951969999999999</v>
      </c>
      <c r="BB17" s="2">
        <v>6.4360619999999997</v>
      </c>
      <c r="BC17" s="3">
        <v>14.07</v>
      </c>
      <c r="BD17" s="2">
        <v>33.404409999999999</v>
      </c>
      <c r="BE17" s="3">
        <v>21.06</v>
      </c>
      <c r="BF17" s="2">
        <v>-10.87369</v>
      </c>
      <c r="BG17" s="2">
        <v>88.619540000000001</v>
      </c>
      <c r="BH17" s="2">
        <v>68.331950000000006</v>
      </c>
      <c r="BI17" s="2">
        <v>70.892939999999996</v>
      </c>
      <c r="BJ17" s="2">
        <v>69.265069999999994</v>
      </c>
      <c r="BK17" s="2">
        <v>19</v>
      </c>
      <c r="BL17" s="2">
        <v>19</v>
      </c>
      <c r="BM17" s="4">
        <v>22</v>
      </c>
      <c r="BN17" s="4">
        <v>0</v>
      </c>
      <c r="BO17" s="4">
        <v>2</v>
      </c>
      <c r="BP17" s="4">
        <v>21</v>
      </c>
      <c r="BQ17" s="2">
        <v>0</v>
      </c>
      <c r="BR17" s="4">
        <v>15</v>
      </c>
      <c r="BS17" s="4">
        <v>1</v>
      </c>
      <c r="BT17" s="4">
        <v>22</v>
      </c>
      <c r="BU17" s="2">
        <v>68.181820000000002</v>
      </c>
      <c r="BV17" s="2">
        <v>7.0671400000000002</v>
      </c>
      <c r="BW17" s="2">
        <v>1058.752</v>
      </c>
      <c r="BX17" s="3">
        <v>1.182779</v>
      </c>
      <c r="BY17" s="3">
        <v>0.11171440000000001</v>
      </c>
      <c r="BZ17" s="2">
        <v>0.57063900000000001</v>
      </c>
      <c r="CA17" s="3">
        <v>0.11171440000000001</v>
      </c>
      <c r="CB17" s="3">
        <v>1.7263599999999999</v>
      </c>
      <c r="CC17" s="3">
        <v>2.128965</v>
      </c>
      <c r="CD17" s="2">
        <v>23.32104</v>
      </c>
      <c r="CE17" s="3">
        <v>2790.9319999999998</v>
      </c>
      <c r="CF17" s="3">
        <v>3360.1759999999999</v>
      </c>
      <c r="CG17" s="2">
        <v>20.3962</v>
      </c>
      <c r="CH17" s="3">
        <v>22.302350000000001</v>
      </c>
      <c r="CI17" s="2">
        <v>-1.355702</v>
      </c>
      <c r="CJ17" s="3">
        <v>26156.34</v>
      </c>
      <c r="CK17" s="3">
        <v>26945.94</v>
      </c>
      <c r="CL17" s="2">
        <v>3.0187729999999999</v>
      </c>
      <c r="CM17" s="3">
        <v>17.984570000000001</v>
      </c>
      <c r="CN17" s="3">
        <v>18.158529999999999</v>
      </c>
      <c r="CO17" s="3">
        <v>18.39019</v>
      </c>
      <c r="CP17" s="2">
        <v>4.3672319999999996</v>
      </c>
      <c r="CQ17" s="2">
        <v>3.3673999999999999</v>
      </c>
      <c r="CR17" s="2">
        <v>2.065277</v>
      </c>
      <c r="CS17" s="2">
        <v>0.96725229999999995</v>
      </c>
      <c r="CT17" s="2">
        <v>20.403939999999999</v>
      </c>
      <c r="CU17" s="3">
        <v>0.10267279999999999</v>
      </c>
      <c r="CV17" s="2">
        <v>-22.164380000000001</v>
      </c>
      <c r="CW17" s="2">
        <v>16.561160000000001</v>
      </c>
      <c r="CX17" s="2">
        <v>12.802519999999999</v>
      </c>
      <c r="CY17" s="2">
        <v>14.868690000000001</v>
      </c>
    </row>
    <row r="18" spans="1:103" ht="15" customHeight="1" x14ac:dyDescent="0.2">
      <c r="A18" s="1">
        <f t="shared" si="0"/>
        <v>12</v>
      </c>
      <c r="B18" s="1" t="s">
        <v>42</v>
      </c>
      <c r="C18" s="1" t="s">
        <v>41</v>
      </c>
      <c r="D18" s="1" t="s">
        <v>43</v>
      </c>
      <c r="E18" s="1" t="s">
        <v>44</v>
      </c>
      <c r="F18" s="2">
        <v>27382.98</v>
      </c>
      <c r="G18" s="2">
        <v>79.638499999999993</v>
      </c>
      <c r="H18" s="2">
        <v>21807.4</v>
      </c>
      <c r="I18" s="3">
        <v>38.76</v>
      </c>
      <c r="J18" s="3">
        <v>0</v>
      </c>
      <c r="K18" s="2">
        <v>0.128999</v>
      </c>
      <c r="L18" s="2">
        <v>0.128999</v>
      </c>
      <c r="M18" s="2">
        <v>0.15230779999999999</v>
      </c>
      <c r="N18" s="2">
        <v>0.15643879999999999</v>
      </c>
      <c r="O18" s="2" t="e">
        <v>#N/A</v>
      </c>
      <c r="P18" s="2" t="e">
        <v>#N/A</v>
      </c>
      <c r="Q18" s="2" t="e">
        <v>#N/A</v>
      </c>
      <c r="R18" s="2">
        <v>2153.3330000000001</v>
      </c>
      <c r="S18" s="2">
        <v>25.517029999999998</v>
      </c>
      <c r="T18" s="2">
        <v>15.505800000000001</v>
      </c>
      <c r="U18" s="2">
        <v>15.306710000000001</v>
      </c>
      <c r="V18" s="2">
        <v>14.27224</v>
      </c>
      <c r="W18" s="2">
        <v>1.847688</v>
      </c>
      <c r="X18" s="2">
        <v>1.9772650000000001</v>
      </c>
      <c r="Y18" s="2">
        <v>1.956107</v>
      </c>
      <c r="Z18" s="2">
        <v>1.9625319999999999</v>
      </c>
      <c r="AA18" s="2">
        <v>25.114979999999999</v>
      </c>
      <c r="AB18" s="2">
        <v>18.115400000000001</v>
      </c>
      <c r="AC18" s="2">
        <v>15.835570000000001</v>
      </c>
      <c r="AD18" s="2">
        <v>14.328989999999999</v>
      </c>
      <c r="AE18" s="2">
        <v>-2.9552900000000002</v>
      </c>
      <c r="AF18" s="2">
        <v>1.4167909999999999</v>
      </c>
      <c r="AG18" s="2">
        <v>1.308848</v>
      </c>
      <c r="AH18" s="2">
        <v>-4.9922529999999998</v>
      </c>
      <c r="AI18" s="2">
        <v>2.3703560000000001</v>
      </c>
      <c r="AJ18" s="2">
        <v>2.190671</v>
      </c>
      <c r="AK18" s="3" t="e">
        <v>#N/A</v>
      </c>
      <c r="AL18" s="3" t="e">
        <v>#N/A</v>
      </c>
      <c r="AM18" s="2">
        <v>75.833529999999996</v>
      </c>
      <c r="AN18" s="2">
        <v>75.265119999999996</v>
      </c>
      <c r="AO18" s="2">
        <v>76.313109999999995</v>
      </c>
      <c r="AP18" s="2">
        <v>76.879750000000001</v>
      </c>
      <c r="AQ18" s="2">
        <v>7.4154010000000001</v>
      </c>
      <c r="AR18" s="2">
        <v>7.1873570000000004</v>
      </c>
      <c r="AS18" s="2">
        <v>6.1577010000000003</v>
      </c>
      <c r="AT18" s="2">
        <v>5.7450840000000003</v>
      </c>
      <c r="AU18" s="1" t="s">
        <v>5</v>
      </c>
      <c r="AV18" s="3">
        <v>1.232143</v>
      </c>
      <c r="AW18" s="3">
        <v>46.56</v>
      </c>
      <c r="AX18" s="2">
        <v>20.123850000000001</v>
      </c>
      <c r="AY18" s="2">
        <v>-2.4231189999999998</v>
      </c>
      <c r="AZ18" s="2">
        <v>2.33</v>
      </c>
      <c r="BA18" s="2">
        <v>-1.8734219999999999</v>
      </c>
      <c r="BB18" s="2">
        <v>25.35576</v>
      </c>
      <c r="BC18" s="3">
        <v>28.02</v>
      </c>
      <c r="BD18" s="2">
        <v>38.32976</v>
      </c>
      <c r="BE18" s="3">
        <v>46.55</v>
      </c>
      <c r="BF18" s="2">
        <v>-16.7347</v>
      </c>
      <c r="BG18" s="2" t="e">
        <v>#N/A</v>
      </c>
      <c r="BH18" s="2" t="e">
        <v>#N/A</v>
      </c>
      <c r="BI18" s="2" t="e">
        <v>#N/A</v>
      </c>
      <c r="BJ18" s="2" t="e">
        <v>#N/A</v>
      </c>
      <c r="BK18" s="2">
        <v>24</v>
      </c>
      <c r="BL18" s="2">
        <v>22</v>
      </c>
      <c r="BM18" s="4">
        <v>28</v>
      </c>
      <c r="BN18" s="4">
        <v>0</v>
      </c>
      <c r="BO18" s="4">
        <v>1</v>
      </c>
      <c r="BP18" s="4">
        <v>27</v>
      </c>
      <c r="BQ18" s="2">
        <v>0</v>
      </c>
      <c r="BR18" s="4">
        <v>23</v>
      </c>
      <c r="BS18" s="4">
        <v>0</v>
      </c>
      <c r="BT18" s="4">
        <v>28</v>
      </c>
      <c r="BU18" s="2">
        <v>82.142859999999999</v>
      </c>
      <c r="BV18" s="2">
        <v>8.6071799999999996</v>
      </c>
      <c r="BW18" s="2">
        <v>706.47540000000004</v>
      </c>
      <c r="BX18" s="3">
        <v>1.5715840000000001</v>
      </c>
      <c r="BY18" s="3">
        <v>0.22245409999999999</v>
      </c>
      <c r="BZ18" s="2">
        <v>0.30621199999999998</v>
      </c>
      <c r="CA18" s="3">
        <v>0.22245409999999999</v>
      </c>
      <c r="CB18" s="3">
        <v>-0.42754419999999999</v>
      </c>
      <c r="CC18" s="3">
        <v>-0.45144970000000001</v>
      </c>
      <c r="CD18" s="2">
        <v>5.5913449999999996</v>
      </c>
      <c r="CE18" s="3">
        <v>258.32679999999999</v>
      </c>
      <c r="CF18" s="3">
        <v>204.40479999999999</v>
      </c>
      <c r="CG18" s="2">
        <v>-20.873539999999998</v>
      </c>
      <c r="CH18" s="3">
        <v>52.13205</v>
      </c>
      <c r="CI18" s="2">
        <v>-10.688330000000001</v>
      </c>
      <c r="CJ18" s="3">
        <v>3479.7719999999999</v>
      </c>
      <c r="CK18" s="3">
        <v>3484.6759999999999</v>
      </c>
      <c r="CL18" s="2">
        <v>0.1409173</v>
      </c>
      <c r="CM18" s="3">
        <v>36.380000000000003</v>
      </c>
      <c r="CN18" s="3">
        <v>33.820790000000002</v>
      </c>
      <c r="CO18" s="3">
        <v>35.616149999999998</v>
      </c>
      <c r="CP18" s="2">
        <v>6.5420389999999999</v>
      </c>
      <c r="CQ18" s="2">
        <v>14.60408</v>
      </c>
      <c r="CR18" s="2">
        <v>8.8270189999999999</v>
      </c>
      <c r="CS18" s="2">
        <v>-7.0346890000000002</v>
      </c>
      <c r="CT18" s="2">
        <v>62.040010000000002</v>
      </c>
      <c r="CU18" s="3">
        <v>0.22656409999999999</v>
      </c>
      <c r="CV18" s="2">
        <v>-36.776040000000002</v>
      </c>
      <c r="CW18" s="2">
        <v>0.93790229999999997</v>
      </c>
      <c r="CX18" s="2">
        <v>-43.101700000000001</v>
      </c>
      <c r="CY18" s="2">
        <v>15.676769999999999</v>
      </c>
    </row>
    <row r="19" spans="1:103" ht="15" customHeight="1" x14ac:dyDescent="0.2">
      <c r="A19" s="1">
        <f t="shared" si="0"/>
        <v>13</v>
      </c>
      <c r="B19" s="1" t="s">
        <v>46</v>
      </c>
      <c r="C19" s="1" t="s">
        <v>45</v>
      </c>
      <c r="D19" s="1" t="s">
        <v>3</v>
      </c>
      <c r="E19" s="1" t="s">
        <v>4</v>
      </c>
      <c r="F19" s="2">
        <v>3071.6419999999998</v>
      </c>
      <c r="G19" s="2">
        <v>46.7607</v>
      </c>
      <c r="H19" s="2">
        <v>1436.3209999999999</v>
      </c>
      <c r="I19" s="3">
        <v>1.157</v>
      </c>
      <c r="J19" s="3">
        <v>-1.192093E-5</v>
      </c>
      <c r="K19" s="2">
        <v>4.3215219999999999</v>
      </c>
      <c r="L19" s="2">
        <v>6.0501300000000002</v>
      </c>
      <c r="M19" s="2">
        <v>6.871219</v>
      </c>
      <c r="N19" s="2">
        <v>7.7787379999999997</v>
      </c>
      <c r="O19" s="2">
        <v>12.20054</v>
      </c>
      <c r="P19" s="2">
        <v>7.7058010000000001</v>
      </c>
      <c r="Q19" s="2">
        <v>6.8058820000000004</v>
      </c>
      <c r="R19" s="2">
        <v>6.8058820000000004</v>
      </c>
      <c r="S19" s="2" t="e">
        <v>#N/A</v>
      </c>
      <c r="T19" s="2" t="e">
        <v>#N/A</v>
      </c>
      <c r="U19" s="2" t="e">
        <v>#N/A</v>
      </c>
      <c r="V19" s="2" t="e">
        <v>#N/A</v>
      </c>
      <c r="W19" s="2">
        <v>0.47613159999999999</v>
      </c>
      <c r="X19" s="2">
        <v>0.46279999999999999</v>
      </c>
      <c r="Y19" s="2">
        <v>0.4501945</v>
      </c>
      <c r="Z19" s="2">
        <v>0.43496240000000003</v>
      </c>
      <c r="AA19" s="2" t="e">
        <v>#N/A</v>
      </c>
      <c r="AB19" s="2" t="e">
        <v>#N/A</v>
      </c>
      <c r="AC19" s="2" t="e">
        <v>#N/A</v>
      </c>
      <c r="AD19" s="2" t="e">
        <v>#N/A</v>
      </c>
      <c r="AE19" s="2" t="e">
        <v>#N/A</v>
      </c>
      <c r="AF19" s="2" t="e">
        <v>#N/A</v>
      </c>
      <c r="AG19" s="2" t="e">
        <v>#N/A</v>
      </c>
      <c r="AH19" s="2" t="e">
        <v>#N/A</v>
      </c>
      <c r="AI19" s="2" t="e">
        <v>#N/A</v>
      </c>
      <c r="AJ19" s="2" t="e">
        <v>#N/A</v>
      </c>
      <c r="AK19" s="3">
        <v>0.3982134</v>
      </c>
      <c r="AL19" s="3">
        <v>0.35961949999999998</v>
      </c>
      <c r="AM19" s="2" t="e">
        <v>#N/A</v>
      </c>
      <c r="AN19" s="2" t="e">
        <v>#N/A</v>
      </c>
      <c r="AO19" s="2" t="e">
        <v>#N/A</v>
      </c>
      <c r="AP19" s="2" t="e">
        <v>#N/A</v>
      </c>
      <c r="AQ19" s="2" t="e">
        <v>#N/A</v>
      </c>
      <c r="AR19" s="2" t="e">
        <v>#N/A</v>
      </c>
      <c r="AS19" s="2" t="e">
        <v>#N/A</v>
      </c>
      <c r="AT19" s="2" t="e">
        <v>#N/A</v>
      </c>
      <c r="AU19" s="1" t="s">
        <v>5</v>
      </c>
      <c r="AV19" s="3">
        <v>1.3529409999999999</v>
      </c>
      <c r="AW19" s="3">
        <v>1.37</v>
      </c>
      <c r="AX19" s="2">
        <v>18.409680000000002</v>
      </c>
      <c r="AY19" s="2">
        <v>6.0058639999999999</v>
      </c>
      <c r="AZ19" s="2">
        <v>18</v>
      </c>
      <c r="BA19" s="2">
        <v>12.98827</v>
      </c>
      <c r="BB19" s="2">
        <v>12.22113</v>
      </c>
      <c r="BC19" s="3">
        <v>0.68700000000000006</v>
      </c>
      <c r="BD19" s="2">
        <v>68.413390000000007</v>
      </c>
      <c r="BE19" s="3">
        <v>1.2569999999999999</v>
      </c>
      <c r="BF19" s="2">
        <v>-7.9554499999999999</v>
      </c>
      <c r="BG19" s="2">
        <v>49.141950000000001</v>
      </c>
      <c r="BH19" s="2">
        <v>47.21848</v>
      </c>
      <c r="BI19" s="2">
        <v>48.141620000000003</v>
      </c>
      <c r="BJ19" s="2">
        <v>52.041310000000003</v>
      </c>
      <c r="BK19" s="2">
        <v>16</v>
      </c>
      <c r="BL19" s="2">
        <v>12</v>
      </c>
      <c r="BM19" s="4">
        <v>17</v>
      </c>
      <c r="BN19" s="4">
        <v>2</v>
      </c>
      <c r="BO19" s="4">
        <v>0</v>
      </c>
      <c r="BP19" s="4">
        <v>15</v>
      </c>
      <c r="BQ19" s="2">
        <v>11.764710000000001</v>
      </c>
      <c r="BR19" s="4">
        <v>12</v>
      </c>
      <c r="BS19" s="4">
        <v>1</v>
      </c>
      <c r="BT19" s="4">
        <v>17</v>
      </c>
      <c r="BU19" s="2">
        <v>70.588229999999996</v>
      </c>
      <c r="BV19" s="2">
        <v>13.1168</v>
      </c>
      <c r="BW19" s="2">
        <v>2654.8330000000001</v>
      </c>
      <c r="BX19" s="3">
        <v>5.1698009999999996</v>
      </c>
      <c r="BY19" s="3">
        <v>0.19473170000000001</v>
      </c>
      <c r="BZ19" s="2">
        <v>1.15299</v>
      </c>
      <c r="CA19" s="3">
        <v>0.19473170000000001</v>
      </c>
      <c r="CB19" s="3">
        <v>0.15249489999999999</v>
      </c>
      <c r="CC19" s="3">
        <v>0.15211920000000001</v>
      </c>
      <c r="CD19" s="2">
        <v>-0.24635199999999999</v>
      </c>
      <c r="CE19" s="3">
        <v>868.61059999999998</v>
      </c>
      <c r="CF19" s="3">
        <v>893.19150000000002</v>
      </c>
      <c r="CG19" s="2">
        <v>2.8299089999999998</v>
      </c>
      <c r="CH19" s="3">
        <v>1.3753329999999999</v>
      </c>
      <c r="CI19" s="2">
        <v>-0.38778190000000001</v>
      </c>
      <c r="CJ19" s="3">
        <v>1715.624</v>
      </c>
      <c r="CK19" s="3">
        <v>1745.6089999999999</v>
      </c>
      <c r="CL19" s="2">
        <v>1.7477990000000001</v>
      </c>
      <c r="CM19" s="3">
        <v>0.96277360000000001</v>
      </c>
      <c r="CN19" s="3">
        <v>1.1059220000000001</v>
      </c>
      <c r="CO19" s="3">
        <v>1.1775770000000001</v>
      </c>
      <c r="CP19" s="2">
        <v>20.17362</v>
      </c>
      <c r="CQ19" s="2">
        <v>4.6186210000000001</v>
      </c>
      <c r="CR19" s="2">
        <v>-1.7474000000000001</v>
      </c>
      <c r="CS19" s="2">
        <v>14.8683</v>
      </c>
      <c r="CT19" s="2">
        <v>7.9215200000000001</v>
      </c>
      <c r="CU19" s="3">
        <v>0.25789200000000001</v>
      </c>
      <c r="CV19" s="2">
        <v>-71.428569999999993</v>
      </c>
      <c r="CW19" s="2">
        <v>-5.2367689999999998</v>
      </c>
      <c r="CX19" s="2">
        <v>-7.7997670000000001</v>
      </c>
      <c r="CY19" s="2">
        <v>16.737369999999999</v>
      </c>
    </row>
    <row r="20" spans="1:103" ht="15" customHeight="1" x14ac:dyDescent="0.2">
      <c r="A20" s="1">
        <f t="shared" si="0"/>
        <v>14</v>
      </c>
      <c r="B20" s="1" t="s">
        <v>48</v>
      </c>
      <c r="C20" s="1" t="s">
        <v>47</v>
      </c>
      <c r="D20" s="1" t="s">
        <v>49</v>
      </c>
      <c r="E20" s="1" t="s">
        <v>50</v>
      </c>
      <c r="F20" s="2">
        <v>5788.973</v>
      </c>
      <c r="G20" s="2">
        <v>69.103999999999999</v>
      </c>
      <c r="H20" s="2">
        <v>4000.4119999999998</v>
      </c>
      <c r="I20" s="3">
        <v>13.585000000000001</v>
      </c>
      <c r="J20" s="3">
        <v>0</v>
      </c>
      <c r="K20" s="2">
        <v>2.6499809999999999</v>
      </c>
      <c r="L20" s="2">
        <v>0</v>
      </c>
      <c r="M20" s="2">
        <v>0</v>
      </c>
      <c r="N20" s="2">
        <v>0</v>
      </c>
      <c r="O20" s="2">
        <v>34.83334</v>
      </c>
      <c r="P20" s="2">
        <v>28.734449999999999</v>
      </c>
      <c r="Q20" s="2">
        <v>16.668710000000001</v>
      </c>
      <c r="R20" s="2">
        <v>12.9381</v>
      </c>
      <c r="S20" s="2">
        <v>16.695730000000001</v>
      </c>
      <c r="T20" s="2">
        <v>13.23793</v>
      </c>
      <c r="U20" s="2">
        <v>10.92587</v>
      </c>
      <c r="V20" s="2">
        <v>9.1495470000000001</v>
      </c>
      <c r="W20" s="2">
        <v>1.518697</v>
      </c>
      <c r="X20" s="2">
        <v>1.5833330000000001</v>
      </c>
      <c r="Y20" s="2">
        <v>1.440615</v>
      </c>
      <c r="Z20" s="2">
        <v>1.266667</v>
      </c>
      <c r="AA20" s="2">
        <v>16.875779999999999</v>
      </c>
      <c r="AB20" s="2">
        <v>27.23452</v>
      </c>
      <c r="AC20" s="2">
        <v>10.81195</v>
      </c>
      <c r="AD20" s="2">
        <v>8.7083340000000007</v>
      </c>
      <c r="AE20" s="2">
        <v>-3.1269439999999999</v>
      </c>
      <c r="AF20" s="2">
        <v>3.1102069999999999</v>
      </c>
      <c r="AG20" s="2">
        <v>4.9030899999999997</v>
      </c>
      <c r="AH20" s="2">
        <v>-8.3588789999999999</v>
      </c>
      <c r="AI20" s="2">
        <v>8.1642229999999998</v>
      </c>
      <c r="AJ20" s="2">
        <v>12.341340000000001</v>
      </c>
      <c r="AK20" s="3">
        <v>0.53280459999999996</v>
      </c>
      <c r="AL20" s="3">
        <v>0.31930819999999999</v>
      </c>
      <c r="AM20" s="2">
        <v>20.065090000000001</v>
      </c>
      <c r="AN20" s="2">
        <v>20.744140000000002</v>
      </c>
      <c r="AO20" s="2">
        <v>24.11571</v>
      </c>
      <c r="AP20" s="2">
        <v>25.55284</v>
      </c>
      <c r="AQ20" s="2">
        <v>6.7607499999999998</v>
      </c>
      <c r="AR20" s="2">
        <v>7.855626</v>
      </c>
      <c r="AS20" s="2">
        <v>5.846457</v>
      </c>
      <c r="AT20" s="2">
        <v>4.7392019999999997</v>
      </c>
      <c r="AU20" s="1" t="s">
        <v>5</v>
      </c>
      <c r="AV20" s="3">
        <v>1.4523809999999999</v>
      </c>
      <c r="AW20" s="3">
        <v>16.899999999999999</v>
      </c>
      <c r="AX20" s="2">
        <v>24.401910000000001</v>
      </c>
      <c r="AY20" s="2">
        <v>5.5102260000000003</v>
      </c>
      <c r="AZ20" s="2">
        <v>51.9</v>
      </c>
      <c r="BA20" s="2">
        <v>-6.3103439999999997</v>
      </c>
      <c r="BB20" s="2">
        <v>26.137409999999999</v>
      </c>
      <c r="BC20" s="3">
        <v>7.82</v>
      </c>
      <c r="BD20" s="2">
        <v>73.721230000000006</v>
      </c>
      <c r="BE20" s="3">
        <v>20.28</v>
      </c>
      <c r="BF20" s="2">
        <v>-33.012830000000001</v>
      </c>
      <c r="BG20" s="2">
        <v>55.47878</v>
      </c>
      <c r="BH20" s="2">
        <v>8.1420860000000008</v>
      </c>
      <c r="BI20" s="2">
        <v>9.9217049999999993</v>
      </c>
      <c r="BJ20" s="2">
        <v>14.66761</v>
      </c>
      <c r="BK20" s="2">
        <v>18</v>
      </c>
      <c r="BL20" s="2">
        <v>17</v>
      </c>
      <c r="BM20" s="4">
        <v>21</v>
      </c>
      <c r="BN20" s="4">
        <v>3</v>
      </c>
      <c r="BO20" s="4">
        <v>0</v>
      </c>
      <c r="BP20" s="4">
        <v>17</v>
      </c>
      <c r="BQ20" s="2">
        <v>15</v>
      </c>
      <c r="BR20" s="4">
        <v>13</v>
      </c>
      <c r="BS20" s="4">
        <v>2</v>
      </c>
      <c r="BT20" s="4">
        <v>21</v>
      </c>
      <c r="BU20" s="2">
        <v>61.904760000000003</v>
      </c>
      <c r="BV20" s="2">
        <v>10.276899999999999</v>
      </c>
      <c r="BW20" s="2">
        <v>426.12979999999999</v>
      </c>
      <c r="BX20" s="3">
        <v>1.370328</v>
      </c>
      <c r="BY20" s="3">
        <v>0.32157540000000001</v>
      </c>
      <c r="BZ20" s="2">
        <v>0.32657199999999997</v>
      </c>
      <c r="CA20" s="3">
        <v>0.32157540000000001</v>
      </c>
      <c r="CB20" s="3">
        <v>0.56625000000000003</v>
      </c>
      <c r="CC20" s="3">
        <v>0.49127460000000001</v>
      </c>
      <c r="CD20" s="2">
        <v>-13.2407</v>
      </c>
      <c r="CE20" s="3">
        <v>889.3261</v>
      </c>
      <c r="CF20" s="3">
        <v>857.5367</v>
      </c>
      <c r="CG20" s="2">
        <v>-3.5745499999999999</v>
      </c>
      <c r="CH20" s="3">
        <v>17.856870000000001</v>
      </c>
      <c r="CI20" s="2">
        <v>-5.3585770000000004</v>
      </c>
      <c r="CJ20" s="3">
        <v>5894.4570000000003</v>
      </c>
      <c r="CK20" s="3">
        <v>5927.2979999999998</v>
      </c>
      <c r="CL20" s="2">
        <v>0.5571604</v>
      </c>
      <c r="CM20" s="3">
        <v>13.1227</v>
      </c>
      <c r="CN20" s="3">
        <v>11.84369</v>
      </c>
      <c r="CO20" s="3">
        <v>12.80904</v>
      </c>
      <c r="CP20" s="2">
        <v>3.5229330000000001</v>
      </c>
      <c r="CQ20" s="2">
        <v>14.70246</v>
      </c>
      <c r="CR20" s="2">
        <v>6.0579419999999997</v>
      </c>
      <c r="CS20" s="2">
        <v>-9.7465519999999994</v>
      </c>
      <c r="CT20" s="2">
        <v>18.170570000000001</v>
      </c>
      <c r="CU20" s="3">
        <v>0.31388250000000001</v>
      </c>
      <c r="CV20" s="2" t="e">
        <v>#N/A</v>
      </c>
      <c r="CW20" s="2">
        <v>-0.57419359999999997</v>
      </c>
      <c r="CX20" s="2" t="e">
        <v>#N/A</v>
      </c>
      <c r="CY20" s="2">
        <v>17.151520000000001</v>
      </c>
    </row>
    <row r="21" spans="1:103" ht="15" customHeight="1" x14ac:dyDescent="0.2">
      <c r="A21" s="1">
        <f t="shared" si="0"/>
        <v>15</v>
      </c>
      <c r="B21" s="1" t="s">
        <v>52</v>
      </c>
      <c r="C21" s="1" t="s">
        <v>51</v>
      </c>
      <c r="D21" s="1" t="s">
        <v>53</v>
      </c>
      <c r="E21" s="1" t="s">
        <v>54</v>
      </c>
      <c r="F21" s="2">
        <v>2020.9259999999999</v>
      </c>
      <c r="G21" s="2">
        <v>69.329300000000003</v>
      </c>
      <c r="H21" s="2">
        <v>1401.0940000000001</v>
      </c>
      <c r="I21" s="3">
        <v>11.44</v>
      </c>
      <c r="J21" s="3">
        <v>0</v>
      </c>
      <c r="K21" s="2">
        <v>1.3111889999999999</v>
      </c>
      <c r="L21" s="2">
        <v>1.387675</v>
      </c>
      <c r="M21" s="2">
        <v>1.732772</v>
      </c>
      <c r="N21" s="2">
        <v>1.9667829999999999</v>
      </c>
      <c r="O21" s="2">
        <v>15.172409999999999</v>
      </c>
      <c r="P21" s="2">
        <v>11.53276</v>
      </c>
      <c r="Q21" s="2">
        <v>10.49553</v>
      </c>
      <c r="R21" s="2">
        <v>9.4156370000000003</v>
      </c>
      <c r="S21" s="2">
        <v>5.5064469999999996</v>
      </c>
      <c r="T21" s="2">
        <v>5.0655140000000003</v>
      </c>
      <c r="U21" s="2">
        <v>4.7844720000000001</v>
      </c>
      <c r="V21" s="2">
        <v>4.1046550000000002</v>
      </c>
      <c r="W21" s="2">
        <v>2.4655170000000002</v>
      </c>
      <c r="X21" s="2">
        <v>2.0649820000000001</v>
      </c>
      <c r="Y21" s="2">
        <v>1.8015749999999999</v>
      </c>
      <c r="Z21" s="2">
        <v>1.6112679999999999</v>
      </c>
      <c r="AA21" s="2">
        <v>8.4865239999999993</v>
      </c>
      <c r="AB21" s="2">
        <v>7.3925700000000001</v>
      </c>
      <c r="AC21" s="2">
        <v>6.7643209999999998</v>
      </c>
      <c r="AD21" s="2">
        <v>6.3623620000000001</v>
      </c>
      <c r="AE21" s="2">
        <v>8.9165670000000006</v>
      </c>
      <c r="AF21" s="2">
        <v>9.9215219999999995</v>
      </c>
      <c r="AG21" s="2">
        <v>11.65066</v>
      </c>
      <c r="AH21" s="2">
        <v>9.3656279999999992</v>
      </c>
      <c r="AI21" s="2">
        <v>9.7831080000000004</v>
      </c>
      <c r="AJ21" s="2">
        <v>10.601190000000001</v>
      </c>
      <c r="AK21" s="3">
        <v>1.6184270000000001</v>
      </c>
      <c r="AL21" s="3">
        <v>1.4916240000000001</v>
      </c>
      <c r="AM21" s="2">
        <v>10.294980000000001</v>
      </c>
      <c r="AN21" s="2">
        <v>10.39481</v>
      </c>
      <c r="AO21" s="2">
        <v>10.538740000000001</v>
      </c>
      <c r="AP21" s="2">
        <v>10.992520000000001</v>
      </c>
      <c r="AQ21" s="2">
        <v>0.68767909999999999</v>
      </c>
      <c r="AR21" s="2">
        <v>0.25997239999999999</v>
      </c>
      <c r="AS21" s="2">
        <v>-6.7692390000000005E-2</v>
      </c>
      <c r="AT21" s="2">
        <v>-0.40634150000000002</v>
      </c>
      <c r="AU21" s="1" t="s">
        <v>5</v>
      </c>
      <c r="AV21" s="3">
        <v>1.4666669999999999</v>
      </c>
      <c r="AW21" s="3">
        <v>12.49</v>
      </c>
      <c r="AX21" s="2">
        <v>9.1783289999999997</v>
      </c>
      <c r="AY21" s="2">
        <v>17.905349999999999</v>
      </c>
      <c r="AZ21" s="2">
        <v>7</v>
      </c>
      <c r="BA21" s="2">
        <v>26.199670000000001</v>
      </c>
      <c r="BB21" s="2">
        <v>7.4178459999999999</v>
      </c>
      <c r="BC21" s="3">
        <v>7.5149999999999997</v>
      </c>
      <c r="BD21" s="2">
        <v>52.228870000000001</v>
      </c>
      <c r="BE21" s="3">
        <v>11.63</v>
      </c>
      <c r="BF21" s="2">
        <v>-1.63371</v>
      </c>
      <c r="BG21" s="2">
        <v>13.888680000000001</v>
      </c>
      <c r="BH21" s="2">
        <v>18.909500000000001</v>
      </c>
      <c r="BI21" s="2">
        <v>22.035430000000002</v>
      </c>
      <c r="BJ21" s="2">
        <v>23.18919</v>
      </c>
      <c r="BK21" s="2">
        <v>10</v>
      </c>
      <c r="BL21" s="2">
        <v>9</v>
      </c>
      <c r="BM21" s="4">
        <v>15</v>
      </c>
      <c r="BN21" s="4">
        <v>1</v>
      </c>
      <c r="BO21" s="4">
        <v>0</v>
      </c>
      <c r="BP21" s="4">
        <v>14</v>
      </c>
      <c r="BQ21" s="2">
        <v>6.6666670000000003</v>
      </c>
      <c r="BR21" s="4">
        <v>9</v>
      </c>
      <c r="BS21" s="4">
        <v>1</v>
      </c>
      <c r="BT21" s="4">
        <v>15</v>
      </c>
      <c r="BU21" s="2">
        <v>60</v>
      </c>
      <c r="BV21" s="2">
        <v>10.672499999999999</v>
      </c>
      <c r="BW21" s="2">
        <v>176.65440000000001</v>
      </c>
      <c r="BX21" s="3">
        <v>0.81728350000000005</v>
      </c>
      <c r="BY21" s="3">
        <v>0.46264539999999998</v>
      </c>
      <c r="BZ21" s="2">
        <v>0.90750600000000003</v>
      </c>
      <c r="CA21" s="3">
        <v>0.46264539999999998</v>
      </c>
      <c r="CB21" s="3">
        <v>1.007234</v>
      </c>
      <c r="CC21" s="3">
        <v>1.0097989999999999</v>
      </c>
      <c r="CD21" s="2">
        <v>0.25464300000000001</v>
      </c>
      <c r="CE21" s="3">
        <v>301.70670000000001</v>
      </c>
      <c r="CF21" s="3">
        <v>300.04160000000002</v>
      </c>
      <c r="CG21" s="2">
        <v>-0.55188539999999997</v>
      </c>
      <c r="CH21" s="3">
        <v>12.18425</v>
      </c>
      <c r="CI21" s="2">
        <v>2.509344</v>
      </c>
      <c r="CJ21" s="3">
        <v>3731.2910000000002</v>
      </c>
      <c r="CK21" s="3">
        <v>3755.0259999999998</v>
      </c>
      <c r="CL21" s="2">
        <v>0.63611269999999998</v>
      </c>
      <c r="CM21" s="3">
        <v>9.5110679999999999</v>
      </c>
      <c r="CN21" s="3">
        <v>10.8849</v>
      </c>
      <c r="CO21" s="3">
        <v>11.216150000000001</v>
      </c>
      <c r="CP21" s="2">
        <v>20.280909999999999</v>
      </c>
      <c r="CQ21" s="2">
        <v>5.0997019999999997</v>
      </c>
      <c r="CR21" s="2">
        <v>1.9957419999999999</v>
      </c>
      <c r="CS21" s="2">
        <v>14.44458</v>
      </c>
      <c r="CT21" s="2">
        <v>5.3988569999999996</v>
      </c>
      <c r="CU21" s="3">
        <v>0.26714759999999999</v>
      </c>
      <c r="CV21" s="2" t="e">
        <v>#N/A</v>
      </c>
      <c r="CW21" s="2" t="e">
        <v>#N/A</v>
      </c>
      <c r="CX21" s="2" t="e">
        <v>#N/A</v>
      </c>
      <c r="CY21" s="2">
        <v>17.454550000000001</v>
      </c>
    </row>
    <row r="22" spans="1:103" ht="15" customHeight="1" x14ac:dyDescent="0.2">
      <c r="A22" s="1">
        <f t="shared" si="0"/>
        <v>16</v>
      </c>
      <c r="B22" s="1" t="s">
        <v>56</v>
      </c>
      <c r="C22" s="1" t="s">
        <v>55</v>
      </c>
      <c r="D22" s="1" t="s">
        <v>18</v>
      </c>
      <c r="E22" s="1" t="s">
        <v>57</v>
      </c>
      <c r="F22" s="2">
        <v>21232.5</v>
      </c>
      <c r="G22" s="2">
        <v>48.9373</v>
      </c>
      <c r="H22" s="2">
        <v>10390.61</v>
      </c>
      <c r="I22" s="3">
        <v>141.55000000000001</v>
      </c>
      <c r="J22" s="3">
        <v>0</v>
      </c>
      <c r="K22" s="2">
        <v>0</v>
      </c>
      <c r="L22" s="2">
        <v>3.0554570000000001</v>
      </c>
      <c r="M22" s="2">
        <v>3.9856410000000002</v>
      </c>
      <c r="N22" s="2">
        <v>5.0124209999999998</v>
      </c>
      <c r="O22" s="2" t="e">
        <v>#N/A</v>
      </c>
      <c r="P22" s="2">
        <v>33.863639999999997</v>
      </c>
      <c r="Q22" s="2">
        <v>21.77692</v>
      </c>
      <c r="R22" s="2">
        <v>15.77159</v>
      </c>
      <c r="S22" s="2">
        <v>37.976730000000003</v>
      </c>
      <c r="T22" s="2">
        <v>14.029960000000001</v>
      </c>
      <c r="U22" s="2">
        <v>12.636620000000001</v>
      </c>
      <c r="V22" s="2">
        <v>10.09089</v>
      </c>
      <c r="W22" s="2">
        <v>3.4804529999999998</v>
      </c>
      <c r="X22" s="2">
        <v>3.1425860000000001</v>
      </c>
      <c r="Y22" s="2">
        <v>3.0323869999999999</v>
      </c>
      <c r="Z22" s="2">
        <v>2.7820360000000002</v>
      </c>
      <c r="AA22" s="2">
        <v>73.341970000000003</v>
      </c>
      <c r="AB22" s="2">
        <v>13.45532</v>
      </c>
      <c r="AC22" s="2">
        <v>12.00018</v>
      </c>
      <c r="AD22" s="2">
        <v>10.150259999999999</v>
      </c>
      <c r="AE22" s="2">
        <v>3.1186370000000001</v>
      </c>
      <c r="AF22" s="2">
        <v>4.8650539999999998</v>
      </c>
      <c r="AG22" s="2">
        <v>5.3852039999999999</v>
      </c>
      <c r="AH22" s="2">
        <v>4.0682179999999999</v>
      </c>
      <c r="AI22" s="2">
        <v>6.2876050000000001</v>
      </c>
      <c r="AJ22" s="2">
        <v>6.82836</v>
      </c>
      <c r="AK22" s="3">
        <v>32.145310000000002</v>
      </c>
      <c r="AL22" s="3">
        <v>21.941659999999999</v>
      </c>
      <c r="AM22" s="2">
        <v>32.098410000000001</v>
      </c>
      <c r="AN22" s="2">
        <v>44.866329999999998</v>
      </c>
      <c r="AO22" s="2">
        <v>50.652230000000003</v>
      </c>
      <c r="AP22" s="2">
        <v>54.382390000000001</v>
      </c>
      <c r="AQ22" s="2">
        <v>10.004060000000001</v>
      </c>
      <c r="AR22" s="2">
        <v>3.7698969999999998</v>
      </c>
      <c r="AS22" s="2">
        <v>2.858997</v>
      </c>
      <c r="AT22" s="2">
        <v>2.1326839999999998</v>
      </c>
      <c r="AU22" s="1" t="s">
        <v>12</v>
      </c>
      <c r="AV22" s="3">
        <v>1.58</v>
      </c>
      <c r="AW22" s="3">
        <v>142</v>
      </c>
      <c r="AX22" s="2">
        <v>0.3179073</v>
      </c>
      <c r="AY22" s="2">
        <v>9.2801179999999999</v>
      </c>
      <c r="AZ22" s="2">
        <v>1</v>
      </c>
      <c r="BA22" s="2">
        <v>-7.8750369999999998</v>
      </c>
      <c r="BB22" s="2">
        <v>20.673490000000001</v>
      </c>
      <c r="BC22" s="3">
        <v>102.05</v>
      </c>
      <c r="BD22" s="2">
        <v>38.706519999999998</v>
      </c>
      <c r="BE22" s="3">
        <v>155.9</v>
      </c>
      <c r="BF22" s="2">
        <v>-9.2046150000000004</v>
      </c>
      <c r="BG22" s="2" t="e">
        <v>#N/A</v>
      </c>
      <c r="BH22" s="2">
        <v>94.5381</v>
      </c>
      <c r="BI22" s="2">
        <v>85.633099999999999</v>
      </c>
      <c r="BJ22" s="2">
        <v>80.3904</v>
      </c>
      <c r="BK22" s="2">
        <v>23</v>
      </c>
      <c r="BL22" s="2">
        <v>21</v>
      </c>
      <c r="BM22" s="4">
        <v>25</v>
      </c>
      <c r="BN22" s="4">
        <v>2</v>
      </c>
      <c r="BO22" s="4">
        <v>1</v>
      </c>
      <c r="BP22" s="4">
        <v>21</v>
      </c>
      <c r="BQ22" s="2">
        <v>8.3333340000000007</v>
      </c>
      <c r="BR22" s="4">
        <v>13</v>
      </c>
      <c r="BS22" s="4">
        <v>2</v>
      </c>
      <c r="BT22" s="4">
        <v>25</v>
      </c>
      <c r="BU22" s="2">
        <v>52</v>
      </c>
      <c r="BV22" s="2">
        <v>10.2987</v>
      </c>
      <c r="BW22" s="2">
        <v>150</v>
      </c>
      <c r="BX22" s="3">
        <v>0.1628368</v>
      </c>
      <c r="BY22" s="3">
        <v>0.1085578</v>
      </c>
      <c r="BZ22" s="2">
        <v>1.14839</v>
      </c>
      <c r="CA22" s="3">
        <v>0.1085578</v>
      </c>
      <c r="CB22" s="3">
        <v>4.2173879999999997</v>
      </c>
      <c r="CC22" s="3">
        <v>4.4034420000000001</v>
      </c>
      <c r="CD22" s="2">
        <v>4.4116140000000001</v>
      </c>
      <c r="CE22" s="3">
        <v>880.21040000000005</v>
      </c>
      <c r="CF22" s="3">
        <v>911.22270000000003</v>
      </c>
      <c r="CG22" s="2">
        <v>3.5232779999999999</v>
      </c>
      <c r="CH22" s="3">
        <v>138.5925</v>
      </c>
      <c r="CI22" s="2">
        <v>2.4586440000000001</v>
      </c>
      <c r="CJ22" s="3">
        <v>3749.1950000000002</v>
      </c>
      <c r="CK22" s="3">
        <v>3795.4690000000001</v>
      </c>
      <c r="CL22" s="2">
        <v>1.234221</v>
      </c>
      <c r="CM22" s="3">
        <v>124.9906</v>
      </c>
      <c r="CN22" s="3">
        <v>130.68819999999999</v>
      </c>
      <c r="CO22" s="3">
        <v>138.16919999999999</v>
      </c>
      <c r="CP22" s="2">
        <v>13.24854</v>
      </c>
      <c r="CQ22" s="2">
        <v>8.3111999999999995</v>
      </c>
      <c r="CR22" s="2">
        <v>2.4468299999999998</v>
      </c>
      <c r="CS22" s="2">
        <v>4.5584800000000003</v>
      </c>
      <c r="CT22" s="2">
        <v>18.294899999999998</v>
      </c>
      <c r="CU22" s="3">
        <v>8.6164599999999994E-2</v>
      </c>
      <c r="CV22" s="2">
        <v>335.39440000000002</v>
      </c>
      <c r="CW22" s="2">
        <v>-4.4156719999999998</v>
      </c>
      <c r="CX22" s="2">
        <v>-48.4375</v>
      </c>
      <c r="CY22" s="2">
        <v>17.494949999999999</v>
      </c>
    </row>
    <row r="23" spans="1:103" ht="15" customHeight="1" x14ac:dyDescent="0.2">
      <c r="A23" s="1">
        <f t="shared" si="0"/>
        <v>17</v>
      </c>
      <c r="B23" s="1" t="s">
        <v>59</v>
      </c>
      <c r="C23" s="1" t="s">
        <v>58</v>
      </c>
      <c r="D23" s="1" t="s">
        <v>49</v>
      </c>
      <c r="E23" s="1" t="s">
        <v>50</v>
      </c>
      <c r="F23" s="2">
        <v>2207.1</v>
      </c>
      <c r="G23" s="2">
        <v>38.3628</v>
      </c>
      <c r="H23" s="2">
        <v>846.70540000000005</v>
      </c>
      <c r="I23" s="3">
        <v>40.86</v>
      </c>
      <c r="J23" s="3">
        <v>0</v>
      </c>
      <c r="K23" s="2">
        <v>2.3494860000000002</v>
      </c>
      <c r="L23" s="2">
        <v>2.6554090000000001</v>
      </c>
      <c r="M23" s="2">
        <v>2.1012420000000001</v>
      </c>
      <c r="N23" s="2">
        <v>2.530592</v>
      </c>
      <c r="O23" s="2">
        <v>14.967029999999999</v>
      </c>
      <c r="P23" s="2">
        <v>12.59168</v>
      </c>
      <c r="Q23" s="2">
        <v>17.424309999999998</v>
      </c>
      <c r="R23" s="2">
        <v>14.5151</v>
      </c>
      <c r="S23" s="2">
        <v>20.255610000000001</v>
      </c>
      <c r="T23" s="2">
        <v>7.7472469999999998</v>
      </c>
      <c r="U23" s="2">
        <v>11.766859999999999</v>
      </c>
      <c r="V23" s="2">
        <v>9.1256920000000008</v>
      </c>
      <c r="W23" s="2">
        <v>4.8240850000000002</v>
      </c>
      <c r="X23" s="2">
        <v>4.5550889999999997</v>
      </c>
      <c r="Y23" s="2">
        <v>4.0758109999999999</v>
      </c>
      <c r="Z23" s="2">
        <v>3.4078400000000002</v>
      </c>
      <c r="AA23" s="2">
        <v>12.90765</v>
      </c>
      <c r="AB23" s="2">
        <v>11.1844</v>
      </c>
      <c r="AC23" s="2">
        <v>16.52075</v>
      </c>
      <c r="AD23" s="2">
        <v>11.97194</v>
      </c>
      <c r="AE23" s="2">
        <v>6.4022110000000003</v>
      </c>
      <c r="AF23" s="2">
        <v>6.0854359999999996</v>
      </c>
      <c r="AG23" s="2">
        <v>7.2498849999999999</v>
      </c>
      <c r="AH23" s="2">
        <v>6.2803800000000001</v>
      </c>
      <c r="AI23" s="2">
        <v>5.7923450000000001</v>
      </c>
      <c r="AJ23" s="2">
        <v>6.5108050000000004</v>
      </c>
      <c r="AK23" s="3" t="e">
        <v>#N/A</v>
      </c>
      <c r="AL23" s="3" t="e">
        <v>#N/A</v>
      </c>
      <c r="AM23" s="2">
        <v>31.278890000000001</v>
      </c>
      <c r="AN23" s="2">
        <v>31.099869999999999</v>
      </c>
      <c r="AO23" s="2">
        <v>25.370950000000001</v>
      </c>
      <c r="AP23" s="2">
        <v>28.112870000000001</v>
      </c>
      <c r="AQ23" s="2">
        <v>-0.12807879999999999</v>
      </c>
      <c r="AR23" s="2">
        <v>-0.17073169999999999</v>
      </c>
      <c r="AS23" s="2">
        <v>-0.59540029999999999</v>
      </c>
      <c r="AT23" s="2">
        <v>-1.0359119999999999</v>
      </c>
      <c r="AU23" s="1" t="s">
        <v>5</v>
      </c>
      <c r="AV23" s="3">
        <v>1.3</v>
      </c>
      <c r="AW23" s="3">
        <v>55.8</v>
      </c>
      <c r="AX23" s="2">
        <v>36.563870000000001</v>
      </c>
      <c r="AY23" s="2">
        <v>36.17539</v>
      </c>
      <c r="AZ23" s="2">
        <v>-1.5</v>
      </c>
      <c r="BA23" s="2">
        <v>-39.376849999999997</v>
      </c>
      <c r="BB23" s="2">
        <v>13.31115</v>
      </c>
      <c r="BC23" s="3">
        <v>35.200000000000003</v>
      </c>
      <c r="BD23" s="2">
        <v>16.079540000000001</v>
      </c>
      <c r="BE23" s="3">
        <v>74.900000000000006</v>
      </c>
      <c r="BF23" s="2">
        <v>-45.447270000000003</v>
      </c>
      <c r="BG23" s="2">
        <v>30.89507</v>
      </c>
      <c r="BH23" s="2">
        <v>33.321660000000001</v>
      </c>
      <c r="BI23" s="2">
        <v>36.600059999999999</v>
      </c>
      <c r="BJ23" s="2">
        <v>34.433529999999998</v>
      </c>
      <c r="BK23" s="2">
        <v>8</v>
      </c>
      <c r="BL23" s="2">
        <v>9</v>
      </c>
      <c r="BM23" s="4">
        <v>10</v>
      </c>
      <c r="BN23" s="4">
        <v>0</v>
      </c>
      <c r="BO23" s="4">
        <v>2</v>
      </c>
      <c r="BP23" s="4">
        <v>9</v>
      </c>
      <c r="BQ23" s="2">
        <v>0</v>
      </c>
      <c r="BR23" s="4">
        <v>7</v>
      </c>
      <c r="BS23" s="4">
        <v>0</v>
      </c>
      <c r="BT23" s="4">
        <v>10</v>
      </c>
      <c r="BU23" s="2">
        <v>70</v>
      </c>
      <c r="BV23" s="2">
        <v>10.5662</v>
      </c>
      <c r="BW23" s="2">
        <v>54.016159999999999</v>
      </c>
      <c r="BX23" s="3">
        <v>0.17302709999999999</v>
      </c>
      <c r="BY23" s="3">
        <v>0.32032480000000002</v>
      </c>
      <c r="BZ23" s="2">
        <v>0.62268500000000004</v>
      </c>
      <c r="CA23" s="3">
        <v>0.32032480000000002</v>
      </c>
      <c r="CB23" s="3">
        <v>3.1495519999999999</v>
      </c>
      <c r="CC23" s="3">
        <v>3.2684890000000002</v>
      </c>
      <c r="CD23" s="2">
        <v>3.7763119999999999</v>
      </c>
      <c r="CE23" s="3">
        <v>214.96430000000001</v>
      </c>
      <c r="CF23" s="3">
        <v>225.31899999999999</v>
      </c>
      <c r="CG23" s="2">
        <v>4.8169370000000002</v>
      </c>
      <c r="CH23" s="3">
        <v>65.08</v>
      </c>
      <c r="CI23" s="2">
        <v>-14.259370000000001</v>
      </c>
      <c r="CJ23" s="3">
        <v>778.84</v>
      </c>
      <c r="CK23" s="3">
        <v>791.99959999999999</v>
      </c>
      <c r="CL23" s="2">
        <v>1.6896370000000001</v>
      </c>
      <c r="CM23" s="3">
        <v>46.944589999999998</v>
      </c>
      <c r="CN23" s="3">
        <v>37.6004</v>
      </c>
      <c r="CO23" s="3">
        <v>38.613079999999997</v>
      </c>
      <c r="CP23" s="2">
        <v>-12.961209999999999</v>
      </c>
      <c r="CQ23" s="2">
        <v>8.6690660000000008</v>
      </c>
      <c r="CR23" s="2">
        <v>5.8190819999999999</v>
      </c>
      <c r="CS23" s="2">
        <v>-19.904730000000001</v>
      </c>
      <c r="CT23" s="2">
        <v>8.7808410000000006</v>
      </c>
      <c r="CU23" s="3">
        <v>0.39784510000000001</v>
      </c>
      <c r="CV23" s="2" t="e">
        <v>#N/A</v>
      </c>
      <c r="CW23" s="2">
        <v>2.2142119999999998</v>
      </c>
      <c r="CX23" s="2">
        <v>1.0042489999999999</v>
      </c>
      <c r="CY23" s="2">
        <v>17.505050000000001</v>
      </c>
    </row>
    <row r="24" spans="1:103" ht="15" customHeight="1" x14ac:dyDescent="0.2">
      <c r="A24" s="1">
        <f t="shared" si="0"/>
        <v>18</v>
      </c>
      <c r="B24" s="1" t="s">
        <v>61</v>
      </c>
      <c r="C24" s="1" t="s">
        <v>60</v>
      </c>
      <c r="D24" s="1" t="s">
        <v>22</v>
      </c>
      <c r="E24" s="1" t="s">
        <v>23</v>
      </c>
      <c r="F24" s="2">
        <v>19939.22</v>
      </c>
      <c r="G24" s="2">
        <v>66.382300000000001</v>
      </c>
      <c r="H24" s="2">
        <v>13236.11</v>
      </c>
      <c r="I24" s="3">
        <v>27.41</v>
      </c>
      <c r="J24" s="3">
        <v>0</v>
      </c>
      <c r="K24" s="2">
        <v>1.860635</v>
      </c>
      <c r="L24" s="2">
        <v>2.626779</v>
      </c>
      <c r="M24" s="2">
        <v>2.663262</v>
      </c>
      <c r="N24" s="2">
        <v>2.7768060000000001</v>
      </c>
      <c r="O24" s="2">
        <v>16.760480000000001</v>
      </c>
      <c r="P24" s="2">
        <v>101.5185</v>
      </c>
      <c r="Q24" s="2">
        <v>65.26191</v>
      </c>
      <c r="R24" s="2">
        <v>45.305779999999999</v>
      </c>
      <c r="S24" s="2">
        <v>41.459870000000002</v>
      </c>
      <c r="T24" s="2">
        <v>32.320450000000001</v>
      </c>
      <c r="U24" s="2">
        <v>27.044989999999999</v>
      </c>
      <c r="V24" s="2">
        <v>23.970610000000001</v>
      </c>
      <c r="W24" s="2">
        <v>4.9836359999999997</v>
      </c>
      <c r="X24" s="2">
        <v>5.2813100000000004</v>
      </c>
      <c r="Y24" s="2">
        <v>5.6430369999999996</v>
      </c>
      <c r="Z24" s="2">
        <v>5.7509030000000001</v>
      </c>
      <c r="AA24" s="2">
        <v>24.948740000000001</v>
      </c>
      <c r="AB24" s="2">
        <v>44.253480000000003</v>
      </c>
      <c r="AC24" s="2">
        <v>28.968520000000002</v>
      </c>
      <c r="AD24" s="2">
        <v>25.02638</v>
      </c>
      <c r="AE24" s="2">
        <v>-0.91816319999999996</v>
      </c>
      <c r="AF24" s="2">
        <v>1.51518</v>
      </c>
      <c r="AG24" s="2">
        <v>1.7564770000000001</v>
      </c>
      <c r="AH24" s="2">
        <v>-1.1752640000000001</v>
      </c>
      <c r="AI24" s="2">
        <v>1.96061</v>
      </c>
      <c r="AJ24" s="2">
        <v>2.2986490000000002</v>
      </c>
      <c r="AK24" s="3">
        <v>29.701920000000001</v>
      </c>
      <c r="AL24" s="3">
        <v>16.63945</v>
      </c>
      <c r="AM24" s="2">
        <v>8.7931550000000005</v>
      </c>
      <c r="AN24" s="2">
        <v>9.8332999999999995</v>
      </c>
      <c r="AO24" s="2">
        <v>12.6402</v>
      </c>
      <c r="AP24" s="2">
        <v>14.010009999999999</v>
      </c>
      <c r="AQ24" s="2">
        <v>7.5369130000000002</v>
      </c>
      <c r="AR24" s="2">
        <v>7.7170860000000001</v>
      </c>
      <c r="AS24" s="2">
        <v>6.1443399999999997</v>
      </c>
      <c r="AT24" s="2">
        <v>5.6538459999999997</v>
      </c>
      <c r="AU24" s="1" t="s">
        <v>12</v>
      </c>
      <c r="AV24" s="3">
        <v>1.62</v>
      </c>
      <c r="AW24" s="3">
        <v>29</v>
      </c>
      <c r="AX24" s="2">
        <v>5.8008069999999998</v>
      </c>
      <c r="AY24" s="2">
        <v>5.202312</v>
      </c>
      <c r="AZ24" s="2">
        <v>-13.598280000000001</v>
      </c>
      <c r="BA24" s="2">
        <v>11.28706</v>
      </c>
      <c r="BB24" s="2">
        <v>12.014710000000001</v>
      </c>
      <c r="BC24" s="3">
        <v>22.19</v>
      </c>
      <c r="BD24" s="2">
        <v>23.52411</v>
      </c>
      <c r="BE24" s="3">
        <v>27.79</v>
      </c>
      <c r="BF24" s="2">
        <v>-1.367402</v>
      </c>
      <c r="BG24" s="2">
        <v>35.689219999999999</v>
      </c>
      <c r="BH24" s="2">
        <v>290.44119999999998</v>
      </c>
      <c r="BI24" s="2">
        <v>169.9564</v>
      </c>
      <c r="BJ24" s="2">
        <v>122.584</v>
      </c>
      <c r="BK24" s="2">
        <v>21</v>
      </c>
      <c r="BL24" s="2">
        <v>18</v>
      </c>
      <c r="BM24" s="4">
        <v>25</v>
      </c>
      <c r="BN24" s="4">
        <v>3</v>
      </c>
      <c r="BO24" s="4">
        <v>0</v>
      </c>
      <c r="BP24" s="4">
        <v>22</v>
      </c>
      <c r="BQ24" s="2">
        <v>12</v>
      </c>
      <c r="BR24" s="4">
        <v>13</v>
      </c>
      <c r="BS24" s="4">
        <v>3</v>
      </c>
      <c r="BT24" s="4">
        <v>25</v>
      </c>
      <c r="BU24" s="2">
        <v>52</v>
      </c>
      <c r="BV24" s="2">
        <v>8.4261099999999995</v>
      </c>
      <c r="BW24" s="2">
        <v>727.44320000000005</v>
      </c>
      <c r="BX24" s="3">
        <v>1.1732119999999999</v>
      </c>
      <c r="BY24" s="3">
        <v>0.1612789</v>
      </c>
      <c r="BZ24" s="2">
        <v>0.95884499999999995</v>
      </c>
      <c r="CA24" s="3">
        <v>0.1612789</v>
      </c>
      <c r="CB24" s="3">
        <v>0.23863619999999999</v>
      </c>
      <c r="CC24" s="3">
        <v>0.242815</v>
      </c>
      <c r="CD24" s="2">
        <v>1.751125</v>
      </c>
      <c r="CE24" s="3">
        <v>427.0634</v>
      </c>
      <c r="CF24" s="3">
        <v>419.53070000000002</v>
      </c>
      <c r="CG24" s="2">
        <v>-1.7638389999999999</v>
      </c>
      <c r="CH24" s="3">
        <v>27.773150000000001</v>
      </c>
      <c r="CI24" s="2">
        <v>4.4173960000000001</v>
      </c>
      <c r="CJ24" s="3">
        <v>7241.7259999999997</v>
      </c>
      <c r="CK24" s="3">
        <v>7340.0460000000003</v>
      </c>
      <c r="CL24" s="2">
        <v>1.3576870000000001</v>
      </c>
      <c r="CM24" s="3">
        <v>25.043880000000001</v>
      </c>
      <c r="CN24" s="3">
        <v>25.972159999999999</v>
      </c>
      <c r="CO24" s="3">
        <v>26.943460000000002</v>
      </c>
      <c r="CP24" s="2">
        <v>9.4478720000000003</v>
      </c>
      <c r="CQ24" s="2">
        <v>5.5360909999999999</v>
      </c>
      <c r="CR24" s="2">
        <v>1.7315389999999999</v>
      </c>
      <c r="CS24" s="2">
        <v>3.7065860000000002</v>
      </c>
      <c r="CT24" s="2">
        <v>28.134180000000001</v>
      </c>
      <c r="CU24" s="3">
        <v>0.14109969999999999</v>
      </c>
      <c r="CV24" s="2">
        <v>290</v>
      </c>
      <c r="CW24" s="2">
        <v>0.54122749999999997</v>
      </c>
      <c r="CX24" s="2">
        <v>1.1494249999999999</v>
      </c>
      <c r="CY24" s="2">
        <v>18.131309999999999</v>
      </c>
    </row>
    <row r="25" spans="1:103" ht="15" customHeight="1" x14ac:dyDescent="0.2">
      <c r="A25" s="1">
        <f t="shared" si="0"/>
        <v>19</v>
      </c>
      <c r="B25" s="1" t="s">
        <v>63</v>
      </c>
      <c r="C25" s="1" t="s">
        <v>62</v>
      </c>
      <c r="D25" s="1" t="s">
        <v>43</v>
      </c>
      <c r="E25" s="1" t="s">
        <v>44</v>
      </c>
      <c r="F25" s="2">
        <v>21374.16</v>
      </c>
      <c r="G25" s="2">
        <v>88.776700000000005</v>
      </c>
      <c r="H25" s="2">
        <v>18975.27</v>
      </c>
      <c r="I25" s="3">
        <v>3.7010000000000001</v>
      </c>
      <c r="J25" s="3">
        <v>0</v>
      </c>
      <c r="K25" s="2">
        <v>8.1059180000000008</v>
      </c>
      <c r="L25" s="2">
        <v>8.1059180000000008</v>
      </c>
      <c r="M25" s="2">
        <v>8.1059180000000008</v>
      </c>
      <c r="N25" s="2">
        <v>8.1059180000000008</v>
      </c>
      <c r="O25" s="2">
        <v>8.8119049999999994</v>
      </c>
      <c r="P25" s="2">
        <v>11.21515</v>
      </c>
      <c r="Q25" s="2">
        <v>12.33667</v>
      </c>
      <c r="R25" s="2">
        <v>11.93871</v>
      </c>
      <c r="S25" s="2">
        <v>2.5641579999999999</v>
      </c>
      <c r="T25" s="2">
        <v>4.1758470000000001</v>
      </c>
      <c r="U25" s="2">
        <v>4.272958</v>
      </c>
      <c r="V25" s="2">
        <v>4.1960139999999999</v>
      </c>
      <c r="W25" s="2">
        <v>0.95420660000000002</v>
      </c>
      <c r="X25" s="2">
        <v>0.83530380000000004</v>
      </c>
      <c r="Y25" s="2">
        <v>0.84466810000000003</v>
      </c>
      <c r="Z25" s="2">
        <v>0.87417650000000002</v>
      </c>
      <c r="AA25" s="2">
        <v>2.0149189999999999</v>
      </c>
      <c r="AB25" s="2">
        <v>1.982656</v>
      </c>
      <c r="AC25" s="2">
        <v>2.054017</v>
      </c>
      <c r="AD25" s="2">
        <v>1.9942679999999999</v>
      </c>
      <c r="AE25" s="2">
        <v>7.3457569999999999</v>
      </c>
      <c r="AF25" s="2">
        <v>6.1999700000000004</v>
      </c>
      <c r="AG25" s="2">
        <v>6.4192070000000001</v>
      </c>
      <c r="AH25" s="2">
        <v>19.15476</v>
      </c>
      <c r="AI25" s="2">
        <v>15.988619999999999</v>
      </c>
      <c r="AJ25" s="2">
        <v>16.405629999999999</v>
      </c>
      <c r="AK25" s="3" t="e">
        <v>#N/A</v>
      </c>
      <c r="AL25" s="3" t="e">
        <v>#N/A</v>
      </c>
      <c r="AM25" s="2">
        <v>55.969140000000003</v>
      </c>
      <c r="AN25" s="2">
        <v>32.240029999999997</v>
      </c>
      <c r="AO25" s="2">
        <v>32.201520000000002</v>
      </c>
      <c r="AP25" s="2">
        <v>32.227429999999998</v>
      </c>
      <c r="AQ25" s="2">
        <v>1.551517</v>
      </c>
      <c r="AR25" s="2">
        <v>2.6615799999999998</v>
      </c>
      <c r="AS25" s="2">
        <v>2.6160169999999998</v>
      </c>
      <c r="AT25" s="2">
        <v>2.554195</v>
      </c>
      <c r="AU25" s="1" t="s">
        <v>64</v>
      </c>
      <c r="AV25" s="3">
        <v>1.678571</v>
      </c>
      <c r="AW25" s="3">
        <v>4.2</v>
      </c>
      <c r="AX25" s="2">
        <v>13.48283</v>
      </c>
      <c r="AY25" s="2">
        <v>7.4479949999999997</v>
      </c>
      <c r="AZ25" s="2">
        <v>-10</v>
      </c>
      <c r="BA25" s="2">
        <v>-16.134150000000002</v>
      </c>
      <c r="BB25" s="2">
        <v>9.3353029999999997</v>
      </c>
      <c r="BC25" s="3">
        <v>3.218</v>
      </c>
      <c r="BD25" s="2">
        <v>15.009320000000001</v>
      </c>
      <c r="BE25" s="3">
        <v>5.0640000000000001</v>
      </c>
      <c r="BF25" s="2">
        <v>-26.915489999999998</v>
      </c>
      <c r="BG25" s="2">
        <v>72.089939999999999</v>
      </c>
      <c r="BH25" s="2">
        <v>90.703670000000002</v>
      </c>
      <c r="BI25" s="2">
        <v>100.3342</v>
      </c>
      <c r="BJ25" s="2">
        <v>94.383369999999999</v>
      </c>
      <c r="BK25" s="2">
        <v>22</v>
      </c>
      <c r="BL25" s="2">
        <v>19</v>
      </c>
      <c r="BM25" s="4">
        <v>28</v>
      </c>
      <c r="BN25" s="4">
        <v>4</v>
      </c>
      <c r="BO25" s="4">
        <v>0</v>
      </c>
      <c r="BP25" s="4">
        <v>24</v>
      </c>
      <c r="BQ25" s="2">
        <v>14.28572</v>
      </c>
      <c r="BR25" s="4">
        <v>14</v>
      </c>
      <c r="BS25" s="4">
        <v>5</v>
      </c>
      <c r="BT25" s="4">
        <v>28</v>
      </c>
      <c r="BU25" s="2">
        <v>50</v>
      </c>
      <c r="BV25" s="2">
        <v>9.5603400000000001</v>
      </c>
      <c r="BW25" s="2">
        <v>5775.2380000000003</v>
      </c>
      <c r="BX25" s="3">
        <v>17.629429999999999</v>
      </c>
      <c r="BY25" s="3">
        <v>0.3052589</v>
      </c>
      <c r="BZ25" s="2">
        <v>0.94568200000000002</v>
      </c>
      <c r="CA25" s="3">
        <v>0.3052589</v>
      </c>
      <c r="CB25" s="3">
        <v>0.3373121</v>
      </c>
      <c r="CC25" s="3">
        <v>0.32812229999999998</v>
      </c>
      <c r="CD25" s="2">
        <v>-2.7243970000000002</v>
      </c>
      <c r="CE25" s="3">
        <v>3905.386</v>
      </c>
      <c r="CF25" s="3">
        <v>4044.0859999999998</v>
      </c>
      <c r="CG25" s="2">
        <v>3.5514950000000001</v>
      </c>
      <c r="CH25" s="3">
        <v>4.5913040000000001</v>
      </c>
      <c r="CI25" s="2">
        <v>-8.5227310000000003</v>
      </c>
      <c r="CJ25" s="3">
        <v>39600.980000000003</v>
      </c>
      <c r="CK25" s="3">
        <v>39969.89</v>
      </c>
      <c r="CL25" s="2">
        <v>0.93157290000000004</v>
      </c>
      <c r="CM25" s="3">
        <v>3.9486020000000002</v>
      </c>
      <c r="CN25" s="3">
        <v>3.482275</v>
      </c>
      <c r="CO25" s="3">
        <v>3.5489229999999998</v>
      </c>
      <c r="CP25" s="2">
        <v>-6.2706229999999996</v>
      </c>
      <c r="CQ25" s="2">
        <v>6.2810899999999998</v>
      </c>
      <c r="CR25" s="2">
        <v>4.2851569999999999</v>
      </c>
      <c r="CS25" s="2">
        <v>-11.80993</v>
      </c>
      <c r="CT25" s="2">
        <v>73.707390000000004</v>
      </c>
      <c r="CU25" s="3">
        <v>0.34484350000000003</v>
      </c>
      <c r="CV25" s="2">
        <v>-77.777780000000007</v>
      </c>
      <c r="CW25" s="2">
        <v>3.0927880000000001</v>
      </c>
      <c r="CX25" s="2">
        <v>-3.9509989999999999</v>
      </c>
      <c r="CY25" s="2">
        <v>18.727270000000001</v>
      </c>
    </row>
    <row r="26" spans="1:103" ht="15" customHeight="1" x14ac:dyDescent="0.2">
      <c r="A26" s="1">
        <f t="shared" si="0"/>
        <v>20</v>
      </c>
      <c r="B26" s="1" t="s">
        <v>66</v>
      </c>
      <c r="C26" s="1" t="s">
        <v>65</v>
      </c>
      <c r="D26" s="1" t="s">
        <v>67</v>
      </c>
      <c r="E26" s="1" t="s">
        <v>68</v>
      </c>
      <c r="F26" s="2">
        <v>24991.24</v>
      </c>
      <c r="G26" s="2" t="e">
        <v>#N/A</v>
      </c>
      <c r="H26" s="2" t="e">
        <v>#N/A</v>
      </c>
      <c r="I26" s="3">
        <v>28.47</v>
      </c>
      <c r="J26" s="3">
        <v>0</v>
      </c>
      <c r="K26" s="2">
        <v>1.436059</v>
      </c>
      <c r="L26" s="2">
        <v>1.468696</v>
      </c>
      <c r="M26" s="2">
        <v>1.6121300000000001</v>
      </c>
      <c r="N26" s="2">
        <v>1.8667899999999999</v>
      </c>
      <c r="O26" s="2">
        <v>3.0097649999999998</v>
      </c>
      <c r="P26" s="2">
        <v>9.2751169999999998</v>
      </c>
      <c r="Q26" s="2">
        <v>6.6458339999999998</v>
      </c>
      <c r="R26" s="2">
        <v>4.7830050000000002</v>
      </c>
      <c r="S26" s="2">
        <v>1.8035019999999999</v>
      </c>
      <c r="T26" s="2">
        <v>4.5808790000000004</v>
      </c>
      <c r="U26" s="2">
        <v>3.860233</v>
      </c>
      <c r="V26" s="2">
        <v>2.7379169999999999</v>
      </c>
      <c r="W26" s="2">
        <v>0.52509709999999998</v>
      </c>
      <c r="X26" s="2">
        <v>0.4628583</v>
      </c>
      <c r="Y26" s="2">
        <v>0.43099470000000001</v>
      </c>
      <c r="Z26" s="2">
        <v>0.37422640000000001</v>
      </c>
      <c r="AA26" s="2">
        <v>2.735716</v>
      </c>
      <c r="AB26" s="2">
        <v>4.6947619999999999</v>
      </c>
      <c r="AC26" s="2">
        <v>3.7787000000000002</v>
      </c>
      <c r="AD26" s="2">
        <v>2.9069029999999998</v>
      </c>
      <c r="AE26" s="2">
        <v>8.1414679999999997</v>
      </c>
      <c r="AF26" s="2">
        <v>9.9521460000000008</v>
      </c>
      <c r="AG26" s="2">
        <v>11.545310000000001</v>
      </c>
      <c r="AH26" s="2">
        <v>9.3237869999999994</v>
      </c>
      <c r="AI26" s="2">
        <v>11.33942</v>
      </c>
      <c r="AJ26" s="2">
        <v>12.24568</v>
      </c>
      <c r="AK26" s="3" t="e">
        <v>#N/A</v>
      </c>
      <c r="AL26" s="3" t="e">
        <v>#N/A</v>
      </c>
      <c r="AM26" s="2">
        <v>17.79345</v>
      </c>
      <c r="AN26" s="2">
        <v>10.56315</v>
      </c>
      <c r="AO26" s="2">
        <v>12.400969999999999</v>
      </c>
      <c r="AP26" s="2">
        <v>14.331250000000001</v>
      </c>
      <c r="AQ26" s="2">
        <v>0.16938010000000001</v>
      </c>
      <c r="AR26" s="2">
        <v>0.580704</v>
      </c>
      <c r="AS26" s="2">
        <v>0.47211609999999998</v>
      </c>
      <c r="AT26" s="2">
        <v>0.15653590000000001</v>
      </c>
      <c r="AU26" s="1" t="s">
        <v>5</v>
      </c>
      <c r="AV26" s="3">
        <v>1.5</v>
      </c>
      <c r="AW26" s="3">
        <v>35</v>
      </c>
      <c r="AX26" s="2">
        <v>22.936430000000001</v>
      </c>
      <c r="AY26" s="2">
        <v>4.9903230000000001</v>
      </c>
      <c r="AZ26" s="2">
        <v>-18.544039999999999</v>
      </c>
      <c r="BA26" s="2">
        <v>5.6989070000000002</v>
      </c>
      <c r="BB26" s="2">
        <v>15.77877</v>
      </c>
      <c r="BC26" s="3">
        <v>19.420000000000002</v>
      </c>
      <c r="BD26" s="2">
        <v>46.601439999999997</v>
      </c>
      <c r="BE26" s="3">
        <v>31.295000000000002</v>
      </c>
      <c r="BF26" s="2">
        <v>-9.0270039999999998</v>
      </c>
      <c r="BG26" s="2">
        <v>4.4504739999999998</v>
      </c>
      <c r="BH26" s="2">
        <v>14.803789999999999</v>
      </c>
      <c r="BI26" s="2">
        <v>11.18098</v>
      </c>
      <c r="BJ26" s="2">
        <v>9.5759419999999995</v>
      </c>
      <c r="BK26" s="2">
        <v>11</v>
      </c>
      <c r="BL26" s="2">
        <v>10</v>
      </c>
      <c r="BM26" s="4">
        <v>15</v>
      </c>
      <c r="BN26" s="4">
        <v>0</v>
      </c>
      <c r="BO26" s="4">
        <v>2</v>
      </c>
      <c r="BP26" s="4">
        <v>12</v>
      </c>
      <c r="BQ26" s="2">
        <v>0</v>
      </c>
      <c r="BR26" s="4">
        <v>9</v>
      </c>
      <c r="BS26" s="4">
        <v>1</v>
      </c>
      <c r="BT26" s="4">
        <v>15</v>
      </c>
      <c r="BU26" s="2">
        <v>60</v>
      </c>
      <c r="BV26" s="2">
        <v>14.030799999999999</v>
      </c>
      <c r="BW26" s="2">
        <v>877.8098</v>
      </c>
      <c r="BX26" s="3">
        <v>0.51447319999999996</v>
      </c>
      <c r="BY26" s="3">
        <v>5.8608729999999998E-2</v>
      </c>
      <c r="BZ26" s="2">
        <v>1.48106</v>
      </c>
      <c r="CA26" s="3">
        <v>5.8608729999999998E-2</v>
      </c>
      <c r="CB26" s="3">
        <v>3.4901970000000002</v>
      </c>
      <c r="CC26" s="3">
        <v>3.1313550000000001</v>
      </c>
      <c r="CD26" s="2">
        <v>-10.281420000000001</v>
      </c>
      <c r="CE26" s="3">
        <v>3976.7080000000001</v>
      </c>
      <c r="CF26" s="3">
        <v>3724.1350000000002</v>
      </c>
      <c r="CG26" s="2">
        <v>-6.3512919999999999</v>
      </c>
      <c r="CH26" s="3">
        <v>31.790199999999999</v>
      </c>
      <c r="CI26" s="2">
        <v>10.09684</v>
      </c>
      <c r="CJ26" s="3">
        <v>58599.16</v>
      </c>
      <c r="CK26" s="3">
        <v>60769.3</v>
      </c>
      <c r="CL26" s="2">
        <v>3.7033680000000002</v>
      </c>
      <c r="CM26" s="3">
        <v>24.75704</v>
      </c>
      <c r="CN26" s="3">
        <v>26.818629999999999</v>
      </c>
      <c r="CO26" s="3">
        <v>28.223649999999999</v>
      </c>
      <c r="CP26" s="2">
        <v>14.9976</v>
      </c>
      <c r="CQ26" s="2">
        <v>6.1575530000000001</v>
      </c>
      <c r="CR26" s="2">
        <v>0.87283849999999996</v>
      </c>
      <c r="CS26" s="2">
        <v>8.3272929999999992</v>
      </c>
      <c r="CT26" s="2">
        <v>9.7108519999999992</v>
      </c>
      <c r="CU26" s="3">
        <v>3.8857019999999999E-2</v>
      </c>
      <c r="CV26" s="2">
        <v>-9.688815</v>
      </c>
      <c r="CW26" s="2">
        <v>9.3846450000000008</v>
      </c>
      <c r="CX26" s="2">
        <v>21.947099999999999</v>
      </c>
      <c r="CY26" s="2">
        <v>18.87368</v>
      </c>
    </row>
    <row r="27" spans="1:103" ht="15" customHeight="1" x14ac:dyDescent="0.2">
      <c r="A27" s="1">
        <f t="shared" si="0"/>
        <v>21</v>
      </c>
      <c r="B27" s="1" t="s">
        <v>70</v>
      </c>
      <c r="C27" s="1" t="s">
        <v>69</v>
      </c>
      <c r="D27" s="1" t="s">
        <v>53</v>
      </c>
      <c r="E27" s="1" t="s">
        <v>54</v>
      </c>
      <c r="F27" s="2">
        <v>26606.48</v>
      </c>
      <c r="G27" s="2">
        <v>99.740099999999998</v>
      </c>
      <c r="H27" s="2">
        <v>26537.33</v>
      </c>
      <c r="I27" s="3">
        <v>59.06</v>
      </c>
      <c r="J27" s="3">
        <v>0</v>
      </c>
      <c r="K27" s="2">
        <v>0</v>
      </c>
      <c r="L27" s="2">
        <v>1.058246</v>
      </c>
      <c r="M27" s="2">
        <v>1.833666</v>
      </c>
      <c r="N27" s="2">
        <v>2.281657</v>
      </c>
      <c r="O27" s="2" t="e">
        <v>#N/A</v>
      </c>
      <c r="P27" s="2">
        <v>38.103230000000003</v>
      </c>
      <c r="Q27" s="2">
        <v>24.926539999999999</v>
      </c>
      <c r="R27" s="2">
        <v>20.157</v>
      </c>
      <c r="S27" s="2">
        <v>47.850639999999999</v>
      </c>
      <c r="T27" s="2">
        <v>15.089880000000001</v>
      </c>
      <c r="U27" s="2">
        <v>13.319789999999999</v>
      </c>
      <c r="V27" s="2">
        <v>11.087429999999999</v>
      </c>
      <c r="W27" s="2">
        <v>7.1071</v>
      </c>
      <c r="X27" s="2">
        <v>5.9686709999999996</v>
      </c>
      <c r="Y27" s="2">
        <v>5.1852499999999999</v>
      </c>
      <c r="Z27" s="2">
        <v>4.5181050000000003</v>
      </c>
      <c r="AA27" s="2">
        <v>49.123390000000001</v>
      </c>
      <c r="AB27" s="2">
        <v>20.457799999999999</v>
      </c>
      <c r="AC27" s="2">
        <v>15.70745</v>
      </c>
      <c r="AD27" s="2">
        <v>13.514340000000001</v>
      </c>
      <c r="AE27" s="2">
        <v>2.7931810000000001</v>
      </c>
      <c r="AF27" s="2">
        <v>3.9269859999999999</v>
      </c>
      <c r="AG27" s="2">
        <v>4.6787599999999996</v>
      </c>
      <c r="AH27" s="2">
        <v>3.0427949999999999</v>
      </c>
      <c r="AI27" s="2">
        <v>4.1697800000000003</v>
      </c>
      <c r="AJ27" s="2">
        <v>4.833806</v>
      </c>
      <c r="AK27" s="3" t="e">
        <v>#N/A</v>
      </c>
      <c r="AL27" s="3" t="e">
        <v>#N/A</v>
      </c>
      <c r="AM27" s="2">
        <v>23.510090000000002</v>
      </c>
      <c r="AN27" s="2">
        <v>35.782679999999999</v>
      </c>
      <c r="AO27" s="2">
        <v>38.924849999999999</v>
      </c>
      <c r="AP27" s="2">
        <v>40.628489999999999</v>
      </c>
      <c r="AQ27" s="2">
        <v>5.0484349999999996</v>
      </c>
      <c r="AR27" s="2">
        <v>1.4795929999999999</v>
      </c>
      <c r="AS27" s="2">
        <v>0.77557189999999998</v>
      </c>
      <c r="AT27" s="2">
        <v>0.3556338</v>
      </c>
      <c r="AU27" s="1" t="s">
        <v>12</v>
      </c>
      <c r="AV27" s="3">
        <v>1.62</v>
      </c>
      <c r="AW27" s="3">
        <v>61</v>
      </c>
      <c r="AX27" s="2">
        <v>3.2847879999999998</v>
      </c>
      <c r="AY27" s="2">
        <v>15.664479999999999</v>
      </c>
      <c r="AZ27" s="2" t="e">
        <v>#N/A</v>
      </c>
      <c r="BA27" s="2">
        <v>-4.7111929999999997</v>
      </c>
      <c r="BB27" s="2">
        <v>21.647790000000001</v>
      </c>
      <c r="BC27" s="3">
        <v>44.85</v>
      </c>
      <c r="BD27" s="2">
        <v>31.683399999999999</v>
      </c>
      <c r="BE27" s="3">
        <v>63.6</v>
      </c>
      <c r="BF27" s="2">
        <v>-7.1383599999999996</v>
      </c>
      <c r="BG27" s="2" t="e">
        <v>#N/A</v>
      </c>
      <c r="BH27" s="2">
        <v>29.439129999999999</v>
      </c>
      <c r="BI27" s="2">
        <v>42.44547</v>
      </c>
      <c r="BJ27" s="2">
        <v>44.646000000000001</v>
      </c>
      <c r="BK27" s="2">
        <v>24</v>
      </c>
      <c r="BL27" s="2">
        <v>23</v>
      </c>
      <c r="BM27" s="4">
        <v>25</v>
      </c>
      <c r="BN27" s="4">
        <v>3</v>
      </c>
      <c r="BO27" s="4">
        <v>1</v>
      </c>
      <c r="BP27" s="4">
        <v>22</v>
      </c>
      <c r="BQ27" s="2">
        <v>11.538460000000001</v>
      </c>
      <c r="BR27" s="4">
        <v>13</v>
      </c>
      <c r="BS27" s="4">
        <v>2</v>
      </c>
      <c r="BT27" s="4">
        <v>25</v>
      </c>
      <c r="BU27" s="2">
        <v>52</v>
      </c>
      <c r="BV27" s="2">
        <v>11.4354</v>
      </c>
      <c r="BW27" s="2">
        <v>450.49919999999997</v>
      </c>
      <c r="BX27" s="3">
        <v>0.73945050000000001</v>
      </c>
      <c r="BY27" s="3">
        <v>0.16414020000000001</v>
      </c>
      <c r="BZ27" s="2">
        <v>1.4087400000000001</v>
      </c>
      <c r="CA27" s="3">
        <v>0.16414020000000001</v>
      </c>
      <c r="CB27" s="3">
        <v>1.526292</v>
      </c>
      <c r="CC27" s="3">
        <v>1.5317430000000001</v>
      </c>
      <c r="CD27" s="2">
        <v>0.35713909999999999</v>
      </c>
      <c r="CE27" s="3">
        <v>981.43499999999995</v>
      </c>
      <c r="CF27" s="3">
        <v>986.49080000000004</v>
      </c>
      <c r="CG27" s="2">
        <v>0.51513909999999996</v>
      </c>
      <c r="CH27" s="3">
        <v>60.940399999999997</v>
      </c>
      <c r="CI27" s="2">
        <v>9.7799300000000006E-2</v>
      </c>
      <c r="CJ27" s="3">
        <v>4490.5439999999999</v>
      </c>
      <c r="CK27" s="3">
        <v>4495.4030000000002</v>
      </c>
      <c r="CL27" s="2">
        <v>0.10820630000000001</v>
      </c>
      <c r="CM27" s="3">
        <v>53.571660000000001</v>
      </c>
      <c r="CN27" s="3">
        <v>54.536079999999998</v>
      </c>
      <c r="CO27" s="3">
        <v>58.098460000000003</v>
      </c>
      <c r="CP27" s="2">
        <v>10.244859999999999</v>
      </c>
      <c r="CQ27" s="2">
        <v>8.2952739999999991</v>
      </c>
      <c r="CR27" s="2">
        <v>1.65503</v>
      </c>
      <c r="CS27" s="2">
        <v>1.800251</v>
      </c>
      <c r="CT27" s="2">
        <v>40.7562</v>
      </c>
      <c r="CU27" s="3">
        <v>0.1531814</v>
      </c>
      <c r="CV27" s="2">
        <v>13.65579</v>
      </c>
      <c r="CW27" s="2">
        <v>1.3712500000000001</v>
      </c>
      <c r="CX27" s="2">
        <v>5.4179009999999996</v>
      </c>
      <c r="CY27" s="2">
        <v>18.9697</v>
      </c>
    </row>
    <row r="28" spans="1:103" ht="15" customHeight="1" x14ac:dyDescent="0.2">
      <c r="A28" s="1">
        <f t="shared" si="0"/>
        <v>22</v>
      </c>
      <c r="B28" s="1" t="s">
        <v>72</v>
      </c>
      <c r="C28" s="1" t="s">
        <v>71</v>
      </c>
      <c r="D28" s="1" t="s">
        <v>67</v>
      </c>
      <c r="E28" s="1" t="s">
        <v>68</v>
      </c>
      <c r="F28" s="2">
        <v>2555.6880000000001</v>
      </c>
      <c r="G28" s="2">
        <v>68.992699999999999</v>
      </c>
      <c r="H28" s="2">
        <v>1763.2380000000001</v>
      </c>
      <c r="I28" s="3">
        <v>9.84</v>
      </c>
      <c r="J28" s="3">
        <v>0</v>
      </c>
      <c r="K28" s="2">
        <v>5.0813009999999998</v>
      </c>
      <c r="L28" s="2">
        <v>6.0975609999999998</v>
      </c>
      <c r="M28" s="2">
        <v>6.0975609999999998</v>
      </c>
      <c r="N28" s="2">
        <v>6.0975609999999998</v>
      </c>
      <c r="O28" s="2">
        <v>4.6635070000000001</v>
      </c>
      <c r="P28" s="2">
        <v>3.1363270000000001</v>
      </c>
      <c r="Q28" s="2">
        <v>7.8432579999999996</v>
      </c>
      <c r="R28" s="2">
        <v>8.0965600000000002</v>
      </c>
      <c r="S28" s="2">
        <v>3.6988560000000001</v>
      </c>
      <c r="T28" s="2">
        <v>2.1301070000000002</v>
      </c>
      <c r="U28" s="2">
        <v>3.9387240000000001</v>
      </c>
      <c r="V28" s="2">
        <v>3.711023</v>
      </c>
      <c r="W28" s="2">
        <v>1.2346299999999999</v>
      </c>
      <c r="X28" s="2">
        <v>0.92259100000000005</v>
      </c>
      <c r="Y28" s="2">
        <v>0.87537600000000004</v>
      </c>
      <c r="Z28" s="2">
        <v>0.85279349999999998</v>
      </c>
      <c r="AA28" s="2">
        <v>4.6746369999999997</v>
      </c>
      <c r="AB28" s="2">
        <v>2.5369890000000002</v>
      </c>
      <c r="AC28" s="2">
        <v>5.4205139999999998</v>
      </c>
      <c r="AD28" s="2">
        <v>4.7117909999999998</v>
      </c>
      <c r="AE28" s="2">
        <v>11.28232</v>
      </c>
      <c r="AF28" s="2">
        <v>25.94154</v>
      </c>
      <c r="AG28" s="2">
        <v>15.950559999999999</v>
      </c>
      <c r="AH28" s="2">
        <v>13.267609999999999</v>
      </c>
      <c r="AI28" s="2">
        <v>25.66629</v>
      </c>
      <c r="AJ28" s="2">
        <v>14.927</v>
      </c>
      <c r="AK28" s="3" t="e">
        <v>#N/A</v>
      </c>
      <c r="AL28" s="3" t="e">
        <v>#N/A</v>
      </c>
      <c r="AM28" s="2">
        <v>14.74799</v>
      </c>
      <c r="AN28" s="2">
        <v>15.13917</v>
      </c>
      <c r="AO28" s="2">
        <v>8.8244279999999993</v>
      </c>
      <c r="AP28" s="2">
        <v>8.9492750000000001</v>
      </c>
      <c r="AQ28" s="2">
        <v>0.58442870000000002</v>
      </c>
      <c r="AR28" s="2">
        <v>0.33610699999999999</v>
      </c>
      <c r="AS28" s="2">
        <v>-4.2239270000000002E-2</v>
      </c>
      <c r="AT28" s="2">
        <v>-0.25446790000000002</v>
      </c>
      <c r="AU28" s="1" t="s">
        <v>5</v>
      </c>
      <c r="AV28" s="3">
        <v>1.2647060000000001</v>
      </c>
      <c r="AW28" s="3">
        <v>12.9</v>
      </c>
      <c r="AX28" s="2">
        <v>31.097560000000001</v>
      </c>
      <c r="AY28" s="2">
        <v>29.41629</v>
      </c>
      <c r="AZ28" s="2">
        <v>-16.5092</v>
      </c>
      <c r="BA28" s="2">
        <v>-14.87889</v>
      </c>
      <c r="BB28" s="2">
        <v>6.4704660000000001</v>
      </c>
      <c r="BC28" s="3">
        <v>7.9379999999999997</v>
      </c>
      <c r="BD28" s="2">
        <v>23.960699999999999</v>
      </c>
      <c r="BE28" s="3">
        <v>12.41</v>
      </c>
      <c r="BF28" s="2">
        <v>-20.709099999999999</v>
      </c>
      <c r="BG28" s="2">
        <v>23.701339999999998</v>
      </c>
      <c r="BH28" s="2">
        <v>18.173649999999999</v>
      </c>
      <c r="BI28" s="2">
        <v>48.920490000000001</v>
      </c>
      <c r="BJ28" s="2">
        <v>44.712470000000003</v>
      </c>
      <c r="BK28" s="2">
        <v>13</v>
      </c>
      <c r="BL28" s="2">
        <v>14</v>
      </c>
      <c r="BM28" s="4">
        <v>17</v>
      </c>
      <c r="BN28" s="4">
        <v>0</v>
      </c>
      <c r="BO28" s="4">
        <v>0</v>
      </c>
      <c r="BP28" s="4">
        <v>17</v>
      </c>
      <c r="BQ28" s="2">
        <v>0</v>
      </c>
      <c r="BR28" s="4">
        <v>14</v>
      </c>
      <c r="BS28" s="4">
        <v>1</v>
      </c>
      <c r="BT28" s="4">
        <v>17</v>
      </c>
      <c r="BU28" s="2">
        <v>82.352940000000004</v>
      </c>
      <c r="BV28" s="2">
        <v>10.9474</v>
      </c>
      <c r="BW28" s="2">
        <v>259.7244</v>
      </c>
      <c r="BX28" s="3">
        <v>1.265693</v>
      </c>
      <c r="BY28" s="3">
        <v>0.48732170000000002</v>
      </c>
      <c r="BZ28" s="2">
        <v>1.2320800000000001</v>
      </c>
      <c r="CA28" s="3">
        <v>0.48732170000000002</v>
      </c>
      <c r="CB28" s="3">
        <v>3.1765940000000001</v>
      </c>
      <c r="CC28" s="3">
        <v>3.1194060000000001</v>
      </c>
      <c r="CD28" s="2">
        <v>-1.8003169999999999</v>
      </c>
      <c r="CE28" s="3">
        <v>1163.415</v>
      </c>
      <c r="CF28" s="3">
        <v>1146.3710000000001</v>
      </c>
      <c r="CG28" s="2">
        <v>-1.4649810000000001</v>
      </c>
      <c r="CH28" s="3">
        <v>12.43778</v>
      </c>
      <c r="CI28" s="2">
        <v>3.716278</v>
      </c>
      <c r="CJ28" s="3">
        <v>8887.7099999999991</v>
      </c>
      <c r="CK28" s="3">
        <v>8749.7780000000002</v>
      </c>
      <c r="CL28" s="2">
        <v>-1.551938</v>
      </c>
      <c r="CM28" s="3">
        <v>9.4379840000000002</v>
      </c>
      <c r="CN28" s="3">
        <v>9.6555689999999998</v>
      </c>
      <c r="CO28" s="3">
        <v>9.9453840000000007</v>
      </c>
      <c r="CP28" s="2">
        <v>4.2595510000000001</v>
      </c>
      <c r="CQ28" s="2">
        <v>1.910102</v>
      </c>
      <c r="CR28" s="2">
        <v>-1.059628</v>
      </c>
      <c r="CS28" s="2">
        <v>2.305412</v>
      </c>
      <c r="CT28" s="2">
        <v>9.8223730000000007</v>
      </c>
      <c r="CU28" s="3">
        <v>0.38433390000000001</v>
      </c>
      <c r="CV28" s="2">
        <v>-35.558720000000001</v>
      </c>
      <c r="CW28" s="2">
        <v>-1.2542059999999999</v>
      </c>
      <c r="CX28" s="2">
        <v>-5.7673829999999997</v>
      </c>
      <c r="CY28" s="2">
        <v>19.070709999999998</v>
      </c>
    </row>
    <row r="29" spans="1:103" ht="15" customHeight="1" x14ac:dyDescent="0.2">
      <c r="A29" s="1">
        <f t="shared" si="0"/>
        <v>23</v>
      </c>
      <c r="B29" s="1" t="s">
        <v>74</v>
      </c>
      <c r="C29" s="1" t="s">
        <v>73</v>
      </c>
      <c r="D29" s="1" t="s">
        <v>75</v>
      </c>
      <c r="E29" s="1" t="s">
        <v>76</v>
      </c>
      <c r="F29" s="2">
        <v>1357.664</v>
      </c>
      <c r="G29" s="2">
        <v>45.0351</v>
      </c>
      <c r="H29" s="2">
        <v>611.42529999999999</v>
      </c>
      <c r="I29" s="3">
        <v>6.16</v>
      </c>
      <c r="J29" s="3">
        <v>0</v>
      </c>
      <c r="K29" s="2">
        <v>0</v>
      </c>
      <c r="L29" s="2">
        <v>0</v>
      </c>
      <c r="M29" s="2">
        <v>0</v>
      </c>
      <c r="N29" s="2">
        <v>0</v>
      </c>
      <c r="O29" s="2" t="e">
        <v>#N/A</v>
      </c>
      <c r="P29" s="2">
        <v>25.290990000000001</v>
      </c>
      <c r="Q29" s="2">
        <v>20.451270000000001</v>
      </c>
      <c r="R29" s="2">
        <v>14.66667</v>
      </c>
      <c r="S29" s="2">
        <v>33.226880000000001</v>
      </c>
      <c r="T29" s="2">
        <v>9.0650630000000003</v>
      </c>
      <c r="U29" s="2">
        <v>9.2411100000000008</v>
      </c>
      <c r="V29" s="2">
        <v>8.1292030000000004</v>
      </c>
      <c r="W29" s="2">
        <v>4.463768</v>
      </c>
      <c r="X29" s="2">
        <v>3.8026430000000002</v>
      </c>
      <c r="Y29" s="2">
        <v>3.242105</v>
      </c>
      <c r="Z29" s="2">
        <v>2.6060569999999998</v>
      </c>
      <c r="AA29" s="2">
        <v>50.187190000000001</v>
      </c>
      <c r="AB29" s="2">
        <v>6.7028420000000004</v>
      </c>
      <c r="AC29" s="2">
        <v>7</v>
      </c>
      <c r="AD29" s="2">
        <v>6.123729</v>
      </c>
      <c r="AE29" s="2">
        <v>3.3441130000000001</v>
      </c>
      <c r="AF29" s="2">
        <v>5.2199970000000002</v>
      </c>
      <c r="AG29" s="2">
        <v>4.6895280000000001</v>
      </c>
      <c r="AH29" s="2">
        <v>10.15715</v>
      </c>
      <c r="AI29" s="2">
        <v>15.20504</v>
      </c>
      <c r="AJ29" s="2">
        <v>13.331720000000001</v>
      </c>
      <c r="AK29" s="3">
        <v>1.718</v>
      </c>
      <c r="AL29" s="3">
        <v>1.2946549999999999</v>
      </c>
      <c r="AM29" s="2">
        <v>13.9331</v>
      </c>
      <c r="AN29" s="2">
        <v>25.02234</v>
      </c>
      <c r="AO29" s="2">
        <v>24.627649999999999</v>
      </c>
      <c r="AP29" s="2">
        <v>25.828340000000001</v>
      </c>
      <c r="AQ29" s="2">
        <v>22.701129999999999</v>
      </c>
      <c r="AR29" s="2">
        <v>6.6421260000000002</v>
      </c>
      <c r="AS29" s="2">
        <v>6.0685719999999996</v>
      </c>
      <c r="AT29" s="2">
        <v>5.2696990000000001</v>
      </c>
      <c r="AU29" s="1" t="s">
        <v>31</v>
      </c>
      <c r="AV29" s="3">
        <v>1.71875</v>
      </c>
      <c r="AW29" s="3">
        <v>6.3480689999999997</v>
      </c>
      <c r="AX29" s="2">
        <v>3.0530689999999998</v>
      </c>
      <c r="AY29" s="2">
        <v>15.03556</v>
      </c>
      <c r="AZ29" s="2">
        <v>17</v>
      </c>
      <c r="BA29" s="2">
        <v>-15.500690000000001</v>
      </c>
      <c r="BB29" s="2">
        <v>34.556570000000001</v>
      </c>
      <c r="BC29" s="3">
        <v>4.0620000000000003</v>
      </c>
      <c r="BD29" s="2">
        <v>51.649439999999998</v>
      </c>
      <c r="BE29" s="3">
        <v>8.24</v>
      </c>
      <c r="BF29" s="2">
        <v>-25.242719999999998</v>
      </c>
      <c r="BG29" s="2" t="e">
        <v>#N/A</v>
      </c>
      <c r="BH29" s="2">
        <v>2.4745509999999999</v>
      </c>
      <c r="BI29" s="2">
        <v>8.0238929999999993</v>
      </c>
      <c r="BJ29" s="2">
        <v>11.7639</v>
      </c>
      <c r="BK29" s="2">
        <v>15</v>
      </c>
      <c r="BL29" s="2">
        <v>14</v>
      </c>
      <c r="BM29" s="4">
        <v>16</v>
      </c>
      <c r="BN29" s="4">
        <v>0</v>
      </c>
      <c r="BO29" s="4">
        <v>1</v>
      </c>
      <c r="BP29" s="4">
        <v>14</v>
      </c>
      <c r="BQ29" s="2">
        <v>0</v>
      </c>
      <c r="BR29" s="4">
        <v>7</v>
      </c>
      <c r="BS29" s="4">
        <v>3</v>
      </c>
      <c r="BT29" s="4">
        <v>16</v>
      </c>
      <c r="BU29" s="2">
        <v>43.75</v>
      </c>
      <c r="BV29" s="2">
        <v>18.153400000000001</v>
      </c>
      <c r="BW29" s="2">
        <v>220.4</v>
      </c>
      <c r="BX29" s="3">
        <v>1.0375799999999999</v>
      </c>
      <c r="BY29" s="3">
        <v>0.47077150000000001</v>
      </c>
      <c r="BZ29" s="2">
        <v>2.1610200000000002</v>
      </c>
      <c r="CA29" s="3">
        <v>0.47077150000000001</v>
      </c>
      <c r="CB29" s="3">
        <v>0.1702043</v>
      </c>
      <c r="CC29" s="3">
        <v>0.21091560000000001</v>
      </c>
      <c r="CD29" s="2">
        <v>23.919080000000001</v>
      </c>
      <c r="CE29" s="3">
        <v>132.1069</v>
      </c>
      <c r="CF29" s="3">
        <v>138.7895</v>
      </c>
      <c r="CG29" s="2">
        <v>5.0584319999999998</v>
      </c>
      <c r="CH29" s="3">
        <v>6.484</v>
      </c>
      <c r="CI29" s="2">
        <v>-2.096409</v>
      </c>
      <c r="CJ29" s="3">
        <v>1597.2739999999999</v>
      </c>
      <c r="CK29" s="3">
        <v>1619.8309999999999</v>
      </c>
      <c r="CL29" s="2">
        <v>1.412177</v>
      </c>
      <c r="CM29" s="3">
        <v>5.6838899999999999</v>
      </c>
      <c r="CN29" s="3">
        <v>5.4300389999999998</v>
      </c>
      <c r="CO29" s="3">
        <v>6.0146160000000002</v>
      </c>
      <c r="CP29" s="2">
        <v>8.3764669999999999</v>
      </c>
      <c r="CQ29" s="2">
        <v>13.443020000000001</v>
      </c>
      <c r="CR29" s="2">
        <v>2.4171830000000001</v>
      </c>
      <c r="CS29" s="2">
        <v>-4.4661580000000001</v>
      </c>
      <c r="CT29" s="2">
        <v>5.9960719999999998</v>
      </c>
      <c r="CU29" s="3">
        <v>0.44164629999999999</v>
      </c>
      <c r="CV29" s="2">
        <v>-36.801780000000001</v>
      </c>
      <c r="CW29" s="2">
        <v>1.229528</v>
      </c>
      <c r="CX29" s="2">
        <v>4.0275889999999999</v>
      </c>
      <c r="CY29" s="2">
        <v>19.343440000000001</v>
      </c>
    </row>
    <row r="30" spans="1:103" ht="15" customHeight="1" x14ac:dyDescent="0.2">
      <c r="A30" s="1">
        <f t="shared" si="0"/>
        <v>24</v>
      </c>
      <c r="B30" s="1" t="s">
        <v>78</v>
      </c>
      <c r="C30" s="1" t="s">
        <v>77</v>
      </c>
      <c r="D30" s="1" t="s">
        <v>38</v>
      </c>
      <c r="E30" s="1" t="s">
        <v>39</v>
      </c>
      <c r="F30" s="2">
        <v>25403.88</v>
      </c>
      <c r="G30" s="2">
        <v>12.848599999999999</v>
      </c>
      <c r="H30" s="2">
        <v>3264.0430000000001</v>
      </c>
      <c r="I30" s="3">
        <v>26.2</v>
      </c>
      <c r="J30" s="3">
        <v>0</v>
      </c>
      <c r="K30" s="2">
        <v>4.5801530000000001</v>
      </c>
      <c r="L30" s="2">
        <v>4.5801530000000001</v>
      </c>
      <c r="M30" s="2">
        <v>4.5801530000000001</v>
      </c>
      <c r="N30" s="2">
        <v>4.5801530000000001</v>
      </c>
      <c r="O30" s="2">
        <v>15.411770000000001</v>
      </c>
      <c r="P30" s="2">
        <v>16.273289999999999</v>
      </c>
      <c r="Q30" s="2">
        <v>17.236840000000001</v>
      </c>
      <c r="R30" s="2">
        <v>16.741209999999999</v>
      </c>
      <c r="S30" s="2">
        <v>7.2441079999999998</v>
      </c>
      <c r="T30" s="2">
        <v>8.3429500000000001</v>
      </c>
      <c r="U30" s="2">
        <v>8.6243130000000008</v>
      </c>
      <c r="V30" s="2">
        <v>8.8090930000000007</v>
      </c>
      <c r="W30" s="2">
        <v>3.3589739999999999</v>
      </c>
      <c r="X30" s="2">
        <v>3.6313240000000002</v>
      </c>
      <c r="Y30" s="2">
        <v>3.350384</v>
      </c>
      <c r="Z30" s="2">
        <v>2.62</v>
      </c>
      <c r="AA30" s="2">
        <v>9.6305029999999991</v>
      </c>
      <c r="AB30" s="2">
        <v>7.6832839999999996</v>
      </c>
      <c r="AC30" s="2">
        <v>7.552861</v>
      </c>
      <c r="AD30" s="2">
        <v>6.6550859999999998</v>
      </c>
      <c r="AE30" s="2">
        <v>2.5006870000000001</v>
      </c>
      <c r="AF30" s="2">
        <v>1.6557519999999999</v>
      </c>
      <c r="AG30" s="2">
        <v>7.2760779999999997E-2</v>
      </c>
      <c r="AH30" s="2">
        <v>3.776138</v>
      </c>
      <c r="AI30" s="2">
        <v>2.5665369999999998</v>
      </c>
      <c r="AJ30" s="2">
        <v>0.1167801</v>
      </c>
      <c r="AK30" s="3" t="e">
        <v>#N/A</v>
      </c>
      <c r="AL30" s="3" t="e">
        <v>#N/A</v>
      </c>
      <c r="AM30" s="2">
        <v>14.585599999999999</v>
      </c>
      <c r="AN30" s="2">
        <v>15.990259999999999</v>
      </c>
      <c r="AO30" s="2">
        <v>16.59186</v>
      </c>
      <c r="AP30" s="2">
        <v>17.68561</v>
      </c>
      <c r="AQ30" s="2">
        <v>2.4860720000000001</v>
      </c>
      <c r="AR30" s="2">
        <v>2.8179639999999999</v>
      </c>
      <c r="AS30" s="2">
        <v>3.0605039999999999</v>
      </c>
      <c r="AT30" s="2">
        <v>3.3205140000000002</v>
      </c>
      <c r="AU30" s="1" t="s">
        <v>79</v>
      </c>
      <c r="AV30" s="3">
        <v>2.7058819999999999</v>
      </c>
      <c r="AW30" s="3">
        <v>24</v>
      </c>
      <c r="AX30" s="2">
        <v>-8.3969480000000001</v>
      </c>
      <c r="AY30" s="2">
        <v>22.314620000000001</v>
      </c>
      <c r="AZ30" s="2">
        <v>-0.2</v>
      </c>
      <c r="BA30" s="2">
        <v>7.7302689999999998</v>
      </c>
      <c r="BB30" s="2">
        <v>7.7745800000000003</v>
      </c>
      <c r="BC30" s="3">
        <v>22.07</v>
      </c>
      <c r="BD30" s="2">
        <v>18.713190000000001</v>
      </c>
      <c r="BE30" s="3">
        <v>30.05</v>
      </c>
      <c r="BF30" s="2">
        <v>-12.81198</v>
      </c>
      <c r="BG30" s="2">
        <v>69.044880000000006</v>
      </c>
      <c r="BH30" s="2">
        <v>73.095150000000004</v>
      </c>
      <c r="BI30" s="2">
        <v>79.624660000000006</v>
      </c>
      <c r="BJ30" s="2">
        <v>79.19753</v>
      </c>
      <c r="BK30" s="2">
        <v>13</v>
      </c>
      <c r="BL30" s="2">
        <v>12</v>
      </c>
      <c r="BM30" s="4">
        <v>17</v>
      </c>
      <c r="BN30" s="4">
        <v>2</v>
      </c>
      <c r="BO30" s="4">
        <v>0</v>
      </c>
      <c r="BP30" s="4">
        <v>16</v>
      </c>
      <c r="BQ30" s="2">
        <v>11.11111</v>
      </c>
      <c r="BR30" s="4">
        <v>0</v>
      </c>
      <c r="BS30" s="4">
        <v>12</v>
      </c>
      <c r="BT30" s="4">
        <v>17</v>
      </c>
      <c r="BU30" s="2">
        <v>0</v>
      </c>
      <c r="BV30" s="2">
        <v>8.7554999999999996</v>
      </c>
      <c r="BW30" s="2">
        <v>969.61379999999997</v>
      </c>
      <c r="BX30" s="3">
        <v>0.47052339999999998</v>
      </c>
      <c r="BY30" s="3">
        <v>4.8526880000000001E-2</v>
      </c>
      <c r="BZ30" s="2">
        <v>0.82140599999999997</v>
      </c>
      <c r="CA30" s="3">
        <v>4.8526880000000001E-2</v>
      </c>
      <c r="CB30" s="3">
        <v>1.451527</v>
      </c>
      <c r="CC30" s="3">
        <v>1.6622170000000001</v>
      </c>
      <c r="CD30" s="2">
        <v>14.515040000000001</v>
      </c>
      <c r="CE30" s="3">
        <v>2533.578</v>
      </c>
      <c r="CF30" s="3">
        <v>2931.7759999999998</v>
      </c>
      <c r="CG30" s="2">
        <v>15.71683</v>
      </c>
      <c r="CH30" s="3">
        <v>23.73818</v>
      </c>
      <c r="CI30" s="2">
        <v>1.1029359999999999</v>
      </c>
      <c r="CJ30" s="3">
        <v>25319.17</v>
      </c>
      <c r="CK30" s="3">
        <v>27194.92</v>
      </c>
      <c r="CL30" s="2">
        <v>7.4084279999999998</v>
      </c>
      <c r="CM30" s="3">
        <v>26.61383</v>
      </c>
      <c r="CN30" s="3">
        <v>25.725290000000001</v>
      </c>
      <c r="CO30" s="3">
        <v>26.060379999999999</v>
      </c>
      <c r="CP30" s="2">
        <v>-1.5549360000000001</v>
      </c>
      <c r="CQ30" s="2">
        <v>1.8452999999999999</v>
      </c>
      <c r="CR30" s="2">
        <v>0.53573850000000001</v>
      </c>
      <c r="CS30" s="2">
        <v>-3.3386290000000001</v>
      </c>
      <c r="CT30" s="2">
        <v>9.4803230000000003</v>
      </c>
      <c r="CU30" s="3">
        <v>3.7318400000000002E-2</v>
      </c>
      <c r="CV30" s="2" t="e">
        <v>#N/A</v>
      </c>
      <c r="CW30" s="2" t="e">
        <v>#N/A</v>
      </c>
      <c r="CX30" s="2">
        <v>-7.5689229999999998</v>
      </c>
      <c r="CY30" s="2">
        <v>19.353529999999999</v>
      </c>
    </row>
    <row r="31" spans="1:103" ht="15" customHeight="1" x14ac:dyDescent="0.2">
      <c r="A31" s="1">
        <f t="shared" si="0"/>
        <v>25</v>
      </c>
      <c r="B31" s="1" t="s">
        <v>81</v>
      </c>
      <c r="C31" s="1" t="s">
        <v>80</v>
      </c>
      <c r="D31" s="1" t="s">
        <v>38</v>
      </c>
      <c r="E31" s="1" t="s">
        <v>39</v>
      </c>
      <c r="F31" s="2">
        <v>70039.75</v>
      </c>
      <c r="G31" s="2">
        <v>98.4559</v>
      </c>
      <c r="H31" s="2">
        <v>68958.27</v>
      </c>
      <c r="I31" s="3">
        <v>10.865</v>
      </c>
      <c r="J31" s="3">
        <v>0</v>
      </c>
      <c r="K31" s="2">
        <v>4.0497009999999998</v>
      </c>
      <c r="L31" s="2">
        <v>4.3137600000000003</v>
      </c>
      <c r="M31" s="2">
        <v>4.5098940000000001</v>
      </c>
      <c r="N31" s="2">
        <v>4.8780479999999997</v>
      </c>
      <c r="O31" s="2">
        <v>18.60445</v>
      </c>
      <c r="P31" s="2">
        <v>16.504290000000001</v>
      </c>
      <c r="Q31" s="2">
        <v>15.5352</v>
      </c>
      <c r="R31" s="2">
        <v>14.296049999999999</v>
      </c>
      <c r="S31" s="2">
        <v>8.7883279999999999</v>
      </c>
      <c r="T31" s="2">
        <v>8.7507370000000009</v>
      </c>
      <c r="U31" s="2">
        <v>8.8267279999999992</v>
      </c>
      <c r="V31" s="2">
        <v>8.2574919999999992</v>
      </c>
      <c r="W31" s="2">
        <v>1.5634749999999999</v>
      </c>
      <c r="X31" s="2">
        <v>1.6203019999999999</v>
      </c>
      <c r="Y31" s="2">
        <v>1.5540620000000001</v>
      </c>
      <c r="Z31" s="2">
        <v>1.492693</v>
      </c>
      <c r="AA31" s="2">
        <v>7.8042490000000004</v>
      </c>
      <c r="AB31" s="2">
        <v>7.3041340000000003</v>
      </c>
      <c r="AC31" s="2">
        <v>6.5633670000000004</v>
      </c>
      <c r="AD31" s="2">
        <v>6.1889609999999999</v>
      </c>
      <c r="AE31" s="2">
        <v>-1.081256</v>
      </c>
      <c r="AF31" s="2">
        <v>-3.3010389999999998</v>
      </c>
      <c r="AG31" s="2">
        <v>-0.76350649999999998</v>
      </c>
      <c r="AH31" s="2">
        <v>-1.7723180000000001</v>
      </c>
      <c r="AI31" s="2">
        <v>-5.8928089999999997</v>
      </c>
      <c r="AJ31" s="2">
        <v>-1.3735619999999999</v>
      </c>
      <c r="AK31" s="3">
        <v>2.1940339999999998</v>
      </c>
      <c r="AL31" s="3">
        <v>2.0269089999999998</v>
      </c>
      <c r="AM31" s="2">
        <v>30.69464</v>
      </c>
      <c r="AN31" s="2">
        <v>28.321580000000001</v>
      </c>
      <c r="AO31" s="2">
        <v>28.530799999999999</v>
      </c>
      <c r="AP31" s="2">
        <v>30.673369999999998</v>
      </c>
      <c r="AQ31" s="2">
        <v>3.268392</v>
      </c>
      <c r="AR31" s="2">
        <v>3.4270740000000002</v>
      </c>
      <c r="AS31" s="2">
        <v>3.8821639999999999</v>
      </c>
      <c r="AT31" s="2">
        <v>3.6674920000000002</v>
      </c>
      <c r="AU31" s="1" t="s">
        <v>31</v>
      </c>
      <c r="AV31" s="3">
        <v>1.6153850000000001</v>
      </c>
      <c r="AW31" s="3">
        <v>11.95</v>
      </c>
      <c r="AX31" s="2">
        <v>9.9861979999999999</v>
      </c>
      <c r="AY31" s="2">
        <v>9.8174630000000001</v>
      </c>
      <c r="AZ31" s="2">
        <v>7.25</v>
      </c>
      <c r="BA31" s="2">
        <v>15.560510000000001</v>
      </c>
      <c r="BB31" s="2">
        <v>-0.59469939999999999</v>
      </c>
      <c r="BC31" s="3">
        <v>8.4719999999999995</v>
      </c>
      <c r="BD31" s="2">
        <v>28.245989999999999</v>
      </c>
      <c r="BE31" s="3">
        <v>11.484999999999999</v>
      </c>
      <c r="BF31" s="2">
        <v>-5.3983449999999999</v>
      </c>
      <c r="BG31" s="2">
        <v>75.149829999999994</v>
      </c>
      <c r="BH31" s="2">
        <v>72.168279999999996</v>
      </c>
      <c r="BI31" s="2">
        <v>70.719859999999997</v>
      </c>
      <c r="BJ31" s="2">
        <v>69.28792</v>
      </c>
      <c r="BK31" s="2">
        <v>24</v>
      </c>
      <c r="BL31" s="2">
        <v>23</v>
      </c>
      <c r="BM31" s="4">
        <v>26</v>
      </c>
      <c r="BN31" s="4">
        <v>0</v>
      </c>
      <c r="BO31" s="4">
        <v>6</v>
      </c>
      <c r="BP31" s="4">
        <v>25</v>
      </c>
      <c r="BQ31" s="2">
        <v>0</v>
      </c>
      <c r="BR31" s="4">
        <v>11</v>
      </c>
      <c r="BS31" s="4">
        <v>0</v>
      </c>
      <c r="BT31" s="4">
        <v>26</v>
      </c>
      <c r="BU31" s="2">
        <v>42.307690000000001</v>
      </c>
      <c r="BV31" s="2">
        <v>7.0583799999999997</v>
      </c>
      <c r="BW31" s="2">
        <v>6446.3639999999996</v>
      </c>
      <c r="BX31" s="3">
        <v>13.451420000000001</v>
      </c>
      <c r="BY31" s="3">
        <v>0.20866670000000001</v>
      </c>
      <c r="BZ31" s="2">
        <v>0.55240100000000003</v>
      </c>
      <c r="CA31" s="3">
        <v>0.20866670000000001</v>
      </c>
      <c r="CB31" s="3">
        <v>0.64728280000000005</v>
      </c>
      <c r="CC31" s="3">
        <v>0.64975210000000005</v>
      </c>
      <c r="CD31" s="2">
        <v>0.38148159999999998</v>
      </c>
      <c r="CE31" s="3">
        <v>7745.1610000000001</v>
      </c>
      <c r="CF31" s="3">
        <v>7801.7139999999999</v>
      </c>
      <c r="CG31" s="2">
        <v>0.73018070000000002</v>
      </c>
      <c r="CH31" s="3">
        <v>11.94534</v>
      </c>
      <c r="CI31" s="2">
        <v>3.9041039999999999E-2</v>
      </c>
      <c r="CJ31" s="3">
        <v>48814.6</v>
      </c>
      <c r="CK31" s="3">
        <v>46677.95</v>
      </c>
      <c r="CL31" s="2">
        <v>-4.3770790000000002</v>
      </c>
      <c r="CM31" s="3">
        <v>10.483420000000001</v>
      </c>
      <c r="CN31" s="3">
        <v>10.855880000000001</v>
      </c>
      <c r="CO31" s="3">
        <v>10.788270000000001</v>
      </c>
      <c r="CP31" s="2">
        <v>3.6398290000000002</v>
      </c>
      <c r="CQ31" s="2">
        <v>8.4006789999999998E-2</v>
      </c>
      <c r="CR31" s="2">
        <v>0.71123840000000005</v>
      </c>
      <c r="CS31" s="2">
        <v>3.5528420000000001</v>
      </c>
      <c r="CT31" s="2">
        <v>137.66720000000001</v>
      </c>
      <c r="CU31" s="3">
        <v>0.1965557</v>
      </c>
      <c r="CV31" s="2">
        <v>2.0036200000000002</v>
      </c>
      <c r="CW31" s="2">
        <v>28.05791</v>
      </c>
      <c r="CX31" s="2">
        <v>-1.303855</v>
      </c>
      <c r="CY31" s="2">
        <v>19.494949999999999</v>
      </c>
    </row>
    <row r="32" spans="1:103" ht="15" customHeight="1" x14ac:dyDescent="0.2">
      <c r="A32" s="1">
        <f t="shared" si="0"/>
        <v>26</v>
      </c>
      <c r="B32" s="1" t="s">
        <v>83</v>
      </c>
      <c r="C32" s="1" t="s">
        <v>82</v>
      </c>
      <c r="D32" s="1" t="s">
        <v>84</v>
      </c>
      <c r="E32" s="1" t="s">
        <v>85</v>
      </c>
      <c r="F32" s="2">
        <v>3135.5459999999998</v>
      </c>
      <c r="G32" s="2">
        <v>41.593299999999999</v>
      </c>
      <c r="H32" s="2">
        <v>1304.1769999999999</v>
      </c>
      <c r="I32" s="3">
        <v>16.32</v>
      </c>
      <c r="J32" s="3">
        <v>0</v>
      </c>
      <c r="K32" s="2">
        <v>3.6151960000000001</v>
      </c>
      <c r="L32" s="2">
        <v>4.1360299999999999</v>
      </c>
      <c r="M32" s="2">
        <v>3.1023100000000001</v>
      </c>
      <c r="N32" s="2">
        <v>3.4918200000000001</v>
      </c>
      <c r="O32" s="2">
        <v>9.488372</v>
      </c>
      <c r="P32" s="2">
        <v>12.27068</v>
      </c>
      <c r="Q32" s="2">
        <v>14.55555</v>
      </c>
      <c r="R32" s="2">
        <v>12.41065</v>
      </c>
      <c r="S32" s="2">
        <v>14.496420000000001</v>
      </c>
      <c r="T32" s="2">
        <v>8.0562310000000004</v>
      </c>
      <c r="U32" s="2">
        <v>9.6574019999999994</v>
      </c>
      <c r="V32" s="2">
        <v>8.466507</v>
      </c>
      <c r="W32" s="2">
        <v>1.978094</v>
      </c>
      <c r="X32" s="2">
        <v>1.952067</v>
      </c>
      <c r="Y32" s="2">
        <v>1.8227599999999999</v>
      </c>
      <c r="Z32" s="2">
        <v>1.712599</v>
      </c>
      <c r="AA32" s="2">
        <v>8.8724120000000006</v>
      </c>
      <c r="AB32" s="2">
        <v>9.6602270000000008</v>
      </c>
      <c r="AC32" s="2">
        <v>8.8739270000000001</v>
      </c>
      <c r="AD32" s="2">
        <v>9.7612900000000007</v>
      </c>
      <c r="AE32" s="2">
        <v>2.203808</v>
      </c>
      <c r="AF32" s="2">
        <v>7.0795329999999996</v>
      </c>
      <c r="AG32" s="2">
        <v>6.56968</v>
      </c>
      <c r="AH32" s="2">
        <v>3.0605790000000002</v>
      </c>
      <c r="AI32" s="2">
        <v>9.5439550000000004</v>
      </c>
      <c r="AJ32" s="2">
        <v>8.6177299999999999</v>
      </c>
      <c r="AK32" s="3" t="e">
        <v>#N/A</v>
      </c>
      <c r="AL32" s="3" t="e">
        <v>#N/A</v>
      </c>
      <c r="AM32" s="2">
        <v>25.09488</v>
      </c>
      <c r="AN32" s="2">
        <v>20.914709999999999</v>
      </c>
      <c r="AO32" s="2">
        <v>19.90981</v>
      </c>
      <c r="AP32" s="2">
        <v>21.54928</v>
      </c>
      <c r="AQ32" s="2">
        <v>1.9487829999999999</v>
      </c>
      <c r="AR32" s="2">
        <v>2.4191310000000001</v>
      </c>
      <c r="AS32" s="2">
        <v>2.4937170000000002</v>
      </c>
      <c r="AT32" s="2">
        <v>2.0121120000000001</v>
      </c>
      <c r="AU32" s="1" t="s">
        <v>5</v>
      </c>
      <c r="AV32" s="3">
        <v>1.3333330000000001</v>
      </c>
      <c r="AW32" s="3">
        <v>20</v>
      </c>
      <c r="AX32" s="2">
        <v>22.549019999999999</v>
      </c>
      <c r="AY32" s="2">
        <v>15.908390000000001</v>
      </c>
      <c r="AZ32" s="2">
        <v>2</v>
      </c>
      <c r="BA32" s="2">
        <v>-38.064509999999999</v>
      </c>
      <c r="BB32" s="2">
        <v>12.39669</v>
      </c>
      <c r="BC32" s="3">
        <v>11.93</v>
      </c>
      <c r="BD32" s="2">
        <v>36.797980000000003</v>
      </c>
      <c r="BE32" s="3">
        <v>28.6</v>
      </c>
      <c r="BF32" s="2">
        <v>-42.937069999999999</v>
      </c>
      <c r="BG32" s="2">
        <v>34.788220000000003</v>
      </c>
      <c r="BH32" s="2">
        <v>48.185160000000003</v>
      </c>
      <c r="BI32" s="2">
        <v>50.910760000000003</v>
      </c>
      <c r="BJ32" s="2">
        <v>47.574629999999999</v>
      </c>
      <c r="BK32" s="2">
        <v>14</v>
      </c>
      <c r="BL32" s="2">
        <v>14</v>
      </c>
      <c r="BM32" s="4">
        <v>15</v>
      </c>
      <c r="BN32" s="4">
        <v>0</v>
      </c>
      <c r="BO32" s="4">
        <v>0</v>
      </c>
      <c r="BP32" s="4">
        <v>14</v>
      </c>
      <c r="BQ32" s="2">
        <v>0</v>
      </c>
      <c r="BR32" s="4">
        <v>11</v>
      </c>
      <c r="BS32" s="4">
        <v>1</v>
      </c>
      <c r="BT32" s="4">
        <v>15</v>
      </c>
      <c r="BU32" s="2">
        <v>73.333340000000007</v>
      </c>
      <c r="BV32" s="2">
        <v>11.6722</v>
      </c>
      <c r="BW32" s="2">
        <v>192.12909999999999</v>
      </c>
      <c r="BX32" s="3">
        <v>0.67804549999999997</v>
      </c>
      <c r="BY32" s="3">
        <v>0.35291149999999999</v>
      </c>
      <c r="BZ32" s="2">
        <v>0.857846</v>
      </c>
      <c r="CA32" s="3">
        <v>0.35291149999999999</v>
      </c>
      <c r="CB32" s="3">
        <v>1.2950759999999999</v>
      </c>
      <c r="CC32" s="3">
        <v>1.304514</v>
      </c>
      <c r="CD32" s="2">
        <v>0.72875020000000001</v>
      </c>
      <c r="CE32" s="3">
        <v>373.14179999999999</v>
      </c>
      <c r="CF32" s="3">
        <v>359.39420000000001</v>
      </c>
      <c r="CG32" s="2">
        <v>-3.684294</v>
      </c>
      <c r="CH32" s="3">
        <v>20.326429999999998</v>
      </c>
      <c r="CI32" s="2">
        <v>-1.605934</v>
      </c>
      <c r="CJ32" s="3">
        <v>2417.1889999999999</v>
      </c>
      <c r="CK32" s="3">
        <v>2413.2089999999998</v>
      </c>
      <c r="CL32" s="2">
        <v>-0.1646638</v>
      </c>
      <c r="CM32" s="3">
        <v>17.092739999999999</v>
      </c>
      <c r="CN32" s="3">
        <v>15.622159999999999</v>
      </c>
      <c r="CO32" s="3">
        <v>16.68385</v>
      </c>
      <c r="CP32" s="2">
        <v>-4.5208399999999997</v>
      </c>
      <c r="CQ32" s="2">
        <v>4.4670100000000001</v>
      </c>
      <c r="CR32" s="2">
        <v>-2.1808390000000002</v>
      </c>
      <c r="CS32" s="2">
        <v>-8.6035310000000003</v>
      </c>
      <c r="CT32" s="2">
        <v>10.81062</v>
      </c>
      <c r="CU32" s="3">
        <v>0.34477619999999998</v>
      </c>
      <c r="CV32" s="2">
        <v>-31.698779999999999</v>
      </c>
      <c r="CW32" s="2">
        <v>-13.576779999999999</v>
      </c>
      <c r="CX32" s="2">
        <v>-50.161140000000003</v>
      </c>
      <c r="CY32" s="2">
        <v>20.878789999999999</v>
      </c>
    </row>
    <row r="33" spans="1:103" ht="15" customHeight="1" x14ac:dyDescent="0.2">
      <c r="A33" s="1">
        <f t="shared" si="0"/>
        <v>27</v>
      </c>
      <c r="B33" s="1" t="s">
        <v>87</v>
      </c>
      <c r="C33" s="1" t="s">
        <v>86</v>
      </c>
      <c r="D33" s="1" t="s">
        <v>22</v>
      </c>
      <c r="E33" s="1" t="s">
        <v>23</v>
      </c>
      <c r="F33" s="2">
        <v>7791.7939999999999</v>
      </c>
      <c r="G33" s="2">
        <v>72.172200000000004</v>
      </c>
      <c r="H33" s="2">
        <v>5623.509</v>
      </c>
      <c r="I33" s="3">
        <v>27.42</v>
      </c>
      <c r="J33" s="3">
        <v>0</v>
      </c>
      <c r="K33" s="2">
        <v>6.8964259999999999</v>
      </c>
      <c r="L33" s="2">
        <v>7.293946</v>
      </c>
      <c r="M33" s="2">
        <v>7.293946</v>
      </c>
      <c r="N33" s="2">
        <v>7.293946</v>
      </c>
      <c r="O33" s="2">
        <v>2.5530729999999999</v>
      </c>
      <c r="P33" s="2">
        <v>13.777279999999999</v>
      </c>
      <c r="Q33" s="2">
        <v>13.441179999999999</v>
      </c>
      <c r="R33" s="2">
        <v>12.295960000000001</v>
      </c>
      <c r="S33" s="2">
        <v>3.237136</v>
      </c>
      <c r="T33" s="2">
        <v>4.4217250000000003</v>
      </c>
      <c r="U33" s="2">
        <v>4.1326890000000001</v>
      </c>
      <c r="V33" s="2">
        <v>3.8994529999999998</v>
      </c>
      <c r="W33" s="2">
        <v>1.57315</v>
      </c>
      <c r="X33" s="2" t="e">
        <v>#N/A</v>
      </c>
      <c r="Y33" s="2">
        <v>1.3801129999999999</v>
      </c>
      <c r="Z33" s="2">
        <v>1.4029160000000001</v>
      </c>
      <c r="AA33" s="2">
        <v>11.22761</v>
      </c>
      <c r="AB33" s="2">
        <v>6.7092859999999996</v>
      </c>
      <c r="AC33" s="2">
        <v>7.2539680000000004</v>
      </c>
      <c r="AD33" s="2">
        <v>6.3625189999999998</v>
      </c>
      <c r="AE33" s="2">
        <v>8.1578920000000004</v>
      </c>
      <c r="AF33" s="2">
        <v>5.2432340000000002</v>
      </c>
      <c r="AG33" s="2">
        <v>10.328060000000001</v>
      </c>
      <c r="AH33" s="2">
        <v>8.1607230000000008</v>
      </c>
      <c r="AI33" s="2">
        <v>5.0929650000000004</v>
      </c>
      <c r="AJ33" s="2">
        <v>10.037699999999999</v>
      </c>
      <c r="AK33" s="3" t="e">
        <v>#N/A</v>
      </c>
      <c r="AL33" s="3" t="e">
        <v>#N/A</v>
      </c>
      <c r="AM33" s="2">
        <v>5.7405609999999996</v>
      </c>
      <c r="AN33" s="2">
        <v>5.4013929999999997</v>
      </c>
      <c r="AO33" s="2">
        <v>5.5675739999999996</v>
      </c>
      <c r="AP33" s="2">
        <v>5.7675739999999998</v>
      </c>
      <c r="AQ33" s="2">
        <v>-1.2565710000000001</v>
      </c>
      <c r="AR33" s="2">
        <v>1.570599E-3</v>
      </c>
      <c r="AS33" s="2">
        <v>-0.121936</v>
      </c>
      <c r="AT33" s="2">
        <v>-0.11279889999999999</v>
      </c>
      <c r="AU33" s="1" t="s">
        <v>12</v>
      </c>
      <c r="AV33" s="3">
        <v>1.638889</v>
      </c>
      <c r="AW33" s="3">
        <v>29.21</v>
      </c>
      <c r="AX33" s="2">
        <v>6.5280800000000001</v>
      </c>
      <c r="AY33" s="2" t="e">
        <v>#N/A</v>
      </c>
      <c r="AZ33" s="2" t="e">
        <v>#N/A</v>
      </c>
      <c r="BA33" s="2">
        <v>23.014800000000001</v>
      </c>
      <c r="BB33" s="2">
        <v>2.4280910000000002</v>
      </c>
      <c r="BC33" s="3">
        <v>19.844999999999999</v>
      </c>
      <c r="BD33" s="2">
        <v>38.170830000000002</v>
      </c>
      <c r="BE33" s="3">
        <v>28.64</v>
      </c>
      <c r="BF33" s="2">
        <v>-4.2597769999999997</v>
      </c>
      <c r="BG33" s="2">
        <v>17.305620000000001</v>
      </c>
      <c r="BH33" s="2">
        <v>96.316140000000004</v>
      </c>
      <c r="BI33" s="2">
        <v>95.363990000000001</v>
      </c>
      <c r="BJ33" s="2">
        <v>91.26925</v>
      </c>
      <c r="BK33" s="2">
        <v>14</v>
      </c>
      <c r="BL33" s="2">
        <v>14</v>
      </c>
      <c r="BM33" s="4">
        <v>18</v>
      </c>
      <c r="BN33" s="4">
        <v>0</v>
      </c>
      <c r="BO33" s="4">
        <v>0</v>
      </c>
      <c r="BP33" s="4">
        <v>17</v>
      </c>
      <c r="BQ33" s="2">
        <v>0</v>
      </c>
      <c r="BR33" s="4">
        <v>9</v>
      </c>
      <c r="BS33" s="4">
        <v>3</v>
      </c>
      <c r="BT33" s="4">
        <v>18</v>
      </c>
      <c r="BU33" s="2">
        <v>50</v>
      </c>
      <c r="BV33" s="2">
        <v>11.0968</v>
      </c>
      <c r="BW33" s="2">
        <v>284.16460000000001</v>
      </c>
      <c r="BX33" s="3">
        <v>0.77449990000000002</v>
      </c>
      <c r="BY33" s="3">
        <v>0.2725533</v>
      </c>
      <c r="BZ33" s="2">
        <v>1.17778</v>
      </c>
      <c r="CA33" s="3">
        <v>0.2725533</v>
      </c>
      <c r="CB33" s="3">
        <v>2.057941</v>
      </c>
      <c r="CC33" s="3">
        <v>2.0816859999999999</v>
      </c>
      <c r="CD33" s="2">
        <v>1.1538619999999999</v>
      </c>
      <c r="CE33" s="3">
        <v>1219.8800000000001</v>
      </c>
      <c r="CF33" s="3">
        <v>1200.6980000000001</v>
      </c>
      <c r="CG33" s="2">
        <v>-1.57243</v>
      </c>
      <c r="CH33" s="3">
        <v>29.748999999999999</v>
      </c>
      <c r="CI33" s="2">
        <v>-1.8118320000000001</v>
      </c>
      <c r="CJ33" s="3">
        <v>30930.14</v>
      </c>
      <c r="CK33" s="3">
        <v>31722.85</v>
      </c>
      <c r="CL33" s="2">
        <v>2.562916</v>
      </c>
      <c r="CM33" s="3">
        <v>24.875319999999999</v>
      </c>
      <c r="CN33" s="3">
        <v>27.301570000000002</v>
      </c>
      <c r="CO33" s="3">
        <v>27.546150000000001</v>
      </c>
      <c r="CP33" s="2">
        <v>10.22973</v>
      </c>
      <c r="CQ33" s="2">
        <v>0.43379069999999997</v>
      </c>
      <c r="CR33" s="2">
        <v>-0.45796629999999999</v>
      </c>
      <c r="CS33" s="2">
        <v>9.7536330000000007</v>
      </c>
      <c r="CT33" s="2">
        <v>15.705310000000001</v>
      </c>
      <c r="CU33" s="3">
        <v>0.2015622</v>
      </c>
      <c r="CV33" s="2">
        <v>-9.6799739999999996</v>
      </c>
      <c r="CW33" s="2">
        <v>19.051349999999999</v>
      </c>
      <c r="CX33" s="2">
        <v>11.450379999999999</v>
      </c>
      <c r="CY33" s="2">
        <v>20.929290000000002</v>
      </c>
    </row>
    <row r="34" spans="1:103" ht="15" customHeight="1" x14ac:dyDescent="0.2">
      <c r="A34" s="1">
        <f t="shared" si="0"/>
        <v>28</v>
      </c>
      <c r="B34" s="1" t="s">
        <v>89</v>
      </c>
      <c r="C34" s="1" t="s">
        <v>88</v>
      </c>
      <c r="D34" s="1" t="s">
        <v>38</v>
      </c>
      <c r="E34" s="1" t="s">
        <v>90</v>
      </c>
      <c r="F34" s="2">
        <v>2222.2510000000002</v>
      </c>
      <c r="G34" s="2">
        <v>63.25</v>
      </c>
      <c r="H34" s="2">
        <v>1405.5740000000001</v>
      </c>
      <c r="I34" s="3">
        <v>17.785</v>
      </c>
      <c r="J34" s="3">
        <v>0</v>
      </c>
      <c r="K34" s="2">
        <v>0</v>
      </c>
      <c r="L34" s="2">
        <v>0</v>
      </c>
      <c r="M34" s="2">
        <v>0</v>
      </c>
      <c r="N34" s="2">
        <v>0</v>
      </c>
      <c r="O34" s="2">
        <v>46.802630000000001</v>
      </c>
      <c r="P34" s="2">
        <v>26.154409999999999</v>
      </c>
      <c r="Q34" s="2">
        <v>21.427710000000001</v>
      </c>
      <c r="R34" s="2">
        <v>19.123660000000001</v>
      </c>
      <c r="S34" s="2">
        <v>28.65776</v>
      </c>
      <c r="T34" s="2">
        <v>19.892810000000001</v>
      </c>
      <c r="U34" s="2">
        <v>17.16583</v>
      </c>
      <c r="V34" s="2">
        <v>13.532209999999999</v>
      </c>
      <c r="W34" s="2">
        <v>8.9823229999999992</v>
      </c>
      <c r="X34" s="2">
        <v>6.7367419999999996</v>
      </c>
      <c r="Y34" s="2">
        <v>5.1550719999999997</v>
      </c>
      <c r="Z34" s="2">
        <v>4.0885059999999998</v>
      </c>
      <c r="AA34" s="2">
        <v>32.48028</v>
      </c>
      <c r="AB34" s="2">
        <v>23.30395</v>
      </c>
      <c r="AC34" s="2">
        <v>16.757180000000002</v>
      </c>
      <c r="AD34" s="2">
        <v>12.71447</v>
      </c>
      <c r="AE34" s="2">
        <v>-7.8141259999999999</v>
      </c>
      <c r="AF34" s="2">
        <v>-11.65691</v>
      </c>
      <c r="AG34" s="2">
        <v>-8.2459089999999993</v>
      </c>
      <c r="AH34" s="2">
        <v>-10.3529</v>
      </c>
      <c r="AI34" s="2">
        <v>-17.198409999999999</v>
      </c>
      <c r="AJ34" s="2">
        <v>-13.256159999999999</v>
      </c>
      <c r="AK34" s="3">
        <v>1.4111860000000001</v>
      </c>
      <c r="AL34" s="3">
        <v>1.1119289999999999</v>
      </c>
      <c r="AM34" s="2">
        <v>84.912530000000004</v>
      </c>
      <c r="AN34" s="2">
        <v>89.724770000000007</v>
      </c>
      <c r="AO34" s="2">
        <v>84.326710000000006</v>
      </c>
      <c r="AP34" s="2">
        <v>87.301590000000004</v>
      </c>
      <c r="AQ34" s="2">
        <v>5.7033100000000001</v>
      </c>
      <c r="AR34" s="2">
        <v>5.0198559999999999</v>
      </c>
      <c r="AS34" s="2">
        <v>5.5309999999999997</v>
      </c>
      <c r="AT34" s="2">
        <v>5.1145849999999999</v>
      </c>
      <c r="AU34" s="1" t="s">
        <v>31</v>
      </c>
      <c r="AV34" s="3">
        <v>1.9117649999999999</v>
      </c>
      <c r="AW34" s="3">
        <v>20</v>
      </c>
      <c r="AX34" s="2">
        <v>12.454319999999999</v>
      </c>
      <c r="AY34" s="2">
        <v>25.757580000000001</v>
      </c>
      <c r="AZ34" s="2">
        <v>18.5</v>
      </c>
      <c r="BA34" s="2">
        <v>27.719930000000002</v>
      </c>
      <c r="BB34" s="2">
        <v>3.8843390000000002</v>
      </c>
      <c r="BC34" s="3">
        <v>12.074999999999999</v>
      </c>
      <c r="BD34" s="2">
        <v>47.287779999999998</v>
      </c>
      <c r="BE34" s="3">
        <v>24.65</v>
      </c>
      <c r="BF34" s="2">
        <v>-27.849900000000002</v>
      </c>
      <c r="BG34" s="2">
        <v>0</v>
      </c>
      <c r="BH34" s="2">
        <v>0</v>
      </c>
      <c r="BI34" s="2">
        <v>0</v>
      </c>
      <c r="BJ34" s="2">
        <v>0</v>
      </c>
      <c r="BK34" s="2">
        <v>15</v>
      </c>
      <c r="BL34" s="2">
        <v>14</v>
      </c>
      <c r="BM34" s="4">
        <v>17</v>
      </c>
      <c r="BN34" s="4">
        <v>2</v>
      </c>
      <c r="BO34" s="4">
        <v>1</v>
      </c>
      <c r="BP34" s="4">
        <v>16</v>
      </c>
      <c r="BQ34" s="2">
        <v>10.52632</v>
      </c>
      <c r="BR34" s="4">
        <v>7</v>
      </c>
      <c r="BS34" s="4">
        <v>5</v>
      </c>
      <c r="BT34" s="4">
        <v>17</v>
      </c>
      <c r="BU34" s="2">
        <v>41.176470000000002</v>
      </c>
      <c r="BV34" s="2">
        <v>12.7354</v>
      </c>
      <c r="BW34" s="2">
        <v>124.9509</v>
      </c>
      <c r="BX34" s="3">
        <v>0.67702879999999999</v>
      </c>
      <c r="BY34" s="3">
        <v>0.54183599999999998</v>
      </c>
      <c r="BZ34" s="2">
        <v>0.63189499999999998</v>
      </c>
      <c r="CA34" s="3">
        <v>0.54183599999999998</v>
      </c>
      <c r="CB34" s="3">
        <v>0.66181999999999996</v>
      </c>
      <c r="CC34" s="3">
        <v>0.68123670000000003</v>
      </c>
      <c r="CD34" s="2">
        <v>2.9338359999999999</v>
      </c>
      <c r="CE34" s="3">
        <v>121.96510000000001</v>
      </c>
      <c r="CF34" s="3">
        <v>121.9897</v>
      </c>
      <c r="CG34" s="2">
        <v>2.018213E-2</v>
      </c>
      <c r="CH34" s="3">
        <v>18.999410000000001</v>
      </c>
      <c r="CI34" s="2">
        <v>5.2664160000000004</v>
      </c>
      <c r="CJ34" s="3">
        <v>169.4529</v>
      </c>
      <c r="CK34" s="3">
        <v>165.5043</v>
      </c>
      <c r="CL34" s="2">
        <v>-2.330184</v>
      </c>
      <c r="CM34" s="3">
        <v>19.193359999999998</v>
      </c>
      <c r="CN34" s="3">
        <v>18.106280000000002</v>
      </c>
      <c r="CO34" s="3">
        <v>18.92942</v>
      </c>
      <c r="CP34" s="2">
        <v>-7.3377429999999997</v>
      </c>
      <c r="CQ34" s="2">
        <v>-1.774389</v>
      </c>
      <c r="CR34" s="2">
        <v>-6.0457409999999996</v>
      </c>
      <c r="CS34" s="2">
        <v>-5.6638539999999997</v>
      </c>
      <c r="CT34" s="2">
        <v>8.8973589999999998</v>
      </c>
      <c r="CU34" s="3">
        <v>0.40037590000000001</v>
      </c>
      <c r="CV34" s="2">
        <v>5.97532</v>
      </c>
      <c r="CW34" s="2">
        <v>-2.4132410000000002</v>
      </c>
      <c r="CX34" s="2">
        <v>-2.0339459999999998</v>
      </c>
      <c r="CY34" s="2">
        <v>21.101009999999999</v>
      </c>
    </row>
    <row r="35" spans="1:103" ht="15" customHeight="1" x14ac:dyDescent="0.2">
      <c r="A35" s="1">
        <f t="shared" si="0"/>
        <v>29</v>
      </c>
      <c r="B35" s="1" t="s">
        <v>92</v>
      </c>
      <c r="C35" s="1" t="s">
        <v>91</v>
      </c>
      <c r="D35" s="1" t="s">
        <v>3</v>
      </c>
      <c r="E35" s="1" t="s">
        <v>93</v>
      </c>
      <c r="F35" s="2">
        <v>3626.2170000000001</v>
      </c>
      <c r="G35" s="2">
        <v>49.543500000000002</v>
      </c>
      <c r="H35" s="2">
        <v>1796.5550000000001</v>
      </c>
      <c r="I35" s="3">
        <v>6.72</v>
      </c>
      <c r="J35" s="3">
        <v>-5.9604639999999998E-6</v>
      </c>
      <c r="K35" s="2">
        <v>3.2738100000000001</v>
      </c>
      <c r="L35" s="2">
        <v>3.5714290000000002</v>
      </c>
      <c r="M35" s="2">
        <v>3.9032740000000001</v>
      </c>
      <c r="N35" s="2">
        <v>4.1666670000000003</v>
      </c>
      <c r="O35" s="2">
        <v>27.317070000000001</v>
      </c>
      <c r="P35" s="2">
        <v>22.550329999999999</v>
      </c>
      <c r="Q35" s="2">
        <v>19.764710000000001</v>
      </c>
      <c r="R35" s="2">
        <v>18.403449999999999</v>
      </c>
      <c r="S35" s="2">
        <v>36.75835</v>
      </c>
      <c r="T35" s="2">
        <v>30.62398</v>
      </c>
      <c r="U35" s="2">
        <v>29.212510000000002</v>
      </c>
      <c r="V35" s="2">
        <v>26.760380000000001</v>
      </c>
      <c r="W35" s="2">
        <v>0.58895710000000001</v>
      </c>
      <c r="X35" s="2">
        <v>0.60161140000000002</v>
      </c>
      <c r="Y35" s="2">
        <v>0.77152690000000002</v>
      </c>
      <c r="Z35" s="2">
        <v>0.76975950000000004</v>
      </c>
      <c r="AA35" s="2">
        <v>36.673259999999999</v>
      </c>
      <c r="AB35" s="2">
        <v>26.273610000000001</v>
      </c>
      <c r="AC35" s="2">
        <v>21.912189999999999</v>
      </c>
      <c r="AD35" s="2">
        <v>19.431270000000001</v>
      </c>
      <c r="AE35" s="2">
        <v>7.6153780000000004E-2</v>
      </c>
      <c r="AF35" s="2">
        <v>3.3639920000000001</v>
      </c>
      <c r="AG35" s="2">
        <v>2.7868780000000002</v>
      </c>
      <c r="AH35" s="2">
        <v>0.18742700000000001</v>
      </c>
      <c r="AI35" s="2">
        <v>8.2986889999999995</v>
      </c>
      <c r="AJ35" s="2">
        <v>6.8470529999999998</v>
      </c>
      <c r="AK35" s="3">
        <v>2.4995829999999999</v>
      </c>
      <c r="AL35" s="3">
        <v>2.2131210000000001</v>
      </c>
      <c r="AM35" s="2">
        <v>79.299359999999993</v>
      </c>
      <c r="AN35" s="2">
        <v>78.790499999999994</v>
      </c>
      <c r="AO35" s="2">
        <v>78.950199999999995</v>
      </c>
      <c r="AP35" s="2">
        <v>79.362470000000002</v>
      </c>
      <c r="AQ35" s="2">
        <v>18.879519999999999</v>
      </c>
      <c r="AR35" s="2">
        <v>18.996600000000001</v>
      </c>
      <c r="AS35" s="2">
        <v>17.370799999999999</v>
      </c>
      <c r="AT35" s="2">
        <v>15.868410000000001</v>
      </c>
      <c r="AU35" s="1" t="s">
        <v>5</v>
      </c>
      <c r="AV35" s="3">
        <v>1.5</v>
      </c>
      <c r="AW35" s="3">
        <v>7</v>
      </c>
      <c r="AX35" s="2">
        <v>4.1666749999999997</v>
      </c>
      <c r="AY35" s="2">
        <v>2.6678600000000001</v>
      </c>
      <c r="AZ35" s="2">
        <v>9.1413469999999997</v>
      </c>
      <c r="BA35" s="2">
        <v>-11.52074</v>
      </c>
      <c r="BB35" s="2">
        <v>11.813639999999999</v>
      </c>
      <c r="BC35" s="3">
        <v>4.5019999999999998</v>
      </c>
      <c r="BD35" s="2">
        <v>49.26699</v>
      </c>
      <c r="BE35" s="3">
        <v>8.4849999999999994</v>
      </c>
      <c r="BF35" s="2">
        <v>-20.801410000000001</v>
      </c>
      <c r="BG35" s="2">
        <v>91.237579999999994</v>
      </c>
      <c r="BH35" s="2">
        <v>83.858220000000003</v>
      </c>
      <c r="BI35" s="2">
        <v>79.750879999999995</v>
      </c>
      <c r="BJ35" s="2">
        <v>76.980239999999995</v>
      </c>
      <c r="BK35" s="2">
        <v>17</v>
      </c>
      <c r="BL35" s="2">
        <v>11</v>
      </c>
      <c r="BM35" s="4">
        <v>18</v>
      </c>
      <c r="BN35" s="4">
        <v>0</v>
      </c>
      <c r="BO35" s="4">
        <v>2</v>
      </c>
      <c r="BP35" s="4">
        <v>13</v>
      </c>
      <c r="BQ35" s="2">
        <v>0</v>
      </c>
      <c r="BR35" s="4">
        <v>10</v>
      </c>
      <c r="BS35" s="4">
        <v>1</v>
      </c>
      <c r="BT35" s="4">
        <v>18</v>
      </c>
      <c r="BU35" s="2">
        <v>55.55556</v>
      </c>
      <c r="BV35" s="2">
        <v>9.8514999999999997</v>
      </c>
      <c r="BW35" s="2">
        <v>539.61559999999997</v>
      </c>
      <c r="BX35" s="3">
        <v>1.070441</v>
      </c>
      <c r="BY35" s="3">
        <v>0.19837099999999999</v>
      </c>
      <c r="BZ35" s="2">
        <v>1.1871</v>
      </c>
      <c r="CA35" s="3">
        <v>0.19837099999999999</v>
      </c>
      <c r="CB35" s="3">
        <v>0.3282641</v>
      </c>
      <c r="CC35" s="3">
        <v>0.29409760000000001</v>
      </c>
      <c r="CD35" s="2">
        <v>-10.408239999999999</v>
      </c>
      <c r="CE35" s="3">
        <v>269.10579999999999</v>
      </c>
      <c r="CF35" s="3">
        <v>282.26429999999999</v>
      </c>
      <c r="CG35" s="2">
        <v>4.8897269999999997</v>
      </c>
      <c r="CH35" s="3">
        <v>7.6193330000000001</v>
      </c>
      <c r="CI35" s="2">
        <v>-8.1284469999999995</v>
      </c>
      <c r="CJ35" s="3">
        <v>349.46030000000002</v>
      </c>
      <c r="CK35" s="3">
        <v>351.01139999999998</v>
      </c>
      <c r="CL35" s="2">
        <v>0.44387579999999999</v>
      </c>
      <c r="CM35" s="3">
        <v>6.1759700000000004</v>
      </c>
      <c r="CN35" s="3">
        <v>6.4033340000000001</v>
      </c>
      <c r="CO35" s="3">
        <v>6.71</v>
      </c>
      <c r="CP35" s="2">
        <v>8.8088149999999992</v>
      </c>
      <c r="CQ35" s="2">
        <v>4.9453259999999997</v>
      </c>
      <c r="CR35" s="2">
        <v>0.14903549999999999</v>
      </c>
      <c r="CS35" s="2">
        <v>3.6814330000000002</v>
      </c>
      <c r="CT35" s="2">
        <v>7.1315350000000004</v>
      </c>
      <c r="CU35" s="3">
        <v>0.19666600000000001</v>
      </c>
      <c r="CV35" s="2" t="e">
        <v>#N/A</v>
      </c>
      <c r="CW35" s="2" t="e">
        <v>#N/A</v>
      </c>
      <c r="CX35" s="2" t="e">
        <v>#N/A</v>
      </c>
      <c r="CY35" s="2">
        <v>21.818180000000002</v>
      </c>
    </row>
    <row r="36" spans="1:103" ht="15" customHeight="1" x14ac:dyDescent="0.2">
      <c r="A36" s="1">
        <f t="shared" si="0"/>
        <v>30</v>
      </c>
      <c r="B36" s="1" t="s">
        <v>95</v>
      </c>
      <c r="C36" s="1" t="s">
        <v>94</v>
      </c>
      <c r="D36" s="1" t="s">
        <v>22</v>
      </c>
      <c r="E36" s="1" t="s">
        <v>23</v>
      </c>
      <c r="F36" s="2">
        <v>10296.59</v>
      </c>
      <c r="G36" s="2">
        <v>43.419899999999998</v>
      </c>
      <c r="H36" s="2">
        <v>4470.7709999999997</v>
      </c>
      <c r="I36" s="3">
        <v>187.7</v>
      </c>
      <c r="J36" s="3">
        <v>0</v>
      </c>
      <c r="K36" s="2">
        <v>2.1830050000000001</v>
      </c>
      <c r="L36" s="2">
        <v>2.296217</v>
      </c>
      <c r="M36" s="2">
        <v>2.4080979999999998</v>
      </c>
      <c r="N36" s="2">
        <v>2.4587110000000001</v>
      </c>
      <c r="O36" s="2">
        <v>31.030259999999998</v>
      </c>
      <c r="P36" s="2">
        <v>24.68113</v>
      </c>
      <c r="Q36" s="2">
        <v>19.556920000000002</v>
      </c>
      <c r="R36" s="2">
        <v>20.712869999999999</v>
      </c>
      <c r="S36" s="2">
        <v>9.2484179999999991</v>
      </c>
      <c r="T36" s="2">
        <v>7.7988710000000001</v>
      </c>
      <c r="U36" s="2">
        <v>8.6273909999999994</v>
      </c>
      <c r="V36" s="2">
        <v>9.2940839999999998</v>
      </c>
      <c r="W36" s="2">
        <v>2.3880409999999999</v>
      </c>
      <c r="X36" s="2">
        <v>2.2803979999999999</v>
      </c>
      <c r="Y36" s="2">
        <v>2.1477149999999998</v>
      </c>
      <c r="Z36" s="2">
        <v>2.0504479999999998</v>
      </c>
      <c r="AA36" s="2">
        <v>11.383139999999999</v>
      </c>
      <c r="AB36" s="2">
        <v>9.1804699999999997</v>
      </c>
      <c r="AC36" s="2">
        <v>9.3143840000000004</v>
      </c>
      <c r="AD36" s="2">
        <v>9.3110649999999993</v>
      </c>
      <c r="AE36" s="2">
        <v>-4.1455760000000001</v>
      </c>
      <c r="AF36" s="2">
        <v>-4.8282290000000003</v>
      </c>
      <c r="AG36" s="2">
        <v>-9.3210490000000004</v>
      </c>
      <c r="AH36" s="2">
        <v>-6.2991710000000003</v>
      </c>
      <c r="AI36" s="2">
        <v>-7.7814569999999996</v>
      </c>
      <c r="AJ36" s="2">
        <v>-16.29787</v>
      </c>
      <c r="AK36" s="3">
        <v>24.3308</v>
      </c>
      <c r="AL36" s="3">
        <v>19.890139999999999</v>
      </c>
      <c r="AM36" s="2">
        <v>18.299600000000002</v>
      </c>
      <c r="AN36" s="2">
        <v>19.012740000000001</v>
      </c>
      <c r="AO36" s="2">
        <v>19.30106</v>
      </c>
      <c r="AP36" s="2">
        <v>19.278569999999998</v>
      </c>
      <c r="AQ36" s="2">
        <v>3.0303439999999999</v>
      </c>
      <c r="AR36" s="2">
        <v>2.8226909999999998</v>
      </c>
      <c r="AS36" s="2">
        <v>3.2742779999999998</v>
      </c>
      <c r="AT36" s="2">
        <v>3.9786269999999999</v>
      </c>
      <c r="AU36" s="1" t="s">
        <v>31</v>
      </c>
      <c r="AV36" s="3">
        <v>2.3181820000000002</v>
      </c>
      <c r="AW36" s="3">
        <v>200</v>
      </c>
      <c r="AX36" s="2">
        <v>6.5530059999999999</v>
      </c>
      <c r="AY36" s="2">
        <v>9.2394370000000006</v>
      </c>
      <c r="AZ36" s="2">
        <v>1</v>
      </c>
      <c r="BA36" s="2">
        <v>31.99719</v>
      </c>
      <c r="BB36" s="2">
        <v>9.1913940000000007</v>
      </c>
      <c r="BC36" s="3">
        <v>128.4</v>
      </c>
      <c r="BD36" s="2">
        <v>46.183799999999998</v>
      </c>
      <c r="BE36" s="3">
        <v>211</v>
      </c>
      <c r="BF36" s="2">
        <v>-11.04265</v>
      </c>
      <c r="BG36" s="2">
        <v>65.100250000000003</v>
      </c>
      <c r="BH36" s="2">
        <v>54.173999999999999</v>
      </c>
      <c r="BI36" s="2">
        <v>46.443399999999997</v>
      </c>
      <c r="BJ36" s="2">
        <v>49.329149999999998</v>
      </c>
      <c r="BK36" s="2">
        <v>10</v>
      </c>
      <c r="BL36" s="2">
        <v>9</v>
      </c>
      <c r="BM36" s="4">
        <v>11</v>
      </c>
      <c r="BN36" s="4">
        <v>0</v>
      </c>
      <c r="BO36" s="4">
        <v>3</v>
      </c>
      <c r="BP36" s="4">
        <v>11</v>
      </c>
      <c r="BQ36" s="2">
        <v>0</v>
      </c>
      <c r="BR36" s="4">
        <v>2</v>
      </c>
      <c r="BS36" s="4">
        <v>5</v>
      </c>
      <c r="BT36" s="4">
        <v>11</v>
      </c>
      <c r="BU36" s="2">
        <v>18.181819999999998</v>
      </c>
      <c r="BV36" s="2">
        <v>8.3459199999999996</v>
      </c>
      <c r="BW36" s="2">
        <v>54.856650000000002</v>
      </c>
      <c r="BX36" s="3">
        <v>0.10620159999999999</v>
      </c>
      <c r="BY36" s="3">
        <v>0.19359850000000001</v>
      </c>
      <c r="BZ36" s="2">
        <v>0.67214700000000005</v>
      </c>
      <c r="CA36" s="3">
        <v>0.19359850000000001</v>
      </c>
      <c r="CB36" s="3">
        <v>8.0222870000000004</v>
      </c>
      <c r="CC36" s="3">
        <v>7.7145010000000003</v>
      </c>
      <c r="CD36" s="2">
        <v>-3.8366380000000002</v>
      </c>
      <c r="CE36" s="3">
        <v>1228.0409999999999</v>
      </c>
      <c r="CF36" s="3">
        <v>1227.2070000000001</v>
      </c>
      <c r="CG36" s="2">
        <v>-6.791353E-2</v>
      </c>
      <c r="CH36" s="3">
        <v>207.79220000000001</v>
      </c>
      <c r="CI36" s="2">
        <v>-3.7500079999999998</v>
      </c>
      <c r="CJ36" s="3">
        <v>9796.4549999999999</v>
      </c>
      <c r="CK36" s="3">
        <v>9961.43</v>
      </c>
      <c r="CL36" s="2">
        <v>1.6840219999999999</v>
      </c>
      <c r="CM36" s="3">
        <v>185.12139999999999</v>
      </c>
      <c r="CN36" s="3">
        <v>180.94120000000001</v>
      </c>
      <c r="CO36" s="3">
        <v>185.7423</v>
      </c>
      <c r="CP36" s="2">
        <v>1.3929370000000001</v>
      </c>
      <c r="CQ36" s="2">
        <v>3.735363</v>
      </c>
      <c r="CR36" s="2">
        <v>1.0539769999999999</v>
      </c>
      <c r="CS36" s="2">
        <v>-2.258092</v>
      </c>
      <c r="CT36" s="2">
        <v>14.65596</v>
      </c>
      <c r="CU36" s="3">
        <v>0.14233799999999999</v>
      </c>
      <c r="CV36" s="2" t="e">
        <v>#N/A</v>
      </c>
      <c r="CW36" s="2" t="e">
        <v>#N/A</v>
      </c>
      <c r="CX36" s="2" t="e">
        <v>#N/A</v>
      </c>
      <c r="CY36" s="2">
        <v>22.55556</v>
      </c>
    </row>
    <row r="37" spans="1:103" ht="15" customHeight="1" x14ac:dyDescent="0.2">
      <c r="A37" s="1">
        <f t="shared" si="0"/>
        <v>31</v>
      </c>
      <c r="B37" s="1" t="s">
        <v>97</v>
      </c>
      <c r="C37" s="1" t="s">
        <v>96</v>
      </c>
      <c r="D37" s="1" t="s">
        <v>38</v>
      </c>
      <c r="E37" s="1" t="s">
        <v>98</v>
      </c>
      <c r="F37" s="2">
        <v>4389.6440000000002</v>
      </c>
      <c r="G37" s="2">
        <v>86.662800000000004</v>
      </c>
      <c r="H37" s="2">
        <v>3804.1880000000001</v>
      </c>
      <c r="I37" s="3">
        <v>16.754999999999999</v>
      </c>
      <c r="J37" s="3">
        <v>0</v>
      </c>
      <c r="K37" s="2">
        <v>10.146229999999999</v>
      </c>
      <c r="L37" s="2">
        <v>10.26559</v>
      </c>
      <c r="M37" s="2">
        <v>10.38496</v>
      </c>
      <c r="N37" s="2">
        <v>10.38496</v>
      </c>
      <c r="O37" s="2">
        <v>10.87987</v>
      </c>
      <c r="P37" s="2">
        <v>11.55517</v>
      </c>
      <c r="Q37" s="2">
        <v>16.380269999999999</v>
      </c>
      <c r="R37" s="2">
        <v>17.824470000000002</v>
      </c>
      <c r="S37" s="2">
        <v>10.750389999999999</v>
      </c>
      <c r="T37" s="2">
        <v>9.7683250000000008</v>
      </c>
      <c r="U37" s="2">
        <v>10.8278</v>
      </c>
      <c r="V37" s="2">
        <v>11.378679999999999</v>
      </c>
      <c r="W37" s="2">
        <v>1.4211560000000001</v>
      </c>
      <c r="X37" s="2">
        <v>1.4445790000000001</v>
      </c>
      <c r="Y37" s="2">
        <v>1.5300609999999999</v>
      </c>
      <c r="Z37" s="2">
        <v>1.631451</v>
      </c>
      <c r="AA37" s="2">
        <v>6.2752800000000004</v>
      </c>
      <c r="AB37" s="2">
        <v>7.2833360000000003</v>
      </c>
      <c r="AC37" s="2">
        <v>8.0149860000000004</v>
      </c>
      <c r="AD37" s="2">
        <v>7.6536479999999996</v>
      </c>
      <c r="AE37" s="2">
        <v>8.2433820000000004</v>
      </c>
      <c r="AF37" s="2">
        <v>4.8268110000000002</v>
      </c>
      <c r="AG37" s="2">
        <v>5.9532670000000003</v>
      </c>
      <c r="AH37" s="2">
        <v>15.205220000000001</v>
      </c>
      <c r="AI37" s="2">
        <v>8.9441839999999999</v>
      </c>
      <c r="AJ37" s="2">
        <v>10.913410000000001</v>
      </c>
      <c r="AK37" s="3" t="e">
        <v>#N/A</v>
      </c>
      <c r="AL37" s="3" t="e">
        <v>#N/A</v>
      </c>
      <c r="AM37" s="2">
        <v>90.294589999999999</v>
      </c>
      <c r="AN37" s="2">
        <v>82.819980000000001</v>
      </c>
      <c r="AO37" s="2">
        <v>81.310519999999997</v>
      </c>
      <c r="AP37" s="2">
        <v>79.63964</v>
      </c>
      <c r="AQ37" s="2">
        <v>4.7787709999999999</v>
      </c>
      <c r="AR37" s="2">
        <v>4.6578900000000001</v>
      </c>
      <c r="AS37" s="2">
        <v>4.9844780000000002</v>
      </c>
      <c r="AT37" s="2">
        <v>5.1716069999999998</v>
      </c>
      <c r="AU37" s="1" t="s">
        <v>31</v>
      </c>
      <c r="AV37" s="3">
        <v>2.3043480000000001</v>
      </c>
      <c r="AW37" s="3">
        <v>16.7</v>
      </c>
      <c r="AX37" s="2">
        <v>-0.3282487</v>
      </c>
      <c r="AY37" s="2">
        <v>12.501580000000001</v>
      </c>
      <c r="AZ37" s="2">
        <v>-11.197800000000001</v>
      </c>
      <c r="BA37" s="2">
        <v>-9.6522039999999993</v>
      </c>
      <c r="BB37" s="2">
        <v>7.9226970000000003</v>
      </c>
      <c r="BC37" s="3">
        <v>14.25</v>
      </c>
      <c r="BD37" s="2">
        <v>17.578939999999999</v>
      </c>
      <c r="BE37" s="3">
        <v>22.3</v>
      </c>
      <c r="BF37" s="2">
        <v>-24.865469999999998</v>
      </c>
      <c r="BG37" s="2">
        <v>110.2928</v>
      </c>
      <c r="BH37" s="2">
        <v>117.5919</v>
      </c>
      <c r="BI37" s="2">
        <v>157.6917</v>
      </c>
      <c r="BJ37" s="2">
        <v>175.38390000000001</v>
      </c>
      <c r="BK37" s="2">
        <v>21</v>
      </c>
      <c r="BL37" s="2">
        <v>21</v>
      </c>
      <c r="BM37" s="4">
        <v>23</v>
      </c>
      <c r="BN37" s="4">
        <v>0</v>
      </c>
      <c r="BO37" s="4">
        <v>2</v>
      </c>
      <c r="BP37" s="4">
        <v>21</v>
      </c>
      <c r="BQ37" s="2">
        <v>0</v>
      </c>
      <c r="BR37" s="4">
        <v>3</v>
      </c>
      <c r="BS37" s="4">
        <v>11</v>
      </c>
      <c r="BT37" s="4">
        <v>23</v>
      </c>
      <c r="BU37" s="2">
        <v>13.043480000000001</v>
      </c>
      <c r="BV37" s="2">
        <v>7.3442600000000002</v>
      </c>
      <c r="BW37" s="2">
        <v>261.99009999999998</v>
      </c>
      <c r="BX37" s="3">
        <v>1.0476730000000001</v>
      </c>
      <c r="BY37" s="3">
        <v>0.39989019999999997</v>
      </c>
      <c r="BZ37" s="2">
        <v>0.62417900000000004</v>
      </c>
      <c r="CA37" s="3">
        <v>0.39989019999999997</v>
      </c>
      <c r="CB37" s="3">
        <v>1.475379</v>
      </c>
      <c r="CC37" s="3">
        <v>1.462175</v>
      </c>
      <c r="CD37" s="2">
        <v>-0.894922</v>
      </c>
      <c r="CE37" s="3">
        <v>489.67410000000001</v>
      </c>
      <c r="CF37" s="3">
        <v>477.79969999999997</v>
      </c>
      <c r="CG37" s="2">
        <v>-2.4249550000000002</v>
      </c>
      <c r="CH37" s="3">
        <v>17.148890000000002</v>
      </c>
      <c r="CI37" s="2">
        <v>-2.6175980000000001</v>
      </c>
      <c r="CJ37" s="3">
        <v>951.37819999999999</v>
      </c>
      <c r="CK37" s="3">
        <v>958.13919999999996</v>
      </c>
      <c r="CL37" s="2">
        <v>0.71065429999999996</v>
      </c>
      <c r="CM37" s="3">
        <v>18.052610000000001</v>
      </c>
      <c r="CN37" s="3">
        <v>16.510100000000001</v>
      </c>
      <c r="CO37" s="3">
        <v>16.69096</v>
      </c>
      <c r="CP37" s="2">
        <v>-7.1879629999999999</v>
      </c>
      <c r="CQ37" s="2">
        <v>1.483333</v>
      </c>
      <c r="CR37" s="2">
        <v>0.38367509999999999</v>
      </c>
      <c r="CS37" s="2">
        <v>-8.5445519999999995</v>
      </c>
      <c r="CT37" s="2">
        <v>17.88457</v>
      </c>
      <c r="CU37" s="3">
        <v>0.40742660000000003</v>
      </c>
      <c r="CV37" s="2">
        <v>37.032330000000002</v>
      </c>
      <c r="CW37" s="2">
        <v>1.9512700000000001</v>
      </c>
      <c r="CX37" s="2">
        <v>6.5789479999999996</v>
      </c>
      <c r="CY37" s="2">
        <v>22.898990000000001</v>
      </c>
    </row>
    <row r="38" spans="1:103" ht="15" customHeight="1" x14ac:dyDescent="0.2">
      <c r="A38" s="1">
        <f t="shared" si="0"/>
        <v>32</v>
      </c>
      <c r="B38" s="1" t="s">
        <v>100</v>
      </c>
      <c r="C38" s="1" t="s">
        <v>99</v>
      </c>
      <c r="D38" s="1" t="s">
        <v>3</v>
      </c>
      <c r="E38" s="1" t="s">
        <v>93</v>
      </c>
      <c r="F38" s="2">
        <v>4258.4719999999998</v>
      </c>
      <c r="G38" s="2">
        <v>66.211399999999998</v>
      </c>
      <c r="H38" s="2">
        <v>2819.5940000000001</v>
      </c>
      <c r="I38" s="3">
        <v>9.0649999999999995</v>
      </c>
      <c r="J38" s="3">
        <v>0</v>
      </c>
      <c r="K38" s="2">
        <v>4.4125759999999996</v>
      </c>
      <c r="L38" s="2">
        <v>12.906779999999999</v>
      </c>
      <c r="M38" s="2">
        <v>4.881583</v>
      </c>
      <c r="N38" s="2">
        <v>5.0193050000000001</v>
      </c>
      <c r="O38" s="2">
        <v>15.62931</v>
      </c>
      <c r="P38" s="2">
        <v>15.08319</v>
      </c>
      <c r="Q38" s="2">
        <v>15.58906</v>
      </c>
      <c r="R38" s="2">
        <v>14.26436</v>
      </c>
      <c r="S38" s="2">
        <v>27.384450000000001</v>
      </c>
      <c r="T38" s="2">
        <v>23.892720000000001</v>
      </c>
      <c r="U38" s="2">
        <v>23.080570000000002</v>
      </c>
      <c r="V38" s="2">
        <v>21.662320000000001</v>
      </c>
      <c r="W38" s="2">
        <v>0.60594919999999997</v>
      </c>
      <c r="X38" s="2">
        <v>0.64185460000000005</v>
      </c>
      <c r="Y38" s="2">
        <v>0.71340179999999997</v>
      </c>
      <c r="Z38" s="2">
        <v>0.70951869999999995</v>
      </c>
      <c r="AA38" s="2">
        <v>15.867470000000001</v>
      </c>
      <c r="AB38" s="2">
        <v>16.402480000000001</v>
      </c>
      <c r="AC38" s="2">
        <v>16.153569999999998</v>
      </c>
      <c r="AD38" s="2">
        <v>14.994479999999999</v>
      </c>
      <c r="AE38" s="2">
        <v>4.8163460000000002</v>
      </c>
      <c r="AF38" s="2">
        <v>1.7761940000000001</v>
      </c>
      <c r="AG38" s="2">
        <v>2.1092</v>
      </c>
      <c r="AH38" s="2">
        <v>9.2067019999999999</v>
      </c>
      <c r="AI38" s="2">
        <v>3.4429690000000002</v>
      </c>
      <c r="AJ38" s="2">
        <v>4.1529670000000003</v>
      </c>
      <c r="AK38" s="3">
        <v>3.973328</v>
      </c>
      <c r="AL38" s="3">
        <v>3.9466299999999999</v>
      </c>
      <c r="AM38" s="2">
        <v>71.848399999999998</v>
      </c>
      <c r="AN38" s="2">
        <v>73.74794</v>
      </c>
      <c r="AO38" s="2">
        <v>75.611639999999994</v>
      </c>
      <c r="AP38" s="2">
        <v>76.736949999999993</v>
      </c>
      <c r="AQ38" s="2">
        <v>15.001300000000001</v>
      </c>
      <c r="AR38" s="2">
        <v>11.587529999999999</v>
      </c>
      <c r="AS38" s="2">
        <v>11.17353</v>
      </c>
      <c r="AT38" s="2">
        <v>10.66051</v>
      </c>
      <c r="AU38" s="1" t="s">
        <v>5</v>
      </c>
      <c r="AV38" s="3">
        <v>1.441176</v>
      </c>
      <c r="AW38" s="3">
        <v>10.3</v>
      </c>
      <c r="AX38" s="2">
        <v>13.62383</v>
      </c>
      <c r="AY38" s="2">
        <v>4.2554290000000004</v>
      </c>
      <c r="AZ38" s="2">
        <v>3.8466770000000001</v>
      </c>
      <c r="BA38" s="2">
        <v>-10.99657</v>
      </c>
      <c r="BB38" s="2">
        <v>3.3048389999999999</v>
      </c>
      <c r="BC38" s="3">
        <v>7.24</v>
      </c>
      <c r="BD38" s="2">
        <v>25.207190000000001</v>
      </c>
      <c r="BE38" s="3">
        <v>11.11</v>
      </c>
      <c r="BF38" s="2">
        <v>-18.406849999999999</v>
      </c>
      <c r="BG38" s="2">
        <v>69.220339999999993</v>
      </c>
      <c r="BH38" s="2">
        <v>187.0119</v>
      </c>
      <c r="BI38" s="2">
        <v>74.226010000000002</v>
      </c>
      <c r="BJ38" s="2">
        <v>71.81729</v>
      </c>
      <c r="BK38" s="2">
        <v>13</v>
      </c>
      <c r="BL38" s="2">
        <v>12</v>
      </c>
      <c r="BM38" s="4">
        <v>17</v>
      </c>
      <c r="BN38" s="4">
        <v>0</v>
      </c>
      <c r="BO38" s="4">
        <v>1</v>
      </c>
      <c r="BP38" s="4">
        <v>14</v>
      </c>
      <c r="BQ38" s="2">
        <v>0</v>
      </c>
      <c r="BR38" s="4">
        <v>10</v>
      </c>
      <c r="BS38" s="4">
        <v>0</v>
      </c>
      <c r="BT38" s="4">
        <v>17</v>
      </c>
      <c r="BU38" s="2">
        <v>58.823529999999998</v>
      </c>
      <c r="BV38" s="2">
        <v>12.2865</v>
      </c>
      <c r="BW38" s="2">
        <v>469.77080000000001</v>
      </c>
      <c r="BX38" s="3">
        <v>0.87020920000000002</v>
      </c>
      <c r="BY38" s="3">
        <v>0.1852413</v>
      </c>
      <c r="BZ38" s="2">
        <v>1.3238000000000001</v>
      </c>
      <c r="CA38" s="3">
        <v>0.1852413</v>
      </c>
      <c r="CB38" s="3">
        <v>0.58001239999999998</v>
      </c>
      <c r="CC38" s="3">
        <v>0.59309959999999995</v>
      </c>
      <c r="CD38" s="2">
        <v>2.2563580000000001</v>
      </c>
      <c r="CE38" s="3">
        <v>382.9325</v>
      </c>
      <c r="CF38" s="3">
        <v>377.41340000000002</v>
      </c>
      <c r="CG38" s="2">
        <v>-1.4412640000000001</v>
      </c>
      <c r="CH38" s="3">
        <v>10.88053</v>
      </c>
      <c r="CI38" s="2">
        <v>-5.3354619999999997</v>
      </c>
      <c r="CJ38" s="3">
        <v>452.05509999999998</v>
      </c>
      <c r="CK38" s="3">
        <v>453.94709999999998</v>
      </c>
      <c r="CL38" s="2">
        <v>0.41854380000000002</v>
      </c>
      <c r="CM38" s="3">
        <v>9.2148489999999992</v>
      </c>
      <c r="CN38" s="3">
        <v>9.0250009999999996</v>
      </c>
      <c r="CO38" s="3">
        <v>9.1226920000000007</v>
      </c>
      <c r="CP38" s="2">
        <v>-1.6261760000000001</v>
      </c>
      <c r="CQ38" s="2">
        <v>0.4432082</v>
      </c>
      <c r="CR38" s="2">
        <v>-0.63240529999999995</v>
      </c>
      <c r="CS38" s="2">
        <v>-2.0602520000000002</v>
      </c>
      <c r="CT38" s="2">
        <v>6.160787</v>
      </c>
      <c r="CU38" s="3">
        <v>0.1446713</v>
      </c>
      <c r="CV38" s="2">
        <v>0</v>
      </c>
      <c r="CW38" s="2">
        <v>5.1504960000000004</v>
      </c>
      <c r="CX38" s="2">
        <v>1.0066679999999999</v>
      </c>
      <c r="CY38" s="2">
        <v>22.898990000000001</v>
      </c>
    </row>
    <row r="39" spans="1:103" ht="15" customHeight="1" x14ac:dyDescent="0.2">
      <c r="A39" s="1">
        <f t="shared" si="0"/>
        <v>33</v>
      </c>
      <c r="B39" s="1" t="s">
        <v>102</v>
      </c>
      <c r="C39" s="1" t="s">
        <v>101</v>
      </c>
      <c r="D39" s="1" t="s">
        <v>22</v>
      </c>
      <c r="E39" s="1" t="s">
        <v>23</v>
      </c>
      <c r="F39" s="2">
        <v>8787.1389999999992</v>
      </c>
      <c r="G39" s="2">
        <v>74.641300000000001</v>
      </c>
      <c r="H39" s="2">
        <v>6558.8339999999998</v>
      </c>
      <c r="I39" s="3">
        <v>16.239999999999998</v>
      </c>
      <c r="J39" s="3">
        <v>0</v>
      </c>
      <c r="K39" s="2">
        <v>6.1576360000000001</v>
      </c>
      <c r="L39" s="2">
        <v>6.1576360000000001</v>
      </c>
      <c r="M39" s="2">
        <v>6.1576360000000001</v>
      </c>
      <c r="N39" s="2">
        <v>4.9261080000000002</v>
      </c>
      <c r="O39" s="2">
        <v>12.88889</v>
      </c>
      <c r="P39" s="2">
        <v>13.105180000000001</v>
      </c>
      <c r="Q39" s="2">
        <v>13.366250000000001</v>
      </c>
      <c r="R39" s="2">
        <v>17.221630000000001</v>
      </c>
      <c r="S39" s="2">
        <v>10.68107</v>
      </c>
      <c r="T39" s="2">
        <v>9.1474849999999996</v>
      </c>
      <c r="U39" s="2">
        <v>9.3568149999999992</v>
      </c>
      <c r="V39" s="2">
        <v>10.7637</v>
      </c>
      <c r="W39" s="2">
        <v>2.4238810000000002</v>
      </c>
      <c r="X39" s="2">
        <v>1.905761</v>
      </c>
      <c r="Y39" s="2">
        <v>1.9241710000000001</v>
      </c>
      <c r="Z39" s="2">
        <v>1.9196219999999999</v>
      </c>
      <c r="AA39" s="2">
        <v>7.3792479999999996</v>
      </c>
      <c r="AB39" s="2">
        <v>7.3127969999999998</v>
      </c>
      <c r="AC39" s="2">
        <v>7.7726990000000002</v>
      </c>
      <c r="AD39" s="2">
        <v>8.2610080000000004</v>
      </c>
      <c r="AE39" s="2">
        <v>5.6252380000000004</v>
      </c>
      <c r="AF39" s="2">
        <v>0.74845030000000001</v>
      </c>
      <c r="AG39" s="2">
        <v>1.3693</v>
      </c>
      <c r="AH39" s="2">
        <v>8.8564220000000002</v>
      </c>
      <c r="AI39" s="2">
        <v>1.22207</v>
      </c>
      <c r="AJ39" s="2">
        <v>2.2953160000000001</v>
      </c>
      <c r="AK39" s="3" t="e">
        <v>#N/A</v>
      </c>
      <c r="AL39" s="3" t="e">
        <v>#N/A</v>
      </c>
      <c r="AM39" s="2">
        <v>76.736770000000007</v>
      </c>
      <c r="AN39" s="2">
        <v>75.450689999999994</v>
      </c>
      <c r="AO39" s="2">
        <v>75.208129999999997</v>
      </c>
      <c r="AP39" s="2">
        <v>74.534450000000007</v>
      </c>
      <c r="AQ39" s="2">
        <v>3.8121309999999999</v>
      </c>
      <c r="AR39" s="2">
        <v>3.3347669999999998</v>
      </c>
      <c r="AS39" s="2">
        <v>3.6262810000000001</v>
      </c>
      <c r="AT39" s="2">
        <v>4.3424750000000003</v>
      </c>
      <c r="AU39" s="1" t="s">
        <v>31</v>
      </c>
      <c r="AV39" s="3">
        <v>2.2380949999999999</v>
      </c>
      <c r="AW39" s="3">
        <v>16.484999999999999</v>
      </c>
      <c r="AX39" s="2">
        <v>1.508629</v>
      </c>
      <c r="AY39" s="2">
        <v>14.54205</v>
      </c>
      <c r="AZ39" s="2">
        <v>-8.5</v>
      </c>
      <c r="BA39" s="2">
        <v>-3.7059009999999999</v>
      </c>
      <c r="BB39" s="2">
        <v>-0.12300609999999999</v>
      </c>
      <c r="BC39" s="3">
        <v>14.505000000000001</v>
      </c>
      <c r="BD39" s="2">
        <v>11.96139</v>
      </c>
      <c r="BE39" s="3">
        <v>20.05</v>
      </c>
      <c r="BF39" s="2">
        <v>-19.002490000000002</v>
      </c>
      <c r="BG39" s="2">
        <v>79.41798</v>
      </c>
      <c r="BH39" s="2">
        <v>80.848299999999995</v>
      </c>
      <c r="BI39" s="2">
        <v>82.156360000000006</v>
      </c>
      <c r="BJ39" s="2">
        <v>87.272800000000004</v>
      </c>
      <c r="BK39" s="2">
        <v>18</v>
      </c>
      <c r="BL39" s="2">
        <v>17</v>
      </c>
      <c r="BM39" s="4">
        <v>21</v>
      </c>
      <c r="BN39" s="4">
        <v>2</v>
      </c>
      <c r="BO39" s="4">
        <v>1</v>
      </c>
      <c r="BP39" s="4">
        <v>19</v>
      </c>
      <c r="BQ39" s="2">
        <v>9.0909089999999999</v>
      </c>
      <c r="BR39" s="4">
        <v>2</v>
      </c>
      <c r="BS39" s="4">
        <v>8</v>
      </c>
      <c r="BT39" s="4">
        <v>21</v>
      </c>
      <c r="BU39" s="2">
        <v>9.523809</v>
      </c>
      <c r="BV39" s="2">
        <v>5.6611399999999996</v>
      </c>
      <c r="BW39" s="2">
        <v>541.08000000000004</v>
      </c>
      <c r="BX39" s="3">
        <v>1.300886</v>
      </c>
      <c r="BY39" s="3">
        <v>0.2404239</v>
      </c>
      <c r="BZ39" s="2">
        <v>0.42801400000000001</v>
      </c>
      <c r="CA39" s="3">
        <v>0.2404239</v>
      </c>
      <c r="CB39" s="3">
        <v>1.248615</v>
      </c>
      <c r="CC39" s="3">
        <v>1.2368840000000001</v>
      </c>
      <c r="CD39" s="2">
        <v>-0.93946459999999998</v>
      </c>
      <c r="CE39" s="3">
        <v>995.04240000000004</v>
      </c>
      <c r="CF39" s="3">
        <v>980.0471</v>
      </c>
      <c r="CG39" s="2">
        <v>-1.507002</v>
      </c>
      <c r="CH39" s="3">
        <v>16.60933</v>
      </c>
      <c r="CI39" s="2">
        <v>-0.74856880000000003</v>
      </c>
      <c r="CJ39" s="3">
        <v>2009.951</v>
      </c>
      <c r="CK39" s="3">
        <v>2005.133</v>
      </c>
      <c r="CL39" s="2">
        <v>-0.2397299</v>
      </c>
      <c r="CM39" s="3">
        <v>17.556000000000001</v>
      </c>
      <c r="CN39" s="3">
        <v>16.569510000000001</v>
      </c>
      <c r="CO39" s="3">
        <v>16.3825</v>
      </c>
      <c r="CP39" s="2">
        <v>-7.4960050000000003</v>
      </c>
      <c r="CQ39" s="2">
        <v>-1.988631</v>
      </c>
      <c r="CR39" s="2">
        <v>-0.8698285</v>
      </c>
      <c r="CS39" s="2">
        <v>-5.6191149999999999</v>
      </c>
      <c r="CT39" s="2">
        <v>18.227250000000002</v>
      </c>
      <c r="CU39" s="3">
        <v>0.207431</v>
      </c>
      <c r="CV39" s="2">
        <v>9.2701440000000002</v>
      </c>
      <c r="CW39" s="2">
        <v>1.761252</v>
      </c>
      <c r="CX39" s="2">
        <v>-2.072794</v>
      </c>
      <c r="CY39" s="2">
        <v>23.292929999999998</v>
      </c>
    </row>
    <row r="40" spans="1:103" ht="15" customHeight="1" x14ac:dyDescent="0.2">
      <c r="A40" s="1">
        <f t="shared" si="0"/>
        <v>34</v>
      </c>
      <c r="B40" s="1" t="s">
        <v>104</v>
      </c>
      <c r="C40" s="1" t="s">
        <v>103</v>
      </c>
      <c r="D40" s="1" t="s">
        <v>38</v>
      </c>
      <c r="E40" s="1" t="s">
        <v>90</v>
      </c>
      <c r="F40" s="2">
        <v>12300.8</v>
      </c>
      <c r="G40" s="2">
        <v>17.229199999999999</v>
      </c>
      <c r="H40" s="2">
        <v>2119.33</v>
      </c>
      <c r="I40" s="3">
        <v>37.36</v>
      </c>
      <c r="J40" s="3">
        <v>0</v>
      </c>
      <c r="K40" s="2">
        <v>0.74946460000000004</v>
      </c>
      <c r="L40" s="2">
        <v>1.33833</v>
      </c>
      <c r="M40" s="2">
        <v>1.4453959999999999</v>
      </c>
      <c r="N40" s="2">
        <v>1.4411069999999999</v>
      </c>
      <c r="O40" s="2">
        <v>33.963630000000002</v>
      </c>
      <c r="P40" s="2">
        <v>18.587060000000001</v>
      </c>
      <c r="Q40" s="2">
        <v>19.560210000000001</v>
      </c>
      <c r="R40" s="2">
        <v>20.871510000000001</v>
      </c>
      <c r="S40" s="2">
        <v>11.709009999999999</v>
      </c>
      <c r="T40" s="2">
        <v>9.0708599999999997</v>
      </c>
      <c r="U40" s="2">
        <v>9.9645030000000006</v>
      </c>
      <c r="V40" s="2">
        <v>10.970499999999999</v>
      </c>
      <c r="W40" s="2">
        <v>2.4725350000000001</v>
      </c>
      <c r="X40" s="2">
        <v>2.2216909999999999</v>
      </c>
      <c r="Y40" s="2">
        <v>2.049369</v>
      </c>
      <c r="Z40" s="2">
        <v>1.905038</v>
      </c>
      <c r="AA40" s="2">
        <v>16.424040000000002</v>
      </c>
      <c r="AB40" s="2">
        <v>12.021330000000001</v>
      </c>
      <c r="AC40" s="2">
        <v>11.130089999999999</v>
      </c>
      <c r="AD40" s="2">
        <v>10.87627</v>
      </c>
      <c r="AE40" s="2">
        <v>-0.7809412</v>
      </c>
      <c r="AF40" s="2">
        <v>-4.6711850000000004</v>
      </c>
      <c r="AG40" s="2">
        <v>-5.7360920000000002</v>
      </c>
      <c r="AH40" s="2">
        <v>-0.92042219999999997</v>
      </c>
      <c r="AI40" s="2">
        <v>-5.838686</v>
      </c>
      <c r="AJ40" s="2">
        <v>-7.8373220000000003</v>
      </c>
      <c r="AK40" s="3">
        <v>1.229781</v>
      </c>
      <c r="AL40" s="3">
        <v>1.2833909999999999</v>
      </c>
      <c r="AM40" s="2">
        <v>43.932040000000001</v>
      </c>
      <c r="AN40" s="2">
        <v>40.883980000000001</v>
      </c>
      <c r="AO40" s="2">
        <v>45.037939999999999</v>
      </c>
      <c r="AP40" s="2">
        <v>44.207180000000001</v>
      </c>
      <c r="AQ40" s="2">
        <v>1.8314919999999999</v>
      </c>
      <c r="AR40" s="2">
        <v>1.4137710000000001</v>
      </c>
      <c r="AS40" s="2">
        <v>1.992499</v>
      </c>
      <c r="AT40" s="2">
        <v>2.9412530000000001</v>
      </c>
      <c r="AU40" s="1" t="s">
        <v>31</v>
      </c>
      <c r="AV40" s="3">
        <v>1.785714</v>
      </c>
      <c r="AW40" s="3">
        <v>41</v>
      </c>
      <c r="AX40" s="2">
        <v>9.7430339999999998</v>
      </c>
      <c r="AY40" s="2">
        <v>11.95289</v>
      </c>
      <c r="AZ40" s="2">
        <v>15.6</v>
      </c>
      <c r="BA40" s="2">
        <v>34.630629999999996</v>
      </c>
      <c r="BB40" s="2">
        <v>3.375769</v>
      </c>
      <c r="BC40" s="3">
        <v>26</v>
      </c>
      <c r="BD40" s="2">
        <v>43.692309999999999</v>
      </c>
      <c r="BE40" s="3">
        <v>44.2</v>
      </c>
      <c r="BF40" s="2">
        <v>-15.475110000000001</v>
      </c>
      <c r="BG40" s="2">
        <v>26.153510000000001</v>
      </c>
      <c r="BH40" s="2">
        <v>23.020289999999999</v>
      </c>
      <c r="BI40" s="2">
        <v>28.513089999999998</v>
      </c>
      <c r="BJ40" s="2">
        <v>31.038730000000001</v>
      </c>
      <c r="BK40" s="2">
        <v>21</v>
      </c>
      <c r="BL40" s="2">
        <v>19</v>
      </c>
      <c r="BM40" s="4">
        <v>21</v>
      </c>
      <c r="BN40" s="4">
        <v>2</v>
      </c>
      <c r="BO40" s="4">
        <v>2</v>
      </c>
      <c r="BP40" s="4">
        <v>18</v>
      </c>
      <c r="BQ40" s="2">
        <v>9.0909089999999999</v>
      </c>
      <c r="BR40" s="4">
        <v>8</v>
      </c>
      <c r="BS40" s="4">
        <v>3</v>
      </c>
      <c r="BT40" s="4">
        <v>21</v>
      </c>
      <c r="BU40" s="2">
        <v>38.095239999999997</v>
      </c>
      <c r="BV40" s="2">
        <v>7.9653299999999998</v>
      </c>
      <c r="BW40" s="2">
        <v>329.25060000000002</v>
      </c>
      <c r="BX40" s="3">
        <v>0.26391490000000001</v>
      </c>
      <c r="BY40" s="3">
        <v>8.0156249999999998E-2</v>
      </c>
      <c r="BZ40" s="2">
        <v>0.40462199999999998</v>
      </c>
      <c r="CA40" s="3">
        <v>8.0156249999999998E-2</v>
      </c>
      <c r="CB40" s="3">
        <v>2.0733109999999999</v>
      </c>
      <c r="CC40" s="3">
        <v>2.0313219999999998</v>
      </c>
      <c r="CD40" s="2">
        <v>-2.0251869999999998</v>
      </c>
      <c r="CE40" s="3">
        <v>1137.518</v>
      </c>
      <c r="CF40" s="3">
        <v>1125.8230000000001</v>
      </c>
      <c r="CG40" s="2">
        <v>-1.0281210000000001</v>
      </c>
      <c r="CH40" s="3">
        <v>42.994450000000001</v>
      </c>
      <c r="CI40" s="2">
        <v>-4.6388439999999997</v>
      </c>
      <c r="CJ40" s="3">
        <v>3737.0250000000001</v>
      </c>
      <c r="CK40" s="3">
        <v>3732.5830000000001</v>
      </c>
      <c r="CL40" s="2">
        <v>-0.1188755</v>
      </c>
      <c r="CM40" s="3">
        <v>38.35183</v>
      </c>
      <c r="CN40" s="3">
        <v>36.911769999999997</v>
      </c>
      <c r="CO40" s="3">
        <v>37.456150000000001</v>
      </c>
      <c r="CP40" s="2">
        <v>-2.586144</v>
      </c>
      <c r="CQ40" s="2">
        <v>1.2143250000000001</v>
      </c>
      <c r="CR40" s="2">
        <v>-0.25671119999999997</v>
      </c>
      <c r="CS40" s="2">
        <v>-3.7548780000000002</v>
      </c>
      <c r="CT40" s="2">
        <v>13.467040000000001</v>
      </c>
      <c r="CU40" s="3">
        <v>0.10948099999999999</v>
      </c>
      <c r="CV40" s="2">
        <v>0</v>
      </c>
      <c r="CW40" s="2">
        <v>0.28099049999999998</v>
      </c>
      <c r="CX40" s="2" t="e">
        <v>#N/A</v>
      </c>
      <c r="CY40" s="2">
        <v>23.373740000000002</v>
      </c>
    </row>
    <row r="41" spans="1:103" ht="15" customHeight="1" x14ac:dyDescent="0.2">
      <c r="A41" s="1">
        <f t="shared" si="0"/>
        <v>35</v>
      </c>
      <c r="B41" s="1" t="s">
        <v>106</v>
      </c>
      <c r="C41" s="1" t="s">
        <v>105</v>
      </c>
      <c r="D41" s="1" t="s">
        <v>3</v>
      </c>
      <c r="E41" s="1" t="s">
        <v>107</v>
      </c>
      <c r="F41" s="2">
        <v>5968.174</v>
      </c>
      <c r="G41" s="2">
        <v>29.200399999999998</v>
      </c>
      <c r="H41" s="2">
        <v>1742.731</v>
      </c>
      <c r="I41" s="3">
        <v>1.9379999999999999</v>
      </c>
      <c r="J41" s="3">
        <v>0</v>
      </c>
      <c r="K41" s="2">
        <v>7.7399389999999997</v>
      </c>
      <c r="L41" s="2">
        <v>7.7399389999999997</v>
      </c>
      <c r="M41" s="2">
        <v>7.7399389999999997</v>
      </c>
      <c r="N41" s="2">
        <v>7.7399389999999997</v>
      </c>
      <c r="O41" s="2">
        <v>9.2285719999999998</v>
      </c>
      <c r="P41" s="2">
        <v>8.0749999999999993</v>
      </c>
      <c r="Q41" s="2">
        <v>7.1777769999999999</v>
      </c>
      <c r="R41" s="2">
        <v>6.6827589999999999</v>
      </c>
      <c r="S41" s="2" t="e">
        <v>#N/A</v>
      </c>
      <c r="T41" s="2" t="e">
        <v>#N/A</v>
      </c>
      <c r="U41" s="2" t="e">
        <v>#N/A</v>
      </c>
      <c r="V41" s="2" t="e">
        <v>#N/A</v>
      </c>
      <c r="W41" s="2">
        <v>0.81772149999999999</v>
      </c>
      <c r="X41" s="2">
        <v>0.74252870000000004</v>
      </c>
      <c r="Y41" s="2">
        <v>0.72055599999999997</v>
      </c>
      <c r="Z41" s="2">
        <v>0.65472969999999997</v>
      </c>
      <c r="AA41" s="2" t="e">
        <v>#N/A</v>
      </c>
      <c r="AB41" s="2" t="e">
        <v>#N/A</v>
      </c>
      <c r="AC41" s="2" t="e">
        <v>#N/A</v>
      </c>
      <c r="AD41" s="2" t="e">
        <v>#N/A</v>
      </c>
      <c r="AE41" s="2" t="e">
        <v>#N/A</v>
      </c>
      <c r="AF41" s="2" t="e">
        <v>#N/A</v>
      </c>
      <c r="AG41" s="2" t="e">
        <v>#N/A</v>
      </c>
      <c r="AH41" s="2">
        <v>9.8690149999999992</v>
      </c>
      <c r="AI41" s="2">
        <v>11.05866</v>
      </c>
      <c r="AJ41" s="2" t="e">
        <v>#N/A</v>
      </c>
      <c r="AK41" s="3">
        <v>0.54686559999999995</v>
      </c>
      <c r="AL41" s="3">
        <v>0.4672058</v>
      </c>
      <c r="AM41" s="2" t="e">
        <v>#N/A</v>
      </c>
      <c r="AN41" s="2">
        <v>2.5068419999999998</v>
      </c>
      <c r="AO41" s="2">
        <v>3.5020359999999999</v>
      </c>
      <c r="AP41" s="2" t="e">
        <v>#N/A</v>
      </c>
      <c r="AQ41" s="2" t="e">
        <v>#N/A</v>
      </c>
      <c r="AR41" s="2" t="e">
        <v>#N/A</v>
      </c>
      <c r="AS41" s="2" t="e">
        <v>#N/A</v>
      </c>
      <c r="AT41" s="2" t="e">
        <v>#N/A</v>
      </c>
      <c r="AU41" s="1" t="s">
        <v>64</v>
      </c>
      <c r="AV41" s="3">
        <v>1.7916669999999999</v>
      </c>
      <c r="AW41" s="3">
        <v>2.04</v>
      </c>
      <c r="AX41" s="2">
        <v>5.2631620000000003</v>
      </c>
      <c r="AY41" s="2">
        <v>9.1954019999999996</v>
      </c>
      <c r="AZ41" s="2">
        <v>15.14606</v>
      </c>
      <c r="BA41" s="2">
        <v>-1.348943</v>
      </c>
      <c r="BB41" s="2">
        <v>7.0718290000000001</v>
      </c>
      <c r="BC41" s="3">
        <v>1.5249999999999999</v>
      </c>
      <c r="BD41" s="2">
        <v>27.081969999999998</v>
      </c>
      <c r="BE41" s="3">
        <v>1.9790000000000001</v>
      </c>
      <c r="BF41" s="2">
        <v>-2.0717560000000002</v>
      </c>
      <c r="BG41" s="2">
        <v>70.000010000000003</v>
      </c>
      <c r="BH41" s="2">
        <v>62.917520000000003</v>
      </c>
      <c r="BI41" s="2">
        <v>55.894820000000003</v>
      </c>
      <c r="BJ41" s="2">
        <v>50.849670000000003</v>
      </c>
      <c r="BK41" s="2">
        <v>10</v>
      </c>
      <c r="BL41" s="2">
        <v>4</v>
      </c>
      <c r="BM41" s="4">
        <v>12</v>
      </c>
      <c r="BN41" s="4">
        <v>0</v>
      </c>
      <c r="BO41" s="4">
        <v>2</v>
      </c>
      <c r="BP41" s="4">
        <v>9</v>
      </c>
      <c r="BQ41" s="2">
        <v>0</v>
      </c>
      <c r="BR41" s="4">
        <v>6</v>
      </c>
      <c r="BS41" s="4">
        <v>3</v>
      </c>
      <c r="BT41" s="4">
        <v>12</v>
      </c>
      <c r="BU41" s="2">
        <v>50</v>
      </c>
      <c r="BV41" s="2">
        <v>8.2665699999999998</v>
      </c>
      <c r="BW41" s="2">
        <v>3079.5529999999999</v>
      </c>
      <c r="BX41" s="3">
        <v>3.9659960000000001</v>
      </c>
      <c r="BY41" s="3">
        <v>0.1287848</v>
      </c>
      <c r="BZ41" s="2">
        <v>0.88416300000000003</v>
      </c>
      <c r="CA41" s="3">
        <v>0.1287848</v>
      </c>
      <c r="CB41" s="3">
        <v>0.23090830000000001</v>
      </c>
      <c r="CC41" s="3">
        <v>0.2339772</v>
      </c>
      <c r="CD41" s="2">
        <v>1.329064</v>
      </c>
      <c r="CE41" s="3">
        <v>1571.729</v>
      </c>
      <c r="CF41" s="3">
        <v>1390.7639999999999</v>
      </c>
      <c r="CG41" s="2">
        <v>-11.513780000000001</v>
      </c>
      <c r="CH41" s="3">
        <v>2.0222220000000002</v>
      </c>
      <c r="CI41" s="2">
        <v>0.87912080000000004</v>
      </c>
      <c r="CJ41" s="3">
        <v>27106.42</v>
      </c>
      <c r="CK41" s="3">
        <v>24903.98</v>
      </c>
      <c r="CL41" s="2">
        <v>-8.1251440000000006</v>
      </c>
      <c r="CM41" s="3">
        <v>1.724194</v>
      </c>
      <c r="CN41" s="3">
        <v>1.8394710000000001</v>
      </c>
      <c r="CO41" s="3">
        <v>1.8675379999999999</v>
      </c>
      <c r="CP41" s="2">
        <v>12.400320000000001</v>
      </c>
      <c r="CQ41" s="2">
        <v>5.356395</v>
      </c>
      <c r="CR41" s="2">
        <v>3.7729620000000001</v>
      </c>
      <c r="CS41" s="2">
        <v>6.6858050000000002</v>
      </c>
      <c r="CT41" s="2">
        <v>6.9992070000000002</v>
      </c>
      <c r="CU41" s="3">
        <v>0.1172755</v>
      </c>
      <c r="CV41" s="2" t="e">
        <v>#N/A</v>
      </c>
      <c r="CW41" s="2">
        <v>35.477939999999997</v>
      </c>
      <c r="CX41" s="2" t="e">
        <v>#N/A</v>
      </c>
      <c r="CY41" s="2">
        <v>23.41414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2023-02-16T06:00:51Z</dcterms:created>
  <dcterms:modified xsi:type="dcterms:W3CDTF">2023-02-16T06:00:51Z</dcterms:modified>
  <cp:category/>
</cp:coreProperties>
</file>