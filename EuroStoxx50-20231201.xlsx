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294E7AFB-9995-4FE6-B69B-99760A53C1D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<sst xmlns="http://schemas.openxmlformats.org/spreadsheetml/2006/main" count="507" uniqueCount="365">
  <si>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</si>
  <si>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</si>
  <si>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</si>
  <si>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</si>
  <si>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</si>
  <si>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</si>
  <si>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</si>
  <si>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BBVA-ES</t>
  </si>
  <si>
    <t>Banco Bilbao Vizcaya Argentaria, S.A.</t>
  </si>
  <si>
    <t>SPAIN</t>
  </si>
  <si>
    <t>STLAM-IT</t>
  </si>
  <si>
    <t>Stellantis N.V.</t>
  </si>
  <si>
    <t>Consumer Durables</t>
  </si>
  <si>
    <t>Motor Vehicles</t>
  </si>
  <si>
    <t>ISP-IT</t>
  </si>
  <si>
    <t>Intesa Sanpaolo S.p.A.</t>
  </si>
  <si>
    <t>ENEL-IT</t>
  </si>
  <si>
    <t>Enel SpA</t>
  </si>
  <si>
    <t>Utilities</t>
  </si>
  <si>
    <t>Electric Utilities</t>
  </si>
  <si>
    <t>ENI-IT</t>
  </si>
  <si>
    <t>Eni S.p.A.</t>
  </si>
  <si>
    <t>Energy Minerals</t>
  </si>
  <si>
    <t>Oil Refining/Marketing</t>
  </si>
  <si>
    <t>Overweight (1.25)</t>
  </si>
  <si>
    <t>SIE-DE</t>
  </si>
  <si>
    <t>Siemens Aktiengesellschaft</t>
  </si>
  <si>
    <t>GERMANY</t>
  </si>
  <si>
    <t>Producer Manufacturing</t>
  </si>
  <si>
    <t>Industrial Machinery</t>
  </si>
  <si>
    <t>INGA-NL</t>
  </si>
  <si>
    <t>ING Groep NV</t>
  </si>
  <si>
    <t>NETHERLANDS</t>
  </si>
  <si>
    <t>RACE-IT</t>
  </si>
  <si>
    <t>Ferrari NV</t>
  </si>
  <si>
    <t>Overweight (1.50)</t>
  </si>
  <si>
    <t>SAN-ES</t>
  </si>
  <si>
    <t>Banco Santander, S.A.</t>
  </si>
  <si>
    <t>TTE-FR</t>
  </si>
  <si>
    <t>TotalEnergies SE</t>
  </si>
  <si>
    <t>FRANCE</t>
  </si>
  <si>
    <t>Integrated Oil</t>
  </si>
  <si>
    <t>SAP-DE</t>
  </si>
  <si>
    <t>SAP SE</t>
  </si>
  <si>
    <t>Technology Services</t>
  </si>
  <si>
    <t>Packaged Software</t>
  </si>
  <si>
    <t>SGO-FR</t>
  </si>
  <si>
    <t>Compagnie de Saint-Gobain SA</t>
  </si>
  <si>
    <t>Building Products</t>
  </si>
  <si>
    <t>IBE-ES</t>
  </si>
  <si>
    <t>Iberdrola SA</t>
  </si>
  <si>
    <t>ITX-ES</t>
  </si>
  <si>
    <t>Industria de Diseno Textil, S.A.</t>
  </si>
  <si>
    <t>Retail Trade</t>
  </si>
  <si>
    <t>Apparel/Footwear Retail</t>
  </si>
  <si>
    <t>MUV2-DE</t>
  </si>
  <si>
    <t>Munich Reinsurance Company</t>
  </si>
  <si>
    <t>Life/Health Insurance</t>
  </si>
  <si>
    <t>SAF-FR</t>
  </si>
  <si>
    <t>Safran SA</t>
  </si>
  <si>
    <t>Electronic Technology</t>
  </si>
  <si>
    <t>Aerospace &amp; Defense</t>
  </si>
  <si>
    <t>ALV-DE</t>
  </si>
  <si>
    <t>Allianz SE</t>
  </si>
  <si>
    <t>Multi-Line Insurance</t>
  </si>
  <si>
    <t>DG-FR</t>
  </si>
  <si>
    <t>VINCI SA</t>
  </si>
  <si>
    <t>Industrial Services</t>
  </si>
  <si>
    <t>Engineering &amp; Construction</t>
  </si>
  <si>
    <t>DTE-DE</t>
  </si>
  <si>
    <t>Deutsche Telekom AG</t>
  </si>
  <si>
    <t>Communications</t>
  </si>
  <si>
    <t>Major Telecommunications</t>
  </si>
  <si>
    <t>ASML-NL</t>
  </si>
  <si>
    <t>ASML Holding NV</t>
  </si>
  <si>
    <t>Semiconductors</t>
  </si>
  <si>
    <t>AI-FR</t>
  </si>
  <si>
    <t>Air Liquide SA</t>
  </si>
  <si>
    <t>Process Industries</t>
  </si>
  <si>
    <t>Chemicals: Specialty</t>
  </si>
  <si>
    <t>NDA.FI-FI</t>
  </si>
  <si>
    <t>Nordea Bank Abp</t>
  </si>
  <si>
    <t>SWEDEN</t>
  </si>
  <si>
    <t>AIR-FR</t>
  </si>
  <si>
    <t>Airbus SE</t>
  </si>
  <si>
    <t>DB1-DE</t>
  </si>
  <si>
    <t>Deutsche Boerse AG</t>
  </si>
  <si>
    <t>Investment Banks/Brokers</t>
  </si>
  <si>
    <t>Hold (2.00)</t>
  </si>
  <si>
    <t>SU-FR</t>
  </si>
  <si>
    <t>Schneider Electric SE</t>
  </si>
  <si>
    <t>Electrical Products</t>
  </si>
  <si>
    <t>ADS-DE</t>
  </si>
  <si>
    <t>adidas AG</t>
  </si>
  <si>
    <t>Consumer Non-Durables</t>
  </si>
  <si>
    <t>Apparel/Footwear</t>
  </si>
  <si>
    <t>PRX-NL</t>
  </si>
  <si>
    <t>Prosus N.V. Class N</t>
  </si>
  <si>
    <t>Transportation</t>
  </si>
  <si>
    <t>Air Freight/Couriers</t>
  </si>
  <si>
    <t>CS-FR</t>
  </si>
  <si>
    <t>AXA SA</t>
  </si>
  <si>
    <t>BNP-FR</t>
  </si>
  <si>
    <t>BNP Paribas S.A. Class A</t>
  </si>
  <si>
    <t>IFX-DE</t>
  </si>
  <si>
    <t>Infineon Technologies AG</t>
  </si>
  <si>
    <t>SAN-FR</t>
  </si>
  <si>
    <t>Sanofi</t>
  </si>
  <si>
    <t>Health Technology</t>
  </si>
  <si>
    <t>Pharmaceuticals: Major</t>
  </si>
  <si>
    <t>BN-FR</t>
  </si>
  <si>
    <t>Danone SA</t>
  </si>
  <si>
    <t>Food: Meat/Fish/Dairy</t>
  </si>
  <si>
    <t>Hold (1.75)</t>
  </si>
  <si>
    <t>EL-FR</t>
  </si>
  <si>
    <t>EssilorLuxottica SA</t>
  </si>
  <si>
    <t>Medical Specialties</t>
  </si>
  <si>
    <t>BMW-DE</t>
  </si>
  <si>
    <t>Bayerische Motoren Werke AG</t>
  </si>
  <si>
    <t>ABI-BE</t>
  </si>
  <si>
    <t>Anheuser-Busch InBev SA/NV</t>
  </si>
  <si>
    <t>BELGIUM</t>
  </si>
  <si>
    <t>Beverages: Alcoholic</t>
  </si>
  <si>
    <t>OR-FR</t>
  </si>
  <si>
    <t>L'Oreal S.A.</t>
  </si>
  <si>
    <t>Household/Personal Care</t>
  </si>
  <si>
    <t>VOW3-DE</t>
  </si>
  <si>
    <t>Volkswagen AG Pref</t>
  </si>
  <si>
    <t>AD-NL</t>
  </si>
  <si>
    <t>Koninklijke Ahold Delhaize N.V.</t>
  </si>
  <si>
    <t>Food Retail</t>
  </si>
  <si>
    <t>MBG-DE</t>
  </si>
  <si>
    <t>Mercedes-Benz Group AG</t>
  </si>
  <si>
    <t>DHL-DE</t>
  </si>
  <si>
    <t>Deutsche Post AG</t>
  </si>
  <si>
    <t>ADYEN-NL</t>
  </si>
  <si>
    <t>Adyen NV</t>
  </si>
  <si>
    <t>MC-FR</t>
  </si>
  <si>
    <t>LVMH Moet Hennessy Louis Vuitton SE</t>
  </si>
  <si>
    <t>BAYN-DE</t>
  </si>
  <si>
    <t>Bayer AG</t>
  </si>
  <si>
    <t>RMS-FR</t>
  </si>
  <si>
    <t>Hermes International SCA</t>
  </si>
  <si>
    <t>FLTR-IE</t>
  </si>
  <si>
    <t>Flutter Entertainment Plc</t>
  </si>
  <si>
    <t>UNITED KINGDOM</t>
  </si>
  <si>
    <t>Consumer Services</t>
  </si>
  <si>
    <t>Casinos/Gaming</t>
  </si>
  <si>
    <t>NOKIA-FI</t>
  </si>
  <si>
    <t>Nokia Oyj</t>
  </si>
  <si>
    <t>FINLAND</t>
  </si>
  <si>
    <t>Telecommunications Equipment</t>
  </si>
  <si>
    <t>RI-FR</t>
  </si>
  <si>
    <t>Pernod Ricard SA</t>
  </si>
  <si>
    <t>BAS-DE</t>
  </si>
  <si>
    <t>BASF SE</t>
  </si>
  <si>
    <t>Chemicals: Major Diversified</t>
  </si>
  <si>
    <t>KER-FR</t>
  </si>
  <si>
    <t>Kering SA</t>
  </si>
  <si>
    <t>Consumer Sundries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</si>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</sst>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ADE10-F2B4-4855-B5BD-F72341BBF04A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160</v>
      </c>
      <c r="B4" s="5" t="s">
        <v>161</v>
      </c>
      <c r="C4" s="5" t="s">
        <v>162</v>
      </c>
      <c r="D4" s="5" t="s">
        <v>163</v>
      </c>
      <c r="E4" s="5" t="s">
        <v>164</v>
      </c>
      <c r="F4" s="5" t="s">
        <v>165</v>
      </c>
      <c r="G4" s="6" t="s">
        <v>166</v>
      </c>
      <c r="H4" s="6" t="s">
        <v>167</v>
      </c>
      <c r="I4" s="6" t="s">
        <v>168</v>
      </c>
      <c r="J4" s="6" t="s">
        <v>169</v>
      </c>
      <c r="K4" s="6" t="s">
        <v>170</v>
      </c>
      <c r="L4" s="6" t="s">
        <v>171</v>
      </c>
      <c r="M4" s="6" t="s">
        <v>172</v>
      </c>
      <c r="N4" s="6" t="s">
        <v>173</v>
      </c>
      <c r="O4" s="6" t="s">
        <v>174</v>
      </c>
      <c r="P4" s="6" t="s">
        <v>175</v>
      </c>
      <c r="Q4" s="6" t="s">
        <v>176</v>
      </c>
      <c r="R4" s="6" t="s">
        <v>177</v>
      </c>
      <c r="S4" s="6" t="s">
        <v>178</v>
      </c>
      <c r="T4" s="6" t="s">
        <v>179</v>
      </c>
      <c r="U4" s="6" t="s">
        <v>180</v>
      </c>
      <c r="V4" s="6" t="s">
        <v>181</v>
      </c>
      <c r="W4" s="6" t="s">
        <v>182</v>
      </c>
      <c r="X4" s="6" t="s">
        <v>183</v>
      </c>
      <c r="Y4" s="6" t="s">
        <v>184</v>
      </c>
      <c r="Z4" s="6" t="s">
        <v>185</v>
      </c>
      <c r="AA4" s="6" t="s">
        <v>186</v>
      </c>
      <c r="AB4" s="6" t="s">
        <v>187</v>
      </c>
      <c r="AC4" s="6" t="s">
        <v>188</v>
      </c>
      <c r="AD4" s="6" t="s">
        <v>189</v>
      </c>
      <c r="AE4" s="6" t="s">
        <v>190</v>
      </c>
      <c r="AF4" s="6" t="s">
        <v>191</v>
      </c>
      <c r="AG4" s="6" t="s">
        <v>192</v>
      </c>
      <c r="AH4" s="6" t="s">
        <v>193</v>
      </c>
      <c r="AI4" s="6" t="s">
        <v>194</v>
      </c>
      <c r="AJ4" s="6" t="s">
        <v>195</v>
      </c>
      <c r="AK4" s="6" t="s">
        <v>196</v>
      </c>
      <c r="AL4" s="6" t="s">
        <v>197</v>
      </c>
      <c r="AM4" s="6" t="s">
        <v>198</v>
      </c>
      <c r="AN4" s="6" t="s">
        <v>199</v>
      </c>
      <c r="AO4" s="6" t="s">
        <v>200</v>
      </c>
      <c r="AP4" s="6" t="s">
        <v>201</v>
      </c>
      <c r="AQ4" s="6" t="s">
        <v>202</v>
      </c>
      <c r="AR4" s="6" t="s">
        <v>203</v>
      </c>
      <c r="AS4" s="6" t="s">
        <v>204</v>
      </c>
      <c r="AT4" s="6" t="s">
        <v>205</v>
      </c>
      <c r="AU4" s="6" t="s">
        <v>206</v>
      </c>
      <c r="AV4" s="5" t="s">
        <v>207</v>
      </c>
      <c r="AW4" s="6" t="s">
        <v>208</v>
      </c>
      <c r="AX4" s="6" t="s">
        <v>209</v>
      </c>
      <c r="AY4" s="6" t="s">
        <v>210</v>
      </c>
      <c r="AZ4" s="6" t="s">
        <v>211</v>
      </c>
      <c r="BA4" s="6" t="s">
        <v>212</v>
      </c>
      <c r="BB4" s="6" t="s">
        <v>213</v>
      </c>
      <c r="BC4" s="6" t="s">
        <v>214</v>
      </c>
      <c r="BD4" s="6" t="s">
        <v>215</v>
      </c>
      <c r="BE4" s="6" t="s">
        <v>216</v>
      </c>
      <c r="BF4" s="6" t="s">
        <v>217</v>
      </c>
      <c r="BG4" s="6" t="s">
        <v>218</v>
      </c>
      <c r="BH4" s="6" t="s">
        <v>219</v>
      </c>
      <c r="BI4" s="6" t="s">
        <v>220</v>
      </c>
      <c r="BJ4" s="6" t="s">
        <v>221</v>
      </c>
      <c r="BK4" s="6" t="s">
        <v>222</v>
      </c>
      <c r="BL4" s="6" t="s">
        <v>223</v>
      </c>
      <c r="BM4" s="6" t="s">
        <v>224</v>
      </c>
      <c r="BN4" s="6" t="s">
        <v>225</v>
      </c>
      <c r="BO4" s="6" t="s">
        <v>226</v>
      </c>
      <c r="BP4" s="6" t="s">
        <v>227</v>
      </c>
      <c r="BQ4" s="6" t="s">
        <v>228</v>
      </c>
      <c r="BR4" s="6" t="s">
        <v>229</v>
      </c>
      <c r="BS4" s="6" t="s">
        <v>230</v>
      </c>
      <c r="BT4" s="6" t="s">
        <v>231</v>
      </c>
      <c r="BU4" s="6" t="s">
        <v>225</v>
      </c>
      <c r="BV4" s="6" t="s">
        <v>232</v>
      </c>
      <c r="BW4" s="6" t="s">
        <v>233</v>
      </c>
      <c r="BX4" s="6" t="s">
        <v>234</v>
      </c>
      <c r="BY4" s="6" t="s">
        <v>235</v>
      </c>
      <c r="BZ4" s="6" t="s">
        <v>236</v>
      </c>
      <c r="CA4" s="6" t="s">
        <v>237</v>
      </c>
      <c r="CB4" s="6" t="s">
        <v>238</v>
      </c>
      <c r="CC4" s="6" t="s">
        <v>239</v>
      </c>
      <c r="CD4" s="6" t="s">
        <v>240</v>
      </c>
      <c r="CE4" s="6" t="s">
        <v>241</v>
      </c>
      <c r="CF4" s="6" t="s">
        <v>242</v>
      </c>
      <c r="CG4" s="6" t="s">
        <v>243</v>
      </c>
      <c r="CH4" s="6" t="s">
        <v>244</v>
      </c>
      <c r="CI4" s="6" t="s">
        <v>245</v>
      </c>
      <c r="CJ4" s="6" t="s">
        <v>246</v>
      </c>
      <c r="CK4" s="6" t="s">
        <v>247</v>
      </c>
      <c r="CL4" s="6" t="s">
        <v>248</v>
      </c>
      <c r="CM4" s="6" t="s">
        <v>249</v>
      </c>
      <c r="CN4" s="6" t="s">
        <v>250</v>
      </c>
      <c r="CO4" s="6" t="s">
        <v>251</v>
      </c>
      <c r="CP4" s="6" t="s">
        <v>252</v>
      </c>
      <c r="CQ4" s="6" t="s">
        <v>253</v>
      </c>
      <c r="CR4" s="6" t="s">
        <v>254</v>
      </c>
      <c r="CS4" s="6" t="s">
        <v>255</v>
      </c>
      <c r="CT4" s="6" t="s">
        <v>256</v>
      </c>
      <c r="CU4" s="6" t="s">
        <v>257</v>
      </c>
      <c r="CV4" s="6" t="s">
        <v>258</v>
      </c>
      <c r="CW4" s="6" t="s">
        <v>259</v>
      </c>
      <c r="CX4" s="6" t="s">
        <v>260</v>
      </c>
      <c r="CY4" s="6" t="s">
        <v>261</v>
      </c>
      <c r="CZ4" s="6" t="s">
        <v>262</v>
      </c>
    </row>
    <row r="5" spans="1:104" ht="12.75" x14ac:dyDescent="0.2">
      <c r="A5" s="5"/>
      <c r="B5" s="5"/>
      <c r="C5" s="5" t="s">
        <v>263</v>
      </c>
      <c r="D5" s="5" t="s">
        <v>264</v>
      </c>
      <c r="E5" s="5" t="s">
        <v>265</v>
      </c>
      <c r="F5" s="5" t="s">
        <v>266</v>
      </c>
      <c r="G5" s="6" t="s">
        <v>267</v>
      </c>
      <c r="H5" s="6" t="s">
        <v>268</v>
      </c>
      <c r="I5" s="6" t="s">
        <v>269</v>
      </c>
      <c r="J5" s="6" t="s">
        <v>270</v>
      </c>
      <c r="K5" s="6" t="s">
        <v>271</v>
      </c>
      <c r="L5" s="6" t="s">
        <v>272</v>
      </c>
      <c r="M5" s="6" t="s">
        <v>273</v>
      </c>
      <c r="N5" s="6" t="s">
        <v>274</v>
      </c>
      <c r="O5" s="6" t="s">
        <v>275</v>
      </c>
      <c r="P5" s="6" t="s">
        <v>276</v>
      </c>
      <c r="Q5" s="6" t="s">
        <v>277</v>
      </c>
      <c r="R5" s="6" t="s">
        <v>278</v>
      </c>
      <c r="S5" s="6" t="s">
        <v>279</v>
      </c>
      <c r="T5" s="6" t="s">
        <v>280</v>
      </c>
      <c r="U5" s="6" t="s">
        <v>281</v>
      </c>
      <c r="V5" s="6" t="s">
        <v>282</v>
      </c>
      <c r="W5" s="6" t="s">
        <v>283</v>
      </c>
      <c r="X5" s="6" t="s">
        <v>284</v>
      </c>
      <c r="Y5" s="6" t="s">
        <v>285</v>
      </c>
      <c r="Z5" s="6" t="s">
        <v>286</v>
      </c>
      <c r="AA5" s="6" t="s">
        <v>287</v>
      </c>
      <c r="AB5" s="6" t="s">
        <v>288</v>
      </c>
      <c r="AC5" s="6" t="s">
        <v>289</v>
      </c>
      <c r="AD5" s="6" t="s">
        <v>290</v>
      </c>
      <c r="AE5" s="6" t="s">
        <v>291</v>
      </c>
      <c r="AF5" s="6" t="s">
        <v>292</v>
      </c>
      <c r="AG5" s="6" t="s">
        <v>293</v>
      </c>
      <c r="AH5" s="6" t="s">
        <v>294</v>
      </c>
      <c r="AI5" s="6" t="s">
        <v>295</v>
      </c>
      <c r="AJ5" s="6" t="s">
        <v>296</v>
      </c>
      <c r="AK5" s="6" t="s">
        <v>297</v>
      </c>
      <c r="AL5" s="6" t="s">
        <v>298</v>
      </c>
      <c r="AM5" s="6" t="s">
        <v>299</v>
      </c>
      <c r="AN5" s="6" t="s">
        <v>300</v>
      </c>
      <c r="AO5" s="6" t="s">
        <v>301</v>
      </c>
      <c r="AP5" s="6" t="s">
        <v>302</v>
      </c>
      <c r="AQ5" s="6" t="s">
        <v>303</v>
      </c>
      <c r="AR5" s="6" t="s">
        <v>304</v>
      </c>
      <c r="AS5" s="6" t="s">
        <v>305</v>
      </c>
      <c r="AT5" s="6" t="s">
        <v>306</v>
      </c>
      <c r="AU5" s="6" t="s">
        <v>307</v>
      </c>
      <c r="AV5" s="5" t="s">
        <v>308</v>
      </c>
      <c r="AW5" s="6" t="s">
        <v>309</v>
      </c>
      <c r="AX5" s="6" t="s">
        <v>310</v>
      </c>
      <c r="AY5" s="6" t="s">
        <v>311</v>
      </c>
      <c r="AZ5" s="6" t="s">
        <v>312</v>
      </c>
      <c r="BA5" s="6" t="s">
        <v>313</v>
      </c>
      <c r="BB5" s="6" t="s">
        <v>314</v>
      </c>
      <c r="BC5" s="6" t="s">
        <v>315</v>
      </c>
      <c r="BD5" s="6" t="s">
        <v>316</v>
      </c>
      <c r="BE5" s="6" t="s">
        <v>317</v>
      </c>
      <c r="BF5" s="6" t="s">
        <v>318</v>
      </c>
      <c r="BG5" s="6" t="s">
        <v>319</v>
      </c>
      <c r="BH5" s="6" t="s">
        <v>320</v>
      </c>
      <c r="BI5" s="6" t="s">
        <v>321</v>
      </c>
      <c r="BJ5" s="6" t="s">
        <v>322</v>
      </c>
      <c r="BK5" s="6" t="s">
        <v>323</v>
      </c>
      <c r="BL5" s="6" t="s">
        <v>324</v>
      </c>
      <c r="BM5" s="6" t="s">
        <v>325</v>
      </c>
      <c r="BN5" s="6" t="s">
        <v>326</v>
      </c>
      <c r="BO5" s="6" t="s">
        <v>327</v>
      </c>
      <c r="BP5" s="6" t="s">
        <v>328</v>
      </c>
      <c r="BQ5" s="6" t="s">
        <v>329</v>
      </c>
      <c r="BR5" s="6" t="s">
        <v>330</v>
      </c>
      <c r="BS5" s="6" t="s">
        <v>331</v>
      </c>
      <c r="BT5" s="6" t="s">
        <v>332</v>
      </c>
      <c r="BU5" s="6" t="s">
        <v>333</v>
      </c>
      <c r="BV5" s="6" t="s">
        <v>334</v>
      </c>
      <c r="BW5" s="6" t="s">
        <v>335</v>
      </c>
      <c r="BX5" s="6" t="s">
        <v>336</v>
      </c>
      <c r="BY5" s="6" t="s">
        <v>337</v>
      </c>
      <c r="BZ5" s="6" t="s">
        <v>338</v>
      </c>
      <c r="CA5" s="6" t="s">
        <v>339</v>
      </c>
      <c r="CB5" s="6" t="s">
        <v>340</v>
      </c>
      <c r="CC5" s="6" t="s">
        <v>341</v>
      </c>
      <c r="CD5" s="6" t="s">
        <v>342</v>
      </c>
      <c r="CE5" s="6" t="s">
        <v>343</v>
      </c>
      <c r="CF5" s="6" t="s">
        <v>344</v>
      </c>
      <c r="CG5" s="6" t="s">
        <v>345</v>
      </c>
      <c r="CH5" s="6" t="s">
        <v>346</v>
      </c>
      <c r="CI5" s="6" t="s">
        <v>347</v>
      </c>
      <c r="CJ5" s="6" t="s">
        <v>348</v>
      </c>
      <c r="CK5" s="6" t="s">
        <v>349</v>
      </c>
      <c r="CL5" s="6" t="s">
        <v>350</v>
      </c>
      <c r="CM5" s="6" t="s">
        <v>351</v>
      </c>
      <c r="CN5" s="6" t="s">
        <v>352</v>
      </c>
      <c r="CO5" s="6" t="s">
        <v>353</v>
      </c>
      <c r="CP5" s="6" t="s">
        <v>354</v>
      </c>
      <c r="CQ5" s="6" t="s">
        <v>355</v>
      </c>
      <c r="CR5" s="6" t="s">
        <v>356</v>
      </c>
      <c r="CS5" s="6" t="s">
        <v>357</v>
      </c>
      <c r="CT5" s="6" t="s">
        <v>358</v>
      </c>
      <c r="CU5" s="6" t="s">
        <v>359</v>
      </c>
      <c r="CV5" s="6" t="s">
        <v>360</v>
      </c>
      <c r="CW5" s="6" t="s">
        <v>361</v>
      </c>
      <c r="CX5" s="6" t="s">
        <v>362</v>
      </c>
      <c r="CY5" s="6" t="s">
        <v>363</v>
      </c>
      <c r="CZ5" s="6" t="s">
        <v>364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44589.81</v>
      </c>
      <c r="H7" s="2">
        <v>87.865300000000005</v>
      </c>
      <c r="I7" s="2">
        <v>39178.97</v>
      </c>
      <c r="J7" s="3">
        <v>24.984999999999999</v>
      </c>
      <c r="K7" s="3">
        <v>0</v>
      </c>
      <c r="L7" s="2">
        <v>3.9623780000000002</v>
      </c>
      <c r="M7" s="2">
        <v>5.8970180000000001</v>
      </c>
      <c r="N7" s="2">
        <v>6.7040220000000001</v>
      </c>
      <c r="O7" s="2">
        <v>7.9247550000000002</v>
      </c>
      <c r="P7" s="2">
        <v>9.9939999999999998</v>
      </c>
      <c r="Q7" s="2">
        <v>5.7835650000000003</v>
      </c>
      <c r="R7" s="2">
        <v>5.4646189999999999</v>
      </c>
      <c r="S7" s="2">
        <v>5.415133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0.84465860000000004</v>
      </c>
      <c r="Y7" s="2">
        <v>0.71271260000000003</v>
      </c>
      <c r="Z7" s="2">
        <v>0.63013759999999996</v>
      </c>
      <c r="AA7" s="2">
        <v>0.57433029999999996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0.19632240000000001</v>
      </c>
      <c r="AM7" s="3">
        <v>0.18805240000000001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1.1041669999999999</v>
      </c>
      <c r="AX7" s="3">
        <v>32.85</v>
      </c>
      <c r="AY7" s="2">
        <v>31.47888</v>
      </c>
      <c r="AZ7" s="2">
        <v>12.32307</v>
      </c>
      <c r="BA7" s="2">
        <v>29.51</v>
      </c>
      <c r="BB7" s="2">
        <v>91.838139999999996</v>
      </c>
      <c r="BC7" s="2">
        <v>88.253460000000004</v>
      </c>
      <c r="BD7" s="3">
        <v>12.1</v>
      </c>
      <c r="BE7" s="2">
        <v>106.4876</v>
      </c>
      <c r="BF7" s="3">
        <v>25.5</v>
      </c>
      <c r="BG7" s="2">
        <v>-2.0196079999999998</v>
      </c>
      <c r="BH7" s="2">
        <v>38.923900000000003</v>
      </c>
      <c r="BI7" s="2">
        <v>34.683979999999998</v>
      </c>
      <c r="BJ7" s="2">
        <v>37.38982</v>
      </c>
      <c r="BK7" s="2">
        <v>41.053069999999998</v>
      </c>
      <c r="BL7" s="2">
        <v>22</v>
      </c>
      <c r="BM7" s="2">
        <v>11</v>
      </c>
      <c r="BN7" s="4">
        <v>24</v>
      </c>
      <c r="BO7" s="4">
        <v>0</v>
      </c>
      <c r="BP7" s="4">
        <v>0</v>
      </c>
      <c r="BQ7" s="4">
        <v>24</v>
      </c>
      <c r="BR7" s="2">
        <v>0</v>
      </c>
      <c r="BS7" s="4">
        <v>22</v>
      </c>
      <c r="BT7" s="4">
        <v>0</v>
      </c>
      <c r="BU7" s="4">
        <v>24</v>
      </c>
      <c r="BV7" s="2">
        <v>91.666669999999996</v>
      </c>
      <c r="BW7" s="2">
        <v>13.0883</v>
      </c>
      <c r="BX7" s="2">
        <v>1784.663</v>
      </c>
      <c r="BY7" s="3">
        <v>14.647320000000001</v>
      </c>
      <c r="BZ7" s="3">
        <v>0.82073300000000005</v>
      </c>
      <c r="CA7" s="2">
        <v>1.5893200000000001</v>
      </c>
      <c r="CB7" s="3">
        <v>0.82073300000000005</v>
      </c>
      <c r="CC7" s="3">
        <v>3.9584139999999999</v>
      </c>
      <c r="CD7" s="3">
        <v>4.3126100000000003</v>
      </c>
      <c r="CE7" s="2">
        <v>8.9479330000000008</v>
      </c>
      <c r="CF7" s="3">
        <v>13144.36</v>
      </c>
      <c r="CG7" s="3">
        <v>13866.98</v>
      </c>
      <c r="CH7" s="2">
        <v>5.4975149999999999</v>
      </c>
      <c r="CI7" s="3">
        <v>29.91</v>
      </c>
      <c r="CJ7" s="2">
        <v>9.829485</v>
      </c>
      <c r="CK7" s="3">
        <v>22700.61</v>
      </c>
      <c r="CL7" s="3">
        <v>23383.02</v>
      </c>
      <c r="CM7" s="2">
        <v>3.006148</v>
      </c>
      <c r="CN7" s="3">
        <v>20.78903</v>
      </c>
      <c r="CO7" s="3">
        <v>23.451080000000001</v>
      </c>
      <c r="CP7" s="3">
        <v>24.270959999999999</v>
      </c>
      <c r="CQ7" s="2">
        <v>20.183599999999998</v>
      </c>
      <c r="CR7" s="2">
        <v>6.5409540000000002</v>
      </c>
      <c r="CS7" s="2">
        <v>2.9419420000000001</v>
      </c>
      <c r="CT7" s="2">
        <v>12.805070000000001</v>
      </c>
      <c r="CU7" s="2">
        <v>289.52820000000003</v>
      </c>
      <c r="CV7" s="3">
        <v>0.64931459999999996</v>
      </c>
      <c r="CW7" s="2">
        <v>17.81174</v>
      </c>
      <c r="CX7" s="2">
        <v>2.8973879999999999</v>
      </c>
      <c r="CY7" s="2">
        <v>28.01125</v>
      </c>
      <c r="CZ7" s="2">
        <v>12.69697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4</v>
      </c>
      <c r="F8" s="1" t="s">
        <v>5</v>
      </c>
      <c r="G8" s="2">
        <v>50742.31</v>
      </c>
      <c r="H8" s="2">
        <v>98.485399999999998</v>
      </c>
      <c r="I8" s="2">
        <v>49973.77</v>
      </c>
      <c r="J8" s="3">
        <v>8.5060000000000002</v>
      </c>
      <c r="K8" s="3">
        <v>0</v>
      </c>
      <c r="L8" s="2">
        <v>5.0552549999999998</v>
      </c>
      <c r="M8" s="2">
        <v>7.2889730000000004</v>
      </c>
      <c r="N8" s="2">
        <v>7.4065370000000001</v>
      </c>
      <c r="O8" s="2">
        <v>7.4065370000000001</v>
      </c>
      <c r="P8" s="2">
        <v>8.1009519999999995</v>
      </c>
      <c r="Q8" s="2">
        <v>6.6453119999999997</v>
      </c>
      <c r="R8" s="2">
        <v>6.5937979999999996</v>
      </c>
      <c r="S8" s="2">
        <v>6.518008</v>
      </c>
      <c r="T8" s="2" t="e">
        <v>#N/A</v>
      </c>
      <c r="U8" s="2" t="e">
        <v>#N/A</v>
      </c>
      <c r="V8" s="2" t="e">
        <v>#N/A</v>
      </c>
      <c r="W8" s="2" t="e">
        <v>#N/A</v>
      </c>
      <c r="X8" s="2">
        <v>1.0919129999999999</v>
      </c>
      <c r="Y8" s="2">
        <v>1.0042500000000001</v>
      </c>
      <c r="Z8" s="2">
        <v>0.95726880000000003</v>
      </c>
      <c r="AA8" s="2">
        <v>0.89678440000000004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3">
        <v>1.342376</v>
      </c>
      <c r="AM8" s="3">
        <v>1.3267720000000001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1" t="s">
        <v>6</v>
      </c>
      <c r="AW8" s="3">
        <v>1.4038459999999999</v>
      </c>
      <c r="AX8" s="3">
        <v>10</v>
      </c>
      <c r="AY8" s="2">
        <v>17.564080000000001</v>
      </c>
      <c r="AZ8" s="2">
        <v>15.112159999999999</v>
      </c>
      <c r="BA8" s="2">
        <v>4.9085219999999996</v>
      </c>
      <c r="BB8" s="2">
        <v>51.568049999999999</v>
      </c>
      <c r="BC8" s="2">
        <v>50.976219999999998</v>
      </c>
      <c r="BD8" s="3">
        <v>5.3010000000000002</v>
      </c>
      <c r="BE8" s="2">
        <v>60.460279999999997</v>
      </c>
      <c r="BF8" s="3">
        <v>8.7260000000000009</v>
      </c>
      <c r="BG8" s="2">
        <v>-2.5212050000000001</v>
      </c>
      <c r="BH8" s="2">
        <v>41.986649999999997</v>
      </c>
      <c r="BI8" s="2">
        <v>48.134050000000002</v>
      </c>
      <c r="BJ8" s="2">
        <v>48.839669999999998</v>
      </c>
      <c r="BK8" s="2">
        <v>49.93056</v>
      </c>
      <c r="BL8" s="2">
        <v>25</v>
      </c>
      <c r="BM8" s="2">
        <v>17</v>
      </c>
      <c r="BN8" s="4">
        <v>26</v>
      </c>
      <c r="BO8" s="4">
        <v>4</v>
      </c>
      <c r="BP8" s="4">
        <v>1</v>
      </c>
      <c r="BQ8" s="4">
        <v>22</v>
      </c>
      <c r="BR8" s="2">
        <v>14.81481</v>
      </c>
      <c r="BS8" s="4">
        <v>17</v>
      </c>
      <c r="BT8" s="4">
        <v>0</v>
      </c>
      <c r="BU8" s="4">
        <v>26</v>
      </c>
      <c r="BV8" s="2">
        <v>65.384609999999995</v>
      </c>
      <c r="BW8" s="2">
        <v>12.937099999999999</v>
      </c>
      <c r="BX8" s="2">
        <v>5965.473</v>
      </c>
      <c r="BY8" s="3">
        <v>16.52168</v>
      </c>
      <c r="BZ8" s="3">
        <v>0.27695510000000001</v>
      </c>
      <c r="CA8" s="2">
        <v>1.9347799999999999</v>
      </c>
      <c r="CB8" s="3">
        <v>0.27695510000000001</v>
      </c>
      <c r="CC8" s="3">
        <v>1.2190190000000001</v>
      </c>
      <c r="CD8" s="3">
        <v>1.290923</v>
      </c>
      <c r="CE8" s="2">
        <v>5.8985709999999996</v>
      </c>
      <c r="CF8" s="3">
        <v>16271.41</v>
      </c>
      <c r="CG8" s="3">
        <v>17159.61</v>
      </c>
      <c r="CH8" s="2">
        <v>5.4586649999999999</v>
      </c>
      <c r="CI8" s="3">
        <v>8.7666660000000007</v>
      </c>
      <c r="CJ8" s="2">
        <v>14.06845</v>
      </c>
      <c r="CK8" s="3">
        <v>28230.9</v>
      </c>
      <c r="CL8" s="3">
        <v>29765.15</v>
      </c>
      <c r="CM8" s="2">
        <v>5.4346439999999996</v>
      </c>
      <c r="CN8" s="3">
        <v>7.0667080000000002</v>
      </c>
      <c r="CO8" s="3">
        <v>7.8178830000000001</v>
      </c>
      <c r="CP8" s="3">
        <v>8.0310760000000005</v>
      </c>
      <c r="CQ8" s="2">
        <v>20.36722</v>
      </c>
      <c r="CR8" s="2">
        <v>8.8018300000000007</v>
      </c>
      <c r="CS8" s="2">
        <v>5.9135679999999997</v>
      </c>
      <c r="CT8" s="2">
        <v>10.629770000000001</v>
      </c>
      <c r="CU8" s="2">
        <v>123.17400000000001</v>
      </c>
      <c r="CV8" s="3">
        <v>0.24274419999999999</v>
      </c>
      <c r="CW8" s="2">
        <v>-2.0145930000000001</v>
      </c>
      <c r="CX8" s="2">
        <v>8.6232989999999994</v>
      </c>
      <c r="CY8" s="2">
        <v>9.216977</v>
      </c>
      <c r="CZ8" s="2">
        <v>13.909090000000001</v>
      </c>
    </row>
    <row r="9" spans="1:104" ht="15" customHeight="1" x14ac:dyDescent="0.2">
      <c r="A9" s="1">
        <f t="shared" ref="A9:A56" si="0">1+A8</f>
        <v>3</v>
      </c>
      <c r="B9" s="1" t="s">
        <v>11</v>
      </c>
      <c r="C9" s="1" t="s">
        <v>10</v>
      </c>
      <c r="D9" s="1" t="s">
        <v>3</v>
      </c>
      <c r="E9" s="1" t="s">
        <v>12</v>
      </c>
      <c r="F9" s="1" t="s">
        <v>13</v>
      </c>
      <c r="G9" s="2">
        <v>62578.43</v>
      </c>
      <c r="H9" s="2">
        <v>69.203900000000004</v>
      </c>
      <c r="I9" s="2">
        <v>43306.71</v>
      </c>
      <c r="J9" s="3">
        <v>19.902000000000001</v>
      </c>
      <c r="K9" s="3">
        <v>0</v>
      </c>
      <c r="L9" s="2">
        <v>6.7329910000000002</v>
      </c>
      <c r="M9" s="2">
        <v>8.0393930000000005</v>
      </c>
      <c r="N9" s="2">
        <v>7.7881619999999998</v>
      </c>
      <c r="O9" s="2">
        <v>8.0393930000000005</v>
      </c>
      <c r="P9" s="2">
        <v>3.744497</v>
      </c>
      <c r="Q9" s="2">
        <v>3.3401589999999999</v>
      </c>
      <c r="R9" s="2">
        <v>3.6594250000000001</v>
      </c>
      <c r="S9" s="2">
        <v>3.6287780000000001</v>
      </c>
      <c r="T9" s="2">
        <v>0.5658183</v>
      </c>
      <c r="U9" s="2">
        <v>1.0211870000000001</v>
      </c>
      <c r="V9" s="2">
        <v>0.96019239999999995</v>
      </c>
      <c r="W9" s="2">
        <v>0.77020480000000002</v>
      </c>
      <c r="X9" s="2">
        <v>0.88363049999999999</v>
      </c>
      <c r="Y9" s="2">
        <v>0.72954549999999996</v>
      </c>
      <c r="Z9" s="2">
        <v>0.63584669999999999</v>
      </c>
      <c r="AA9" s="2">
        <v>0.55998870000000001</v>
      </c>
      <c r="AB9" s="2">
        <v>3.1131760000000002</v>
      </c>
      <c r="AC9" s="2">
        <v>2.5248759999999999</v>
      </c>
      <c r="AD9" s="2">
        <v>2.807191</v>
      </c>
      <c r="AE9" s="2">
        <v>2.7215060000000002</v>
      </c>
      <c r="AF9" s="2">
        <v>39.139510000000001</v>
      </c>
      <c r="AG9" s="2">
        <v>38.148739999999997</v>
      </c>
      <c r="AH9" s="2">
        <v>45.989960000000004</v>
      </c>
      <c r="AI9" s="2">
        <v>20.029219999999999</v>
      </c>
      <c r="AJ9" s="2">
        <v>16.713010000000001</v>
      </c>
      <c r="AK9" s="2">
        <v>16.760100000000001</v>
      </c>
      <c r="AL9" s="3" t="e">
        <v>#N/A</v>
      </c>
      <c r="AM9" s="3" t="e">
        <v>#N/A</v>
      </c>
      <c r="AN9" s="2">
        <v>15.740959999999999</v>
      </c>
      <c r="AO9" s="2">
        <v>16.485099999999999</v>
      </c>
      <c r="AP9" s="2">
        <v>14.82485</v>
      </c>
      <c r="AQ9" s="2">
        <v>14.93052</v>
      </c>
      <c r="AR9" s="2">
        <v>-0.90928399999999998</v>
      </c>
      <c r="AS9" s="2">
        <v>-0.97433499999999995</v>
      </c>
      <c r="AT9" s="2">
        <v>-1.2315210000000001</v>
      </c>
      <c r="AU9" s="2">
        <v>-1.343248</v>
      </c>
      <c r="AV9" s="1" t="s">
        <v>6</v>
      </c>
      <c r="AW9" s="3">
        <v>1.18</v>
      </c>
      <c r="AX9" s="3">
        <v>23</v>
      </c>
      <c r="AY9" s="2">
        <v>15.566280000000001</v>
      </c>
      <c r="AZ9" s="2">
        <v>21.841640000000002</v>
      </c>
      <c r="BA9" s="2">
        <v>-3.6</v>
      </c>
      <c r="BB9" s="2">
        <v>33.642220000000002</v>
      </c>
      <c r="BC9" s="2">
        <v>50.04524</v>
      </c>
      <c r="BD9" s="3">
        <v>13.048</v>
      </c>
      <c r="BE9" s="2">
        <v>52.529119999999999</v>
      </c>
      <c r="BF9" s="3">
        <v>20.170000000000002</v>
      </c>
      <c r="BG9" s="2">
        <v>-1.3287070000000001</v>
      </c>
      <c r="BH9" s="2">
        <v>24.69144</v>
      </c>
      <c r="BI9" s="2">
        <v>26.50713</v>
      </c>
      <c r="BJ9" s="2">
        <v>28.229369999999999</v>
      </c>
      <c r="BK9" s="2">
        <v>28.710229999999999</v>
      </c>
      <c r="BL9" s="2">
        <v>23</v>
      </c>
      <c r="BM9" s="2">
        <v>22</v>
      </c>
      <c r="BN9" s="4">
        <v>25</v>
      </c>
      <c r="BO9" s="4">
        <v>1</v>
      </c>
      <c r="BP9" s="4">
        <v>0</v>
      </c>
      <c r="BQ9" s="4">
        <v>24</v>
      </c>
      <c r="BR9" s="2">
        <v>4</v>
      </c>
      <c r="BS9" s="4">
        <v>22</v>
      </c>
      <c r="BT9" s="4">
        <v>0</v>
      </c>
      <c r="BU9" s="4">
        <v>25</v>
      </c>
      <c r="BV9" s="2">
        <v>88</v>
      </c>
      <c r="BW9" s="2">
        <v>10.476900000000001</v>
      </c>
      <c r="BX9" s="2">
        <v>3144.3290000000002</v>
      </c>
      <c r="BY9" s="3">
        <v>10.426080000000001</v>
      </c>
      <c r="BZ9" s="3">
        <v>0.33158359999999998</v>
      </c>
      <c r="CA9" s="2">
        <v>1.3411</v>
      </c>
      <c r="CB9" s="3">
        <v>0.33158359999999998</v>
      </c>
      <c r="CC9" s="3">
        <v>5.5670799999999998</v>
      </c>
      <c r="CD9" s="3">
        <v>5.9588489999999998</v>
      </c>
      <c r="CE9" s="2">
        <v>7.0372459999999997</v>
      </c>
      <c r="CF9" s="3">
        <v>22928.09</v>
      </c>
      <c r="CG9" s="3">
        <v>24169.29</v>
      </c>
      <c r="CH9" s="2">
        <v>5.4134729999999998</v>
      </c>
      <c r="CI9" s="3">
        <v>22.715900000000001</v>
      </c>
      <c r="CJ9" s="2">
        <v>1.250648</v>
      </c>
      <c r="CK9" s="3">
        <v>189529.1</v>
      </c>
      <c r="CL9" s="3">
        <v>190624.2</v>
      </c>
      <c r="CM9" s="2">
        <v>0.57781930000000004</v>
      </c>
      <c r="CN9" s="3">
        <v>16.782959999999999</v>
      </c>
      <c r="CO9" s="3">
        <v>18.311450000000001</v>
      </c>
      <c r="CP9" s="3">
        <v>18.417149999999999</v>
      </c>
      <c r="CQ9" s="2">
        <v>18.58455</v>
      </c>
      <c r="CR9" s="2">
        <v>8.686102</v>
      </c>
      <c r="CS9" s="2">
        <v>8.0623149999999999</v>
      </c>
      <c r="CT9" s="2">
        <v>9.1073629999999994</v>
      </c>
      <c r="CU9" s="2">
        <v>181.85470000000001</v>
      </c>
      <c r="CV9" s="3">
        <v>0.2906029</v>
      </c>
      <c r="CW9" s="2">
        <v>2.6801159999999999</v>
      </c>
      <c r="CX9" s="2">
        <v>4.783811</v>
      </c>
      <c r="CY9" s="2" t="e">
        <v>#N/A</v>
      </c>
      <c r="CZ9" s="2">
        <v>15.11111</v>
      </c>
    </row>
    <row r="10" spans="1:104" ht="15" customHeight="1" x14ac:dyDescent="0.2">
      <c r="A10" s="1">
        <f t="shared" si="0"/>
        <v>4</v>
      </c>
      <c r="B10" s="1" t="s">
        <v>15</v>
      </c>
      <c r="C10" s="1" t="s">
        <v>14</v>
      </c>
      <c r="D10" s="1" t="s">
        <v>3</v>
      </c>
      <c r="E10" s="1" t="s">
        <v>4</v>
      </c>
      <c r="F10" s="1" t="s">
        <v>5</v>
      </c>
      <c r="G10" s="2">
        <v>48294.01</v>
      </c>
      <c r="H10" s="2">
        <v>79.096599999999995</v>
      </c>
      <c r="I10" s="2">
        <v>38198.92</v>
      </c>
      <c r="J10" s="3">
        <v>2.6415000000000002</v>
      </c>
      <c r="K10" s="3">
        <v>0</v>
      </c>
      <c r="L10" s="2">
        <v>6.0666669999999998</v>
      </c>
      <c r="M10" s="2">
        <v>11.27075</v>
      </c>
      <c r="N10" s="2">
        <v>11.72245</v>
      </c>
      <c r="O10" s="2">
        <v>11.75215</v>
      </c>
      <c r="P10" s="2">
        <v>11.484780000000001</v>
      </c>
      <c r="Q10" s="2">
        <v>6.4426829999999997</v>
      </c>
      <c r="R10" s="2">
        <v>6.052772</v>
      </c>
      <c r="S10" s="2">
        <v>5.9328690000000002</v>
      </c>
      <c r="T10" s="2" t="e">
        <v>#N/A</v>
      </c>
      <c r="U10" s="2" t="e">
        <v>#N/A</v>
      </c>
      <c r="V10" s="2" t="e">
        <v>#N/A</v>
      </c>
      <c r="W10" s="2" t="e">
        <v>#N/A</v>
      </c>
      <c r="X10" s="2">
        <v>0.9096649</v>
      </c>
      <c r="Y10" s="2">
        <v>0.83509029999999995</v>
      </c>
      <c r="Z10" s="2">
        <v>0.79707899999999998</v>
      </c>
      <c r="AA10" s="2">
        <v>0.75876149999999998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3">
        <v>0.20230890000000001</v>
      </c>
      <c r="AM10" s="3">
        <v>0.1920549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1" t="s">
        <v>6</v>
      </c>
      <c r="AW10" s="3">
        <v>1.2708330000000001</v>
      </c>
      <c r="AX10" s="3">
        <v>3.55</v>
      </c>
      <c r="AY10" s="2">
        <v>34.393329999999999</v>
      </c>
      <c r="AZ10" s="2">
        <v>12.96184</v>
      </c>
      <c r="BA10" s="2">
        <v>31.651060000000001</v>
      </c>
      <c r="BB10" s="2">
        <v>24.481619999999999</v>
      </c>
      <c r="BC10" s="2">
        <v>27.117419999999999</v>
      </c>
      <c r="BD10" s="3">
        <v>1.9944</v>
      </c>
      <c r="BE10" s="2">
        <v>32.44585</v>
      </c>
      <c r="BF10" s="3">
        <v>2.6844999999999999</v>
      </c>
      <c r="BG10" s="2">
        <v>-1.601785</v>
      </c>
      <c r="BH10" s="2">
        <v>68.893739999999994</v>
      </c>
      <c r="BI10" s="2">
        <v>72.038210000000007</v>
      </c>
      <c r="BJ10" s="2">
        <v>71.297039999999996</v>
      </c>
      <c r="BK10" s="2">
        <v>70.984660000000005</v>
      </c>
      <c r="BL10" s="2">
        <v>22</v>
      </c>
      <c r="BM10" s="2">
        <v>12</v>
      </c>
      <c r="BN10" s="4">
        <v>24</v>
      </c>
      <c r="BO10" s="4">
        <v>1</v>
      </c>
      <c r="BP10" s="4">
        <v>1</v>
      </c>
      <c r="BQ10" s="4">
        <v>23</v>
      </c>
      <c r="BR10" s="2">
        <v>4</v>
      </c>
      <c r="BS10" s="4">
        <v>19</v>
      </c>
      <c r="BT10" s="4">
        <v>0</v>
      </c>
      <c r="BU10" s="4">
        <v>24</v>
      </c>
      <c r="BV10" s="2">
        <v>79.166669999999996</v>
      </c>
      <c r="BW10" s="2">
        <v>10.022500000000001</v>
      </c>
      <c r="BX10" s="2">
        <v>18282.8</v>
      </c>
      <c r="BY10" s="3">
        <v>93.137500000000003</v>
      </c>
      <c r="BZ10" s="3">
        <v>0.50942699999999996</v>
      </c>
      <c r="CA10" s="2">
        <v>1.3465</v>
      </c>
      <c r="CB10" s="3">
        <v>0.50942699999999996</v>
      </c>
      <c r="CC10" s="3">
        <v>0.39843630000000002</v>
      </c>
      <c r="CD10" s="3">
        <v>0.41252220000000001</v>
      </c>
      <c r="CE10" s="2">
        <v>3.5352950000000001</v>
      </c>
      <c r="CF10" s="3">
        <v>13838.23</v>
      </c>
      <c r="CG10" s="3">
        <v>14110.91</v>
      </c>
      <c r="CH10" s="2">
        <v>1.970518</v>
      </c>
      <c r="CI10" s="3">
        <v>3.3447830000000001</v>
      </c>
      <c r="CJ10" s="2">
        <v>6.1354519999999999</v>
      </c>
      <c r="CK10" s="3">
        <v>24823.8</v>
      </c>
      <c r="CL10" s="3">
        <v>25155.84</v>
      </c>
      <c r="CM10" s="2">
        <v>1.337564</v>
      </c>
      <c r="CN10" s="3">
        <v>2.4310450000000001</v>
      </c>
      <c r="CO10" s="3">
        <v>2.4855879999999999</v>
      </c>
      <c r="CP10" s="3">
        <v>2.5590579999999998</v>
      </c>
      <c r="CQ10" s="2">
        <v>8.6569789999999998</v>
      </c>
      <c r="CR10" s="2">
        <v>6.2726259999999998</v>
      </c>
      <c r="CS10" s="2">
        <v>3.2215829999999999</v>
      </c>
      <c r="CT10" s="2">
        <v>2.243614</v>
      </c>
      <c r="CU10" s="2">
        <v>205.9205</v>
      </c>
      <c r="CV10" s="3">
        <v>0.42638920000000002</v>
      </c>
      <c r="CW10" s="2">
        <v>-1.9466559999999999</v>
      </c>
      <c r="CX10" s="2">
        <v>1.285552</v>
      </c>
      <c r="CY10" s="2">
        <v>4.6747389999999998</v>
      </c>
      <c r="CZ10" s="2">
        <v>16.676770000000001</v>
      </c>
    </row>
    <row r="11" spans="1:104" ht="15" customHeight="1" x14ac:dyDescent="0.2">
      <c r="A11" s="1">
        <f t="shared" si="0"/>
        <v>5</v>
      </c>
      <c r="B11" s="1" t="s">
        <v>17</v>
      </c>
      <c r="C11" s="1" t="s">
        <v>16</v>
      </c>
      <c r="D11" s="1" t="s">
        <v>3</v>
      </c>
      <c r="E11" s="1" t="s">
        <v>18</v>
      </c>
      <c r="F11" s="1" t="s">
        <v>19</v>
      </c>
      <c r="G11" s="2">
        <v>65941.09</v>
      </c>
      <c r="H11" s="2">
        <v>75.152699999999996</v>
      </c>
      <c r="I11" s="2">
        <v>49556.51</v>
      </c>
      <c r="J11" s="3">
        <v>6.4859999999999998</v>
      </c>
      <c r="K11" s="3">
        <v>0</v>
      </c>
      <c r="L11" s="2">
        <v>6.1671290000000001</v>
      </c>
      <c r="M11" s="2">
        <v>6.6296629999999999</v>
      </c>
      <c r="N11" s="2">
        <v>6.7838419999999999</v>
      </c>
      <c r="O11" s="2">
        <v>7.0921989999999999</v>
      </c>
      <c r="P11" s="2">
        <v>12.237740000000001</v>
      </c>
      <c r="Q11" s="2">
        <v>10.13438</v>
      </c>
      <c r="R11" s="2">
        <v>9.6599219999999999</v>
      </c>
      <c r="S11" s="2">
        <v>9.2776899999999998</v>
      </c>
      <c r="T11" s="2">
        <v>5.6498710000000001</v>
      </c>
      <c r="U11" s="2">
        <v>5.9127929999999997</v>
      </c>
      <c r="V11" s="2">
        <v>5.5106529999999996</v>
      </c>
      <c r="W11" s="2">
        <v>5.3729649999999998</v>
      </c>
      <c r="X11" s="2">
        <v>2.2999999999999998</v>
      </c>
      <c r="Y11" s="2">
        <v>2.144968</v>
      </c>
      <c r="Z11" s="2">
        <v>1.965455</v>
      </c>
      <c r="AA11" s="2">
        <v>1.8434299999999999</v>
      </c>
      <c r="AB11" s="2">
        <v>5.8432430000000002</v>
      </c>
      <c r="AC11" s="2">
        <v>4.1524700000000001</v>
      </c>
      <c r="AD11" s="2">
        <v>4.5290720000000002</v>
      </c>
      <c r="AE11" s="2">
        <v>4.3409399999999998</v>
      </c>
      <c r="AF11" s="2">
        <v>2.9128039999999999</v>
      </c>
      <c r="AG11" s="2">
        <v>5.1521400000000002</v>
      </c>
      <c r="AH11" s="2">
        <v>3.9851420000000002</v>
      </c>
      <c r="AI11" s="2">
        <v>5.5734219999999999</v>
      </c>
      <c r="AJ11" s="2">
        <v>9.4231210000000001</v>
      </c>
      <c r="AK11" s="2">
        <v>7.3529369999999998</v>
      </c>
      <c r="AL11" s="3">
        <v>1.130063</v>
      </c>
      <c r="AM11" s="3">
        <v>1.074497</v>
      </c>
      <c r="AN11" s="2">
        <v>14.00756</v>
      </c>
      <c r="AO11" s="2">
        <v>20.86523</v>
      </c>
      <c r="AP11" s="2">
        <v>21.90231</v>
      </c>
      <c r="AQ11" s="2">
        <v>22.428039999999999</v>
      </c>
      <c r="AR11" s="2">
        <v>3.0517699999999999</v>
      </c>
      <c r="AS11" s="2">
        <v>2.8226249999999999</v>
      </c>
      <c r="AT11" s="2">
        <v>2.4976759999999998</v>
      </c>
      <c r="AU11" s="2">
        <v>2.4609269999999999</v>
      </c>
      <c r="AV11" s="1" t="s">
        <v>6</v>
      </c>
      <c r="AW11" s="3">
        <v>1.2</v>
      </c>
      <c r="AX11" s="3">
        <v>7.45</v>
      </c>
      <c r="AY11" s="2">
        <v>14.862780000000001</v>
      </c>
      <c r="AZ11" s="2">
        <v>21.16527</v>
      </c>
      <c r="BA11" s="2">
        <v>8.9793459999999996</v>
      </c>
      <c r="BB11" s="2">
        <v>26.334250000000001</v>
      </c>
      <c r="BC11" s="2">
        <v>28.94632</v>
      </c>
      <c r="BD11" s="3">
        <v>4.92</v>
      </c>
      <c r="BE11" s="2">
        <v>31.829260000000001</v>
      </c>
      <c r="BF11" s="3">
        <v>6.5190000000000001</v>
      </c>
      <c r="BG11" s="2">
        <v>-0.5062103</v>
      </c>
      <c r="BH11" s="2">
        <v>75.461839999999995</v>
      </c>
      <c r="BI11" s="2">
        <v>66.979349999999997</v>
      </c>
      <c r="BJ11" s="2">
        <v>65.604089999999999</v>
      </c>
      <c r="BK11" s="2">
        <v>65.363969999999995</v>
      </c>
      <c r="BL11" s="2">
        <v>17</v>
      </c>
      <c r="BM11" s="2">
        <v>16</v>
      </c>
      <c r="BN11" s="4">
        <v>20</v>
      </c>
      <c r="BO11" s="4">
        <v>0</v>
      </c>
      <c r="BP11" s="4">
        <v>0</v>
      </c>
      <c r="BQ11" s="4">
        <v>19</v>
      </c>
      <c r="BR11" s="2">
        <v>0</v>
      </c>
      <c r="BS11" s="4">
        <v>18</v>
      </c>
      <c r="BT11" s="4">
        <v>0</v>
      </c>
      <c r="BU11" s="4">
        <v>20</v>
      </c>
      <c r="BV11" s="2">
        <v>90</v>
      </c>
      <c r="BW11" s="2">
        <v>7.4555899999999999</v>
      </c>
      <c r="BX11" s="2">
        <v>10166.68</v>
      </c>
      <c r="BY11" s="3">
        <v>24.400110000000002</v>
      </c>
      <c r="BZ11" s="3">
        <v>0.24000070000000001</v>
      </c>
      <c r="CA11" s="2">
        <v>0.89270300000000002</v>
      </c>
      <c r="CB11" s="3">
        <v>0.24000070000000001</v>
      </c>
      <c r="CC11" s="3">
        <v>0.61025720000000006</v>
      </c>
      <c r="CD11" s="3">
        <v>0.63918949999999997</v>
      </c>
      <c r="CE11" s="2">
        <v>4.7410009999999998</v>
      </c>
      <c r="CF11" s="3">
        <v>13062.27</v>
      </c>
      <c r="CG11" s="3">
        <v>13758.43</v>
      </c>
      <c r="CH11" s="2">
        <v>5.3295370000000002</v>
      </c>
      <c r="CI11" s="3">
        <v>7.6841179999999998</v>
      </c>
      <c r="CJ11" s="2">
        <v>-3.0467810000000002</v>
      </c>
      <c r="CK11" s="3">
        <v>106177.60000000001</v>
      </c>
      <c r="CL11" s="3">
        <v>110773.8</v>
      </c>
      <c r="CM11" s="2">
        <v>4.3287519999999997</v>
      </c>
      <c r="CN11" s="3">
        <v>5.9529199999999998</v>
      </c>
      <c r="CO11" s="3">
        <v>5.9875090000000002</v>
      </c>
      <c r="CP11" s="3">
        <v>6.2174610000000001</v>
      </c>
      <c r="CQ11" s="2">
        <v>8.9549299999999992</v>
      </c>
      <c r="CR11" s="2">
        <v>8.3255180000000006</v>
      </c>
      <c r="CS11" s="2">
        <v>4.3191079999999999</v>
      </c>
      <c r="CT11" s="2">
        <v>0.58103800000000005</v>
      </c>
      <c r="CU11" s="2">
        <v>145.0634</v>
      </c>
      <c r="CV11" s="3">
        <v>0.2199895</v>
      </c>
      <c r="CW11" s="2">
        <v>-16.247910000000001</v>
      </c>
      <c r="CX11" s="2">
        <v>-27.804089999999999</v>
      </c>
      <c r="CY11" s="2">
        <v>8.4557490000000008</v>
      </c>
      <c r="CZ11" s="2">
        <v>17.404039999999998</v>
      </c>
    </row>
    <row r="12" spans="1:104" ht="15" customHeight="1" x14ac:dyDescent="0.2">
      <c r="A12" s="1">
        <f t="shared" si="0"/>
        <v>6</v>
      </c>
      <c r="B12" s="1" t="s">
        <v>21</v>
      </c>
      <c r="C12" s="1" t="s">
        <v>20</v>
      </c>
      <c r="D12" s="1" t="s">
        <v>3</v>
      </c>
      <c r="E12" s="1" t="s">
        <v>22</v>
      </c>
      <c r="F12" s="1" t="s">
        <v>23</v>
      </c>
      <c r="G12" s="2">
        <v>51206.22</v>
      </c>
      <c r="H12" s="2">
        <v>61.026800000000001</v>
      </c>
      <c r="I12" s="2">
        <v>31249.52</v>
      </c>
      <c r="J12" s="3">
        <v>15.167999999999999</v>
      </c>
      <c r="K12" s="3">
        <v>0</v>
      </c>
      <c r="L12" s="2">
        <v>5.8016880000000004</v>
      </c>
      <c r="M12" s="2">
        <v>6.1972579999999997</v>
      </c>
      <c r="N12" s="2">
        <v>6.3291139999999997</v>
      </c>
      <c r="O12" s="2">
        <v>6.4609709999999998</v>
      </c>
      <c r="P12" s="2">
        <v>4.0126989999999996</v>
      </c>
      <c r="Q12" s="2">
        <v>5.9834319999999996</v>
      </c>
      <c r="R12" s="2">
        <v>6.2548459999999997</v>
      </c>
      <c r="S12" s="2">
        <v>6.4171930000000001</v>
      </c>
      <c r="T12" s="2">
        <v>2.1533120000000001</v>
      </c>
      <c r="U12" s="2">
        <v>2.9793530000000001</v>
      </c>
      <c r="V12" s="2">
        <v>3.0732719999999998</v>
      </c>
      <c r="W12" s="2">
        <v>3.1634159999999998</v>
      </c>
      <c r="X12" s="2">
        <v>0.96734690000000001</v>
      </c>
      <c r="Y12" s="2">
        <v>0.88443150000000004</v>
      </c>
      <c r="Z12" s="2">
        <v>0.81025650000000005</v>
      </c>
      <c r="AA12" s="2">
        <v>0.76302890000000001</v>
      </c>
      <c r="AB12" s="2">
        <v>2.9718140000000002</v>
      </c>
      <c r="AC12" s="2">
        <v>3.173222</v>
      </c>
      <c r="AD12" s="2">
        <v>3.0892059999999999</v>
      </c>
      <c r="AE12" s="2">
        <v>2.956725</v>
      </c>
      <c r="AF12" s="2">
        <v>9.2349680000000003</v>
      </c>
      <c r="AG12" s="2">
        <v>8.3789060000000006</v>
      </c>
      <c r="AH12" s="2">
        <v>9.3882549999999991</v>
      </c>
      <c r="AI12" s="2">
        <v>11.683920000000001</v>
      </c>
      <c r="AJ12" s="2">
        <v>10.78932</v>
      </c>
      <c r="AK12" s="2">
        <v>12.04837</v>
      </c>
      <c r="AL12" s="3" t="e">
        <v>#N/A</v>
      </c>
      <c r="AM12" s="3" t="e">
        <v>#N/A</v>
      </c>
      <c r="AN12" s="2">
        <v>20.868590000000001</v>
      </c>
      <c r="AO12" s="2">
        <v>21.8645</v>
      </c>
      <c r="AP12" s="2">
        <v>21.12087</v>
      </c>
      <c r="AQ12" s="2">
        <v>21.089099999999998</v>
      </c>
      <c r="AR12" s="2">
        <v>0.43383100000000002</v>
      </c>
      <c r="AS12" s="2">
        <v>0.62447330000000001</v>
      </c>
      <c r="AT12" s="2">
        <v>0.68659199999999998</v>
      </c>
      <c r="AU12" s="2">
        <v>0.69843789999999994</v>
      </c>
      <c r="AV12" s="1" t="s">
        <v>24</v>
      </c>
      <c r="AW12" s="3">
        <v>1.4423079999999999</v>
      </c>
      <c r="AX12" s="3">
        <v>17.75</v>
      </c>
      <c r="AY12" s="2">
        <v>17.022680000000001</v>
      </c>
      <c r="AZ12" s="2">
        <v>14.78134</v>
      </c>
      <c r="BA12" s="2">
        <v>-6</v>
      </c>
      <c r="BB12" s="2">
        <v>5.8922049999999997</v>
      </c>
      <c r="BC12" s="2">
        <v>14.165279999999999</v>
      </c>
      <c r="BD12" s="3">
        <v>11.686</v>
      </c>
      <c r="BE12" s="2">
        <v>29.796340000000001</v>
      </c>
      <c r="BF12" s="3">
        <v>15.83</v>
      </c>
      <c r="BG12" s="2">
        <v>-4.1819329999999999</v>
      </c>
      <c r="BH12" s="2">
        <v>22.940290000000001</v>
      </c>
      <c r="BI12" s="2">
        <v>36.692570000000003</v>
      </c>
      <c r="BJ12" s="2">
        <v>38.871519999999997</v>
      </c>
      <c r="BK12" s="2">
        <v>41.060479999999998</v>
      </c>
      <c r="BL12" s="2">
        <v>24</v>
      </c>
      <c r="BM12" s="2">
        <v>22</v>
      </c>
      <c r="BN12" s="4">
        <v>26</v>
      </c>
      <c r="BO12" s="4">
        <v>2</v>
      </c>
      <c r="BP12" s="4">
        <v>0</v>
      </c>
      <c r="BQ12" s="4">
        <v>24</v>
      </c>
      <c r="BR12" s="2">
        <v>7.6923079999999997</v>
      </c>
      <c r="BS12" s="4">
        <v>16</v>
      </c>
      <c r="BT12" s="4">
        <v>0</v>
      </c>
      <c r="BU12" s="4">
        <v>26</v>
      </c>
      <c r="BV12" s="2">
        <v>61.538460000000001</v>
      </c>
      <c r="BW12" s="2">
        <v>9.6330500000000008</v>
      </c>
      <c r="BX12" s="2">
        <v>3375.9380000000001</v>
      </c>
      <c r="BY12" s="3">
        <v>11.31241</v>
      </c>
      <c r="BZ12" s="3">
        <v>0.33508929999999998</v>
      </c>
      <c r="CA12" s="2">
        <v>1.23088</v>
      </c>
      <c r="CB12" s="3">
        <v>0.33508929999999998</v>
      </c>
      <c r="CC12" s="3">
        <v>2.4004829999999999</v>
      </c>
      <c r="CD12" s="3">
        <v>2.5482</v>
      </c>
      <c r="CE12" s="2">
        <v>6.153619</v>
      </c>
      <c r="CF12" s="3">
        <v>13087.24</v>
      </c>
      <c r="CG12" s="3">
        <v>14138.02</v>
      </c>
      <c r="CH12" s="2">
        <v>8.0290680000000005</v>
      </c>
      <c r="CI12" s="3">
        <v>16.17024</v>
      </c>
      <c r="CJ12" s="2">
        <v>9.7695469999999993</v>
      </c>
      <c r="CK12" s="3">
        <v>95043.54</v>
      </c>
      <c r="CL12" s="3">
        <v>96450.05</v>
      </c>
      <c r="CM12" s="2">
        <v>1.4798519999999999</v>
      </c>
      <c r="CN12" s="3">
        <v>13.93262</v>
      </c>
      <c r="CO12" s="3">
        <v>15.174469999999999</v>
      </c>
      <c r="CP12" s="3">
        <v>15.162610000000001</v>
      </c>
      <c r="CQ12" s="2">
        <v>8.8668460000000007</v>
      </c>
      <c r="CR12" s="2">
        <v>-4.2647119999999997E-2</v>
      </c>
      <c r="CS12" s="2">
        <v>3.5512450000000001E-2</v>
      </c>
      <c r="CT12" s="2">
        <v>8.9132899999999999</v>
      </c>
      <c r="CU12" s="2">
        <v>172.18020000000001</v>
      </c>
      <c r="CV12" s="3">
        <v>0.33624860000000001</v>
      </c>
      <c r="CW12" s="2">
        <v>4.1492979999999999</v>
      </c>
      <c r="CX12" s="2">
        <v>-31.49417</v>
      </c>
      <c r="CY12" s="2">
        <v>1.7127760000000001</v>
      </c>
      <c r="CZ12" s="2">
        <v>17.77778</v>
      </c>
    </row>
    <row r="13" spans="1:104" ht="15" customHeight="1" x14ac:dyDescent="0.2">
      <c r="A13" s="1">
        <f t="shared" si="0"/>
        <v>7</v>
      </c>
      <c r="B13" s="1" t="s">
        <v>26</v>
      </c>
      <c r="C13" s="1" t="s">
        <v>25</v>
      </c>
      <c r="D13" s="1" t="s">
        <v>27</v>
      </c>
      <c r="E13" s="1" t="s">
        <v>28</v>
      </c>
      <c r="F13" s="1" t="s">
        <v>29</v>
      </c>
      <c r="G13" s="2">
        <v>123200</v>
      </c>
      <c r="H13" s="2">
        <v>85.961699999999993</v>
      </c>
      <c r="I13" s="2">
        <v>105904.8</v>
      </c>
      <c r="J13" s="3">
        <v>154</v>
      </c>
      <c r="K13" s="3">
        <v>0</v>
      </c>
      <c r="L13" s="2">
        <v>3.0519479999999999</v>
      </c>
      <c r="M13" s="2">
        <v>3.207792</v>
      </c>
      <c r="N13" s="2">
        <v>3.3701300000000001</v>
      </c>
      <c r="O13" s="2">
        <v>3.6168830000000001</v>
      </c>
      <c r="P13" s="2">
        <v>15.55556</v>
      </c>
      <c r="Q13" s="2">
        <v>14.542020000000001</v>
      </c>
      <c r="R13" s="2">
        <v>13.061920000000001</v>
      </c>
      <c r="S13" s="2">
        <v>11.77242</v>
      </c>
      <c r="T13" s="2">
        <v>11.678699999999999</v>
      </c>
      <c r="U13" s="2">
        <v>10.364789999999999</v>
      </c>
      <c r="V13" s="2">
        <v>9.494351</v>
      </c>
      <c r="W13" s="2">
        <v>8.3197080000000003</v>
      </c>
      <c r="X13" s="2">
        <v>2.550513</v>
      </c>
      <c r="Y13" s="2">
        <v>2.3829790000000002</v>
      </c>
      <c r="Z13" s="2">
        <v>2.1735530000000001</v>
      </c>
      <c r="AA13" s="2">
        <v>2.037846</v>
      </c>
      <c r="AB13" s="2">
        <v>10.95926</v>
      </c>
      <c r="AC13" s="2">
        <v>10.69412</v>
      </c>
      <c r="AD13" s="2">
        <v>9.9805569999999992</v>
      </c>
      <c r="AE13" s="2">
        <v>9.7008980000000005</v>
      </c>
      <c r="AF13" s="2">
        <v>5.6066839999999996</v>
      </c>
      <c r="AG13" s="2">
        <v>6.2957989999999997</v>
      </c>
      <c r="AH13" s="2">
        <v>6.8815650000000002</v>
      </c>
      <c r="AI13" s="2">
        <v>7.0955370000000002</v>
      </c>
      <c r="AJ13" s="2">
        <v>7.7293440000000002</v>
      </c>
      <c r="AK13" s="2">
        <v>8.1576950000000004</v>
      </c>
      <c r="AL13" s="3">
        <v>1.6294029999999999</v>
      </c>
      <c r="AM13" s="3">
        <v>1.4689920000000001</v>
      </c>
      <c r="AN13" s="2">
        <v>17.584769999999999</v>
      </c>
      <c r="AO13" s="2">
        <v>18.525759999999998</v>
      </c>
      <c r="AP13" s="2">
        <v>18.619</v>
      </c>
      <c r="AQ13" s="2">
        <v>19.658519999999999</v>
      </c>
      <c r="AR13" s="2">
        <v>2.6698840000000001</v>
      </c>
      <c r="AS13" s="2">
        <v>2.174839</v>
      </c>
      <c r="AT13" s="2">
        <v>1.7608980000000001</v>
      </c>
      <c r="AU13" s="2">
        <v>1.3014749999999999</v>
      </c>
      <c r="AV13" s="1" t="s">
        <v>6</v>
      </c>
      <c r="AW13" s="3">
        <v>1.2083330000000001</v>
      </c>
      <c r="AX13" s="3">
        <v>184</v>
      </c>
      <c r="AY13" s="2">
        <v>19.480509999999999</v>
      </c>
      <c r="AZ13" s="2">
        <v>16.386849999999999</v>
      </c>
      <c r="BA13" s="2">
        <v>6.3</v>
      </c>
      <c r="BB13" s="2">
        <v>17.36016</v>
      </c>
      <c r="BC13" s="2">
        <v>18.790489999999998</v>
      </c>
      <c r="BD13" s="3">
        <v>119.48</v>
      </c>
      <c r="BE13" s="2">
        <v>28.891860000000001</v>
      </c>
      <c r="BF13" s="3">
        <v>167</v>
      </c>
      <c r="BG13" s="2">
        <v>-7.7844319999999998</v>
      </c>
      <c r="BH13" s="2">
        <v>47.140749999999997</v>
      </c>
      <c r="BI13" s="2">
        <v>46.824469999999998</v>
      </c>
      <c r="BJ13" s="2">
        <v>45.63617</v>
      </c>
      <c r="BK13" s="2">
        <v>43.560380000000002</v>
      </c>
      <c r="BL13" s="2">
        <v>21</v>
      </c>
      <c r="BM13" s="2">
        <v>20</v>
      </c>
      <c r="BN13" s="4">
        <v>24</v>
      </c>
      <c r="BO13" s="4">
        <v>1</v>
      </c>
      <c r="BP13" s="4">
        <v>2</v>
      </c>
      <c r="BQ13" s="4">
        <v>21</v>
      </c>
      <c r="BR13" s="2">
        <v>4.1666670000000003</v>
      </c>
      <c r="BS13" s="4">
        <v>21</v>
      </c>
      <c r="BT13" s="4">
        <v>1</v>
      </c>
      <c r="BU13" s="4">
        <v>24</v>
      </c>
      <c r="BV13" s="2">
        <v>87.5</v>
      </c>
      <c r="BW13" s="2">
        <v>7.5330899999999996</v>
      </c>
      <c r="BX13" s="2">
        <v>800</v>
      </c>
      <c r="BY13" s="3">
        <v>1.308187</v>
      </c>
      <c r="BZ13" s="3">
        <v>0.16352340000000001</v>
      </c>
      <c r="CA13" s="2">
        <v>1.1662999999999999</v>
      </c>
      <c r="CB13" s="3">
        <v>0.16352340000000001</v>
      </c>
      <c r="CC13" s="3">
        <v>10.47207</v>
      </c>
      <c r="CD13" s="3">
        <v>10.464040000000001</v>
      </c>
      <c r="CE13" s="2">
        <v>-7.6699260000000005E-2</v>
      </c>
      <c r="CF13" s="3">
        <v>11511.62</v>
      </c>
      <c r="CG13" s="3">
        <v>11591.69</v>
      </c>
      <c r="CH13" s="2">
        <v>0.69558620000000004</v>
      </c>
      <c r="CI13" s="3">
        <v>182.38890000000001</v>
      </c>
      <c r="CJ13" s="2">
        <v>0.88334080000000004</v>
      </c>
      <c r="CK13" s="3">
        <v>80364.44</v>
      </c>
      <c r="CL13" s="3">
        <v>81062.34</v>
      </c>
      <c r="CM13" s="2">
        <v>0.86841579999999996</v>
      </c>
      <c r="CN13" s="3">
        <v>144.2748</v>
      </c>
      <c r="CO13" s="3">
        <v>135.30269999999999</v>
      </c>
      <c r="CP13" s="3">
        <v>137.7861</v>
      </c>
      <c r="CQ13" s="2">
        <v>6.740761</v>
      </c>
      <c r="CR13" s="2">
        <v>13.818849999999999</v>
      </c>
      <c r="CS13" s="2">
        <v>11.7674</v>
      </c>
      <c r="CT13" s="2">
        <v>-6.218731</v>
      </c>
      <c r="CU13" s="2">
        <v>185.57409999999999</v>
      </c>
      <c r="CV13" s="3">
        <v>0.15062829999999999</v>
      </c>
      <c r="CW13" s="2">
        <v>-8.5746979999999997</v>
      </c>
      <c r="CX13" s="2">
        <v>1.8341689999999999</v>
      </c>
      <c r="CY13" s="2">
        <v>8.7726019999999991</v>
      </c>
      <c r="CZ13" s="2">
        <v>18.52525</v>
      </c>
    </row>
    <row r="14" spans="1:104" ht="15" customHeight="1" x14ac:dyDescent="0.2">
      <c r="A14" s="1">
        <f t="shared" si="0"/>
        <v>8</v>
      </c>
      <c r="B14" s="1" t="s">
        <v>31</v>
      </c>
      <c r="C14" s="1" t="s">
        <v>30</v>
      </c>
      <c r="D14" s="1" t="s">
        <v>32</v>
      </c>
      <c r="E14" s="1" t="s">
        <v>4</v>
      </c>
      <c r="F14" s="1" t="s">
        <v>5</v>
      </c>
      <c r="G14" s="2">
        <v>46612.07</v>
      </c>
      <c r="H14" s="2">
        <v>96.900300000000001</v>
      </c>
      <c r="I14" s="2">
        <v>45167.24</v>
      </c>
      <c r="J14" s="3">
        <v>12.878</v>
      </c>
      <c r="K14" s="3">
        <v>0</v>
      </c>
      <c r="L14" s="2">
        <v>6.1383749999999999</v>
      </c>
      <c r="M14" s="2">
        <v>8.0757879999999993</v>
      </c>
      <c r="N14" s="2">
        <v>7.9269100000000003</v>
      </c>
      <c r="O14" s="2">
        <v>8.8944829999999993</v>
      </c>
      <c r="P14" s="2">
        <v>13.14082</v>
      </c>
      <c r="Q14" s="2">
        <v>6.2212560000000003</v>
      </c>
      <c r="R14" s="2">
        <v>6.6688460000000003</v>
      </c>
      <c r="S14" s="2">
        <v>5.8009009999999996</v>
      </c>
      <c r="T14" s="2" t="e">
        <v>#N/A</v>
      </c>
      <c r="U14" s="2" t="e">
        <v>#N/A</v>
      </c>
      <c r="V14" s="2" t="e">
        <v>#N/A</v>
      </c>
      <c r="W14" s="2" t="e">
        <v>#N/A</v>
      </c>
      <c r="X14" s="2">
        <v>0.9338651</v>
      </c>
      <c r="Y14" s="2">
        <v>0.85454549999999996</v>
      </c>
      <c r="Z14" s="2">
        <v>0.80012430000000001</v>
      </c>
      <c r="AA14" s="2">
        <v>0.73588569999999998</v>
      </c>
      <c r="AB14" s="2" t="e">
        <v>#N/A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3">
        <v>0.20986679999999999</v>
      </c>
      <c r="AM14" s="3">
        <v>0.22132930000000001</v>
      </c>
      <c r="AN14" s="2" t="e">
        <v>#N/A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1" t="s">
        <v>6</v>
      </c>
      <c r="AW14" s="3">
        <v>1.326087</v>
      </c>
      <c r="AX14" s="3">
        <v>16.45</v>
      </c>
      <c r="AY14" s="2">
        <v>27.737220000000001</v>
      </c>
      <c r="AZ14" s="2">
        <v>13.735900000000001</v>
      </c>
      <c r="BA14" s="2">
        <v>29.95627</v>
      </c>
      <c r="BB14" s="2">
        <v>11.113020000000001</v>
      </c>
      <c r="BC14" s="2">
        <v>13.08395</v>
      </c>
      <c r="BD14" s="3">
        <v>9.59</v>
      </c>
      <c r="BE14" s="2">
        <v>34.285710000000002</v>
      </c>
      <c r="BF14" s="3">
        <v>13.571999999999999</v>
      </c>
      <c r="BG14" s="2">
        <v>-5.1134709999999997</v>
      </c>
      <c r="BH14" s="2">
        <v>75.727040000000002</v>
      </c>
      <c r="BI14" s="2">
        <v>50.688949999999998</v>
      </c>
      <c r="BJ14" s="2">
        <v>52.702179999999998</v>
      </c>
      <c r="BK14" s="2">
        <v>52.139200000000002</v>
      </c>
      <c r="BL14" s="2">
        <v>21</v>
      </c>
      <c r="BM14" s="2">
        <v>13</v>
      </c>
      <c r="BN14" s="4">
        <v>23</v>
      </c>
      <c r="BO14" s="4">
        <v>0</v>
      </c>
      <c r="BP14" s="4">
        <v>0</v>
      </c>
      <c r="BQ14" s="4">
        <v>23</v>
      </c>
      <c r="BR14" s="2">
        <v>0</v>
      </c>
      <c r="BS14" s="4">
        <v>16</v>
      </c>
      <c r="BT14" s="4">
        <v>1</v>
      </c>
      <c r="BU14" s="4">
        <v>23</v>
      </c>
      <c r="BV14" s="2">
        <v>69.565219999999997</v>
      </c>
      <c r="BW14" s="2">
        <v>11.327299999999999</v>
      </c>
      <c r="BX14" s="2">
        <v>3619.5120000000002</v>
      </c>
      <c r="BY14" s="3">
        <v>12.60507</v>
      </c>
      <c r="BZ14" s="3">
        <v>0.34825339999999999</v>
      </c>
      <c r="CA14" s="2">
        <v>1.43154</v>
      </c>
      <c r="CB14" s="3">
        <v>0.34825339999999999</v>
      </c>
      <c r="CC14" s="3">
        <v>1.9194169999999999</v>
      </c>
      <c r="CD14" s="3">
        <v>2.0484100000000001</v>
      </c>
      <c r="CE14" s="2">
        <v>6.7204360000000003</v>
      </c>
      <c r="CF14" s="3">
        <v>10978.87</v>
      </c>
      <c r="CG14" s="3">
        <v>11220.11</v>
      </c>
      <c r="CH14" s="2">
        <v>2.1973370000000001</v>
      </c>
      <c r="CI14" s="3">
        <v>16.242979999999999</v>
      </c>
      <c r="CJ14" s="2">
        <v>1.274526</v>
      </c>
      <c r="CK14" s="3">
        <v>22204.87</v>
      </c>
      <c r="CL14" s="3">
        <v>22695.42</v>
      </c>
      <c r="CM14" s="2">
        <v>2.2091980000000002</v>
      </c>
      <c r="CN14" s="3">
        <v>12.30438</v>
      </c>
      <c r="CO14" s="3">
        <v>12.43094</v>
      </c>
      <c r="CP14" s="3">
        <v>12.38269</v>
      </c>
      <c r="CQ14" s="2">
        <v>4.6619419999999998</v>
      </c>
      <c r="CR14" s="2">
        <v>3.5963539999999998</v>
      </c>
      <c r="CS14" s="2">
        <v>3.999984</v>
      </c>
      <c r="CT14" s="2">
        <v>1.028597</v>
      </c>
      <c r="CU14" s="2">
        <v>134.36680000000001</v>
      </c>
      <c r="CV14" s="3">
        <v>0.28826610000000003</v>
      </c>
      <c r="CW14" s="2">
        <v>5.4321400000000004</v>
      </c>
      <c r="CX14" s="2">
        <v>1.5714239999999999</v>
      </c>
      <c r="CY14" s="2">
        <v>4.542338</v>
      </c>
      <c r="CZ14" s="2">
        <v>18.838380000000001</v>
      </c>
    </row>
    <row r="15" spans="1:104" ht="15" customHeight="1" x14ac:dyDescent="0.2">
      <c r="A15" s="1">
        <f t="shared" si="0"/>
        <v>9</v>
      </c>
      <c r="B15" s="1" t="s">
        <v>34</v>
      </c>
      <c r="C15" s="1" t="s">
        <v>33</v>
      </c>
      <c r="D15" s="1" t="s">
        <v>3</v>
      </c>
      <c r="E15" s="1" t="s">
        <v>12</v>
      </c>
      <c r="F15" s="1" t="s">
        <v>13</v>
      </c>
      <c r="G15" s="2">
        <v>64111.11</v>
      </c>
      <c r="H15" s="2">
        <v>67.307900000000004</v>
      </c>
      <c r="I15" s="2">
        <v>43151.839999999997</v>
      </c>
      <c r="J15" s="3">
        <v>330.6</v>
      </c>
      <c r="K15" s="3">
        <v>0</v>
      </c>
      <c r="L15" s="2">
        <v>0.4815797</v>
      </c>
      <c r="M15" s="2">
        <v>0.68836529999999996</v>
      </c>
      <c r="N15" s="2">
        <v>0.77036789999999999</v>
      </c>
      <c r="O15" s="2">
        <v>0.86358140000000005</v>
      </c>
      <c r="P15" s="2">
        <v>64.950879999999998</v>
      </c>
      <c r="Q15" s="2">
        <v>49.123330000000003</v>
      </c>
      <c r="R15" s="2">
        <v>43.375230000000002</v>
      </c>
      <c r="S15" s="2">
        <v>38.939929999999997</v>
      </c>
      <c r="T15" s="2">
        <v>29.399819999999998</v>
      </c>
      <c r="U15" s="2">
        <v>37.425289999999997</v>
      </c>
      <c r="V15" s="2">
        <v>33.463189999999997</v>
      </c>
      <c r="W15" s="2">
        <v>30.1066</v>
      </c>
      <c r="X15" s="2">
        <v>23.939170000000001</v>
      </c>
      <c r="Y15" s="2">
        <v>20.121729999999999</v>
      </c>
      <c r="Z15" s="2">
        <v>16.54082</v>
      </c>
      <c r="AA15" s="2">
        <v>13.257440000000001</v>
      </c>
      <c r="AB15" s="2">
        <v>43.100439999999999</v>
      </c>
      <c r="AC15" s="2">
        <v>33.47728</v>
      </c>
      <c r="AD15" s="2">
        <v>28.693079999999998</v>
      </c>
      <c r="AE15" s="2">
        <v>26.482410000000002</v>
      </c>
      <c r="AF15" s="2">
        <v>1.4592039999999999</v>
      </c>
      <c r="AG15" s="2">
        <v>1.7748649999999999</v>
      </c>
      <c r="AH15" s="2">
        <v>2.0292680000000001</v>
      </c>
      <c r="AI15" s="2">
        <v>1.462734</v>
      </c>
      <c r="AJ15" s="2">
        <v>1.771709</v>
      </c>
      <c r="AK15" s="2">
        <v>2.0136910000000001</v>
      </c>
      <c r="AL15" s="3">
        <v>4.476064</v>
      </c>
      <c r="AM15" s="3">
        <v>3.9085350000000001</v>
      </c>
      <c r="AN15" s="2">
        <v>34.798819999999999</v>
      </c>
      <c r="AO15" s="2">
        <v>38.260509999999996</v>
      </c>
      <c r="AP15" s="2">
        <v>39.538870000000003</v>
      </c>
      <c r="AQ15" s="2">
        <v>40.330910000000003</v>
      </c>
      <c r="AR15" s="2">
        <v>0.34988809999999998</v>
      </c>
      <c r="AS15" s="2">
        <v>6.8130899999999994E-2</v>
      </c>
      <c r="AT15" s="2">
        <v>-4.4917260000000001E-2</v>
      </c>
      <c r="AU15" s="2">
        <v>-0.1752242</v>
      </c>
      <c r="AV15" s="1" t="s">
        <v>35</v>
      </c>
      <c r="AW15" s="3">
        <v>1.4523809999999999</v>
      </c>
      <c r="AX15" s="3">
        <v>329.041</v>
      </c>
      <c r="AY15" s="2">
        <v>-0.47158</v>
      </c>
      <c r="AZ15" s="2">
        <v>40.961649999999999</v>
      </c>
      <c r="BA15" s="2">
        <v>11.01782</v>
      </c>
      <c r="BB15" s="2">
        <v>56.01699</v>
      </c>
      <c r="BC15" s="2">
        <v>65.134870000000006</v>
      </c>
      <c r="BD15" s="3">
        <v>197.55</v>
      </c>
      <c r="BE15" s="2">
        <v>67.350040000000007</v>
      </c>
      <c r="BF15" s="3">
        <v>339.2</v>
      </c>
      <c r="BG15" s="2">
        <v>-2.5353789999999998</v>
      </c>
      <c r="BH15" s="2">
        <v>31.891999999999999</v>
      </c>
      <c r="BI15" s="2">
        <v>30.60324</v>
      </c>
      <c r="BJ15" s="2">
        <v>30.563880000000001</v>
      </c>
      <c r="BK15" s="2">
        <v>31.206109999999999</v>
      </c>
      <c r="BL15" s="2">
        <v>20</v>
      </c>
      <c r="BM15" s="2">
        <v>18</v>
      </c>
      <c r="BN15" s="4">
        <v>21</v>
      </c>
      <c r="BO15" s="4">
        <v>0</v>
      </c>
      <c r="BP15" s="4">
        <v>0</v>
      </c>
      <c r="BQ15" s="4">
        <v>20</v>
      </c>
      <c r="BR15" s="2">
        <v>0</v>
      </c>
      <c r="BS15" s="4">
        <v>13</v>
      </c>
      <c r="BT15" s="4">
        <v>0</v>
      </c>
      <c r="BU15" s="4">
        <v>21</v>
      </c>
      <c r="BV15" s="2">
        <v>61.904760000000003</v>
      </c>
      <c r="BW15" s="2">
        <v>7.4678300000000002</v>
      </c>
      <c r="BX15" s="2">
        <v>193.92349999999999</v>
      </c>
      <c r="BY15" s="3">
        <v>0.30164839999999998</v>
      </c>
      <c r="BZ15" s="3">
        <v>0.1555502</v>
      </c>
      <c r="CA15" s="2">
        <v>0.63516600000000001</v>
      </c>
      <c r="CB15" s="3">
        <v>0.1555502</v>
      </c>
      <c r="CC15" s="3">
        <v>6.4267570000000003</v>
      </c>
      <c r="CD15" s="3">
        <v>6.7036439999999997</v>
      </c>
      <c r="CE15" s="2">
        <v>4.3083429999999998</v>
      </c>
      <c r="CF15" s="3">
        <v>1574.7919999999999</v>
      </c>
      <c r="CG15" s="3">
        <v>1602.3130000000001</v>
      </c>
      <c r="CH15" s="2">
        <v>1.747644</v>
      </c>
      <c r="CI15" s="3">
        <v>311.73899999999998</v>
      </c>
      <c r="CJ15" s="2">
        <v>5.5501579999999997</v>
      </c>
      <c r="CK15" s="3">
        <v>5855.2259999999997</v>
      </c>
      <c r="CL15" s="3">
        <v>5944.78</v>
      </c>
      <c r="CM15" s="2">
        <v>1.5294669999999999</v>
      </c>
      <c r="CN15" s="3">
        <v>278.88459999999998</v>
      </c>
      <c r="CO15" s="3">
        <v>300.61759999999998</v>
      </c>
      <c r="CP15" s="3">
        <v>316.54610000000002</v>
      </c>
      <c r="CQ15" s="2">
        <v>18.543659999999999</v>
      </c>
      <c r="CR15" s="2">
        <v>9.9735849999999999</v>
      </c>
      <c r="CS15" s="2">
        <v>4.4397589999999996</v>
      </c>
      <c r="CT15" s="2">
        <v>7.7928540000000002</v>
      </c>
      <c r="CU15" s="2">
        <v>106.1168</v>
      </c>
      <c r="CV15" s="3">
        <v>0.1655201</v>
      </c>
      <c r="CW15" s="2">
        <v>12.936629999999999</v>
      </c>
      <c r="CX15" s="2">
        <v>4.537229</v>
      </c>
      <c r="CY15" s="2">
        <v>8.0933279999999996</v>
      </c>
      <c r="CZ15" s="2">
        <v>19.212119999999999</v>
      </c>
    </row>
    <row r="16" spans="1:104" ht="15" customHeight="1" x14ac:dyDescent="0.2">
      <c r="A16" s="1">
        <f t="shared" si="0"/>
        <v>10</v>
      </c>
      <c r="B16" s="1" t="s">
        <v>37</v>
      </c>
      <c r="C16" s="1" t="s">
        <v>36</v>
      </c>
      <c r="D16" s="1" t="s">
        <v>9</v>
      </c>
      <c r="E16" s="1" t="s">
        <v>4</v>
      </c>
      <c r="F16" s="1" t="s">
        <v>5</v>
      </c>
      <c r="G16" s="2">
        <v>61515.94</v>
      </c>
      <c r="H16" s="2">
        <v>99.511200000000002</v>
      </c>
      <c r="I16" s="2">
        <v>61215.25</v>
      </c>
      <c r="J16" s="3">
        <v>3.8010000000000002</v>
      </c>
      <c r="K16" s="3">
        <v>0</v>
      </c>
      <c r="L16" s="2">
        <v>2.8939750000000002</v>
      </c>
      <c r="M16" s="2">
        <v>4.4725070000000002</v>
      </c>
      <c r="N16" s="2">
        <v>4.86714</v>
      </c>
      <c r="O16" s="2">
        <v>5.5248609999999996</v>
      </c>
      <c r="P16" s="2">
        <v>7.0519489999999996</v>
      </c>
      <c r="Q16" s="2">
        <v>6.033334</v>
      </c>
      <c r="R16" s="2">
        <v>5.5733470000000001</v>
      </c>
      <c r="S16" s="2">
        <v>5.2791670000000002</v>
      </c>
      <c r="T16" s="2" t="e">
        <v>#N/A</v>
      </c>
      <c r="U16" s="2" t="e">
        <v>#N/A</v>
      </c>
      <c r="V16" s="2" t="e">
        <v>#N/A</v>
      </c>
      <c r="W16" s="2" t="e">
        <v>#N/A</v>
      </c>
      <c r="X16" s="2">
        <v>0.70650559999999996</v>
      </c>
      <c r="Y16" s="2">
        <v>0.63508770000000003</v>
      </c>
      <c r="Z16" s="2">
        <v>0.58629620000000005</v>
      </c>
      <c r="AA16" s="2">
        <v>0.53159610000000002</v>
      </c>
      <c r="AB16" s="2" t="e">
        <v>#N/A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3">
        <v>0.61548029999999998</v>
      </c>
      <c r="AM16" s="3">
        <v>0.56873419999999997</v>
      </c>
      <c r="AN16" s="2" t="e">
        <v>#N/A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1" t="s">
        <v>6</v>
      </c>
      <c r="AW16" s="3">
        <v>1.4375</v>
      </c>
      <c r="AX16" s="3">
        <v>4.9000000000000004</v>
      </c>
      <c r="AY16" s="2">
        <v>28.913440000000001</v>
      </c>
      <c r="AZ16" s="2">
        <v>10.52631</v>
      </c>
      <c r="BA16" s="2">
        <v>9.773066</v>
      </c>
      <c r="BB16" s="2">
        <v>33.345030000000001</v>
      </c>
      <c r="BC16" s="2">
        <v>35.628900000000002</v>
      </c>
      <c r="BD16" s="3">
        <v>2.6669999999999998</v>
      </c>
      <c r="BE16" s="2">
        <v>42.519689999999997</v>
      </c>
      <c r="BF16" s="3">
        <v>3.8725000000000001</v>
      </c>
      <c r="BG16" s="2">
        <v>-1.846349</v>
      </c>
      <c r="BH16" s="2">
        <v>23.634329999999999</v>
      </c>
      <c r="BI16" s="2">
        <v>31.155419999999999</v>
      </c>
      <c r="BJ16" s="2">
        <v>32.719990000000003</v>
      </c>
      <c r="BK16" s="2">
        <v>35.431710000000002</v>
      </c>
      <c r="BL16" s="2">
        <v>23</v>
      </c>
      <c r="BM16" s="2">
        <v>16</v>
      </c>
      <c r="BN16" s="4">
        <v>24</v>
      </c>
      <c r="BO16" s="4">
        <v>0</v>
      </c>
      <c r="BP16" s="4">
        <v>0</v>
      </c>
      <c r="BQ16" s="4">
        <v>24</v>
      </c>
      <c r="BR16" s="2">
        <v>0</v>
      </c>
      <c r="BS16" s="4">
        <v>15</v>
      </c>
      <c r="BT16" s="4">
        <v>1</v>
      </c>
      <c r="BU16" s="4">
        <v>24</v>
      </c>
      <c r="BV16" s="2">
        <v>62.5</v>
      </c>
      <c r="BW16" s="2">
        <v>11.205500000000001</v>
      </c>
      <c r="BX16" s="2">
        <v>16184.15</v>
      </c>
      <c r="BY16" s="3">
        <v>43.066859999999998</v>
      </c>
      <c r="BZ16" s="3">
        <v>0.26610519999999999</v>
      </c>
      <c r="CA16" s="2">
        <v>1.6675800000000001</v>
      </c>
      <c r="CB16" s="3">
        <v>0.26610519999999999</v>
      </c>
      <c r="CC16" s="3">
        <v>0.61599919999999997</v>
      </c>
      <c r="CD16" s="3">
        <v>0.63190659999999998</v>
      </c>
      <c r="CE16" s="2">
        <v>2.5823830000000001</v>
      </c>
      <c r="CF16" s="3">
        <v>31636.94</v>
      </c>
      <c r="CG16" s="3">
        <v>32131.040000000001</v>
      </c>
      <c r="CH16" s="2">
        <v>1.5617730000000001</v>
      </c>
      <c r="CI16" s="3">
        <v>4.7715379999999996</v>
      </c>
      <c r="CJ16" s="2">
        <v>2.6922459999999999</v>
      </c>
      <c r="CK16" s="3">
        <v>56851.31</v>
      </c>
      <c r="CL16" s="3">
        <v>57707.51</v>
      </c>
      <c r="CM16" s="2">
        <v>1.5060309999999999</v>
      </c>
      <c r="CN16" s="3">
        <v>3.4492069999999999</v>
      </c>
      <c r="CO16" s="3">
        <v>3.5866669999999998</v>
      </c>
      <c r="CP16" s="3">
        <v>3.6444610000000002</v>
      </c>
      <c r="CQ16" s="2">
        <v>10.199260000000001</v>
      </c>
      <c r="CR16" s="2">
        <v>5.9758420000000001</v>
      </c>
      <c r="CS16" s="2">
        <v>4.2952539999999999</v>
      </c>
      <c r="CT16" s="2">
        <v>3.9852620000000001</v>
      </c>
      <c r="CU16" s="2">
        <v>142.9693</v>
      </c>
      <c r="CV16" s="3">
        <v>0.23241020000000001</v>
      </c>
      <c r="CW16" s="2">
        <v>-0.39759329999999998</v>
      </c>
      <c r="CX16" s="2">
        <v>1.9534590000000001</v>
      </c>
      <c r="CY16" s="2">
        <v>3.4811139999999998</v>
      </c>
      <c r="CZ16" s="2">
        <v>19.494949999999999</v>
      </c>
    </row>
    <row r="17" spans="1:104" ht="15" customHeight="1" x14ac:dyDescent="0.2">
      <c r="A17" s="1">
        <f t="shared" si="0"/>
        <v>11</v>
      </c>
      <c r="B17" s="1" t="s">
        <v>39</v>
      </c>
      <c r="C17" s="1" t="s">
        <v>38</v>
      </c>
      <c r="D17" s="1" t="s">
        <v>40</v>
      </c>
      <c r="E17" s="1" t="s">
        <v>22</v>
      </c>
      <c r="F17" s="1" t="s">
        <v>41</v>
      </c>
      <c r="G17" s="2">
        <v>150186.79999999999</v>
      </c>
      <c r="H17" s="2">
        <v>89.4422</v>
      </c>
      <c r="I17" s="2">
        <v>134330.4</v>
      </c>
      <c r="J17" s="3">
        <v>62.26</v>
      </c>
      <c r="K17" s="3">
        <v>0</v>
      </c>
      <c r="L17" s="2">
        <v>5.7952789999999998</v>
      </c>
      <c r="M17" s="2">
        <v>4.734426</v>
      </c>
      <c r="N17" s="2">
        <v>4.9755719999999997</v>
      </c>
      <c r="O17" s="2">
        <v>5.322978</v>
      </c>
      <c r="P17" s="2">
        <v>4.789866</v>
      </c>
      <c r="Q17" s="2">
        <v>6.758146</v>
      </c>
      <c r="R17" s="2">
        <v>6.9261869999999996</v>
      </c>
      <c r="S17" s="2">
        <v>7.3216799999999997</v>
      </c>
      <c r="T17" s="2">
        <v>2.887667</v>
      </c>
      <c r="U17" s="2">
        <v>3.5550160000000002</v>
      </c>
      <c r="V17" s="2">
        <v>3.6447129999999999</v>
      </c>
      <c r="W17" s="2">
        <v>3.7784520000000001</v>
      </c>
      <c r="X17" s="2">
        <v>1.5124949999999999</v>
      </c>
      <c r="Y17" s="2">
        <v>1.39076</v>
      </c>
      <c r="Z17" s="2">
        <v>1.2585809999999999</v>
      </c>
      <c r="AA17" s="2">
        <v>1.168118</v>
      </c>
      <c r="AB17" s="2">
        <v>3.6736390000000001</v>
      </c>
      <c r="AC17" s="2">
        <v>4.5509250000000003</v>
      </c>
      <c r="AD17" s="2">
        <v>4.2940509999999996</v>
      </c>
      <c r="AE17" s="2">
        <v>4.1472449999999998</v>
      </c>
      <c r="AF17" s="2">
        <v>9.0560480000000005</v>
      </c>
      <c r="AG17" s="2">
        <v>9.6489960000000004</v>
      </c>
      <c r="AH17" s="2">
        <v>8.6329130000000003</v>
      </c>
      <c r="AI17" s="2">
        <v>10.0984</v>
      </c>
      <c r="AJ17" s="2">
        <v>10.43308</v>
      </c>
      <c r="AK17" s="2">
        <v>9.2279239999999998</v>
      </c>
      <c r="AL17" s="3" t="e">
        <v>#N/A</v>
      </c>
      <c r="AM17" s="3" t="e">
        <v>#N/A</v>
      </c>
      <c r="AN17" s="2">
        <v>23.864650000000001</v>
      </c>
      <c r="AO17" s="2">
        <v>22.15448</v>
      </c>
      <c r="AP17" s="2">
        <v>19.951339999999998</v>
      </c>
      <c r="AQ17" s="2">
        <v>20.097570000000001</v>
      </c>
      <c r="AR17" s="2">
        <v>0.26598549999999999</v>
      </c>
      <c r="AS17" s="2">
        <v>0.3669462</v>
      </c>
      <c r="AT17" s="2">
        <v>0.27391169999999998</v>
      </c>
      <c r="AU17" s="2">
        <v>0.2436326</v>
      </c>
      <c r="AV17" s="1" t="s">
        <v>35</v>
      </c>
      <c r="AW17" s="3">
        <v>1.5</v>
      </c>
      <c r="AX17" s="3">
        <v>68.577719999999999</v>
      </c>
      <c r="AY17" s="2">
        <v>10.147320000000001</v>
      </c>
      <c r="AZ17" s="2">
        <v>20.57901</v>
      </c>
      <c r="BA17" s="2">
        <v>0</v>
      </c>
      <c r="BB17" s="2">
        <v>3.2332900000000002</v>
      </c>
      <c r="BC17" s="2">
        <v>6.155157</v>
      </c>
      <c r="BD17" s="3">
        <v>50.55</v>
      </c>
      <c r="BE17" s="2">
        <v>23.165179999999999</v>
      </c>
      <c r="BF17" s="3">
        <v>64.8</v>
      </c>
      <c r="BG17" s="2">
        <v>-3.919762</v>
      </c>
      <c r="BH17" s="2">
        <v>25.741140000000001</v>
      </c>
      <c r="BI17" s="2">
        <v>31.316690000000001</v>
      </c>
      <c r="BJ17" s="2">
        <v>34.432679999999998</v>
      </c>
      <c r="BK17" s="2">
        <v>38.661320000000003</v>
      </c>
      <c r="BL17" s="2">
        <v>28</v>
      </c>
      <c r="BM17" s="2">
        <v>22</v>
      </c>
      <c r="BN17" s="4">
        <v>29</v>
      </c>
      <c r="BO17" s="4">
        <v>1</v>
      </c>
      <c r="BP17" s="4">
        <v>0</v>
      </c>
      <c r="BQ17" s="4">
        <v>26</v>
      </c>
      <c r="BR17" s="2">
        <v>3.7037040000000001</v>
      </c>
      <c r="BS17" s="4">
        <v>16</v>
      </c>
      <c r="BT17" s="4">
        <v>0</v>
      </c>
      <c r="BU17" s="4">
        <v>29</v>
      </c>
      <c r="BV17" s="2">
        <v>55.172409999999999</v>
      </c>
      <c r="BW17" s="2">
        <v>9.1750799999999995</v>
      </c>
      <c r="BX17" s="2">
        <v>2412.252</v>
      </c>
      <c r="BY17" s="3">
        <v>4.7043080000000002</v>
      </c>
      <c r="BZ17" s="3">
        <v>0.1950173</v>
      </c>
      <c r="CA17" s="2">
        <v>0.98512699999999997</v>
      </c>
      <c r="CB17" s="3">
        <v>0.1950173</v>
      </c>
      <c r="CC17" s="3">
        <v>8.7038399999999996</v>
      </c>
      <c r="CD17" s="3">
        <v>9.2543410000000002</v>
      </c>
      <c r="CE17" s="2">
        <v>6.3248040000000003</v>
      </c>
      <c r="CF17" s="3">
        <v>32906.730000000003</v>
      </c>
      <c r="CG17" s="3">
        <v>35159.440000000002</v>
      </c>
      <c r="CH17" s="2">
        <v>6.8457600000000003</v>
      </c>
      <c r="CI17" s="3">
        <v>64.332700000000003</v>
      </c>
      <c r="CJ17" s="2">
        <v>6.5985440000000004</v>
      </c>
      <c r="CK17" s="3">
        <v>217416.6</v>
      </c>
      <c r="CL17" s="3">
        <v>220080.5</v>
      </c>
      <c r="CM17" s="2">
        <v>1.2252810000000001</v>
      </c>
      <c r="CN17" s="3">
        <v>57.556550000000001</v>
      </c>
      <c r="CO17" s="3">
        <v>62.298639999999999</v>
      </c>
      <c r="CP17" s="3">
        <v>62.490380000000002</v>
      </c>
      <c r="CQ17" s="2">
        <v>8.1718679999999999</v>
      </c>
      <c r="CR17" s="2">
        <v>-6.2024589999999998E-2</v>
      </c>
      <c r="CS17" s="2">
        <v>-0.36867260000000002</v>
      </c>
      <c r="CT17" s="2">
        <v>8.2389949999999992</v>
      </c>
      <c r="CU17" s="2">
        <v>281.70819999999998</v>
      </c>
      <c r="CV17" s="3">
        <v>0.18757190000000001</v>
      </c>
      <c r="CW17" s="2">
        <v>4.1325019999999997</v>
      </c>
      <c r="CX17" s="2">
        <v>2.7022469999999998</v>
      </c>
      <c r="CY17" s="2">
        <v>22.824369999999998</v>
      </c>
      <c r="CZ17" s="2">
        <v>19.626259999999998</v>
      </c>
    </row>
    <row r="18" spans="1:104" ht="15" customHeight="1" x14ac:dyDescent="0.2">
      <c r="A18" s="1">
        <f t="shared" si="0"/>
        <v>12</v>
      </c>
      <c r="B18" s="1" t="s">
        <v>43</v>
      </c>
      <c r="C18" s="1" t="s">
        <v>42</v>
      </c>
      <c r="D18" s="1" t="s">
        <v>27</v>
      </c>
      <c r="E18" s="1" t="s">
        <v>44</v>
      </c>
      <c r="F18" s="1" t="s">
        <v>45</v>
      </c>
      <c r="G18" s="2">
        <v>178722.8</v>
      </c>
      <c r="H18" s="2">
        <v>83.308000000000007</v>
      </c>
      <c r="I18" s="2">
        <v>148890.4</v>
      </c>
      <c r="J18" s="3">
        <v>145.47999999999999</v>
      </c>
      <c r="K18" s="3">
        <v>0</v>
      </c>
      <c r="L18" s="2">
        <v>1.3747590000000001</v>
      </c>
      <c r="M18" s="2">
        <v>1.4514020000000001</v>
      </c>
      <c r="N18" s="2">
        <v>1.4949440000000001</v>
      </c>
      <c r="O18" s="2">
        <v>1.5947210000000001</v>
      </c>
      <c r="P18" s="2">
        <v>35.656860000000002</v>
      </c>
      <c r="Q18" s="2">
        <v>28.00225</v>
      </c>
      <c r="R18" s="2">
        <v>23.688949999999998</v>
      </c>
      <c r="S18" s="2">
        <v>20.34685</v>
      </c>
      <c r="T18" s="2">
        <v>18.026160000000001</v>
      </c>
      <c r="U18" s="2">
        <v>18.023800000000001</v>
      </c>
      <c r="V18" s="2">
        <v>15.64701</v>
      </c>
      <c r="W18" s="2">
        <v>13.734299999999999</v>
      </c>
      <c r="X18" s="2">
        <v>4.2399719999999999</v>
      </c>
      <c r="Y18" s="2">
        <v>3.8486769999999999</v>
      </c>
      <c r="Z18" s="2">
        <v>3.6292879999999998</v>
      </c>
      <c r="AA18" s="2">
        <v>3.3982709999999998</v>
      </c>
      <c r="AB18" s="2">
        <v>30.16225</v>
      </c>
      <c r="AC18" s="2">
        <v>29.33004</v>
      </c>
      <c r="AD18" s="2">
        <v>23.505769999999998</v>
      </c>
      <c r="AE18" s="2">
        <v>19.549019999999999</v>
      </c>
      <c r="AF18" s="2">
        <v>3.048918</v>
      </c>
      <c r="AG18" s="2">
        <v>3.5900530000000002</v>
      </c>
      <c r="AH18" s="2">
        <v>4.4351200000000004</v>
      </c>
      <c r="AI18" s="2">
        <v>2.990243</v>
      </c>
      <c r="AJ18" s="2">
        <v>3.4811999999999999</v>
      </c>
      <c r="AK18" s="2">
        <v>4.2166920000000001</v>
      </c>
      <c r="AL18" s="3">
        <v>1.564926</v>
      </c>
      <c r="AM18" s="3">
        <v>1.3285709999999999</v>
      </c>
      <c r="AN18" s="2">
        <v>22.08943</v>
      </c>
      <c r="AO18" s="2">
        <v>31.286529999999999</v>
      </c>
      <c r="AP18" s="2">
        <v>32.689450000000001</v>
      </c>
      <c r="AQ18" s="2">
        <v>33.009610000000002</v>
      </c>
      <c r="AR18" s="2">
        <v>0.66121859999999999</v>
      </c>
      <c r="AS18" s="2">
        <v>-0.35366199999999998</v>
      </c>
      <c r="AT18" s="2">
        <v>-0.48926310000000001</v>
      </c>
      <c r="AU18" s="2">
        <v>-0.7114452</v>
      </c>
      <c r="AV18" s="1" t="s">
        <v>6</v>
      </c>
      <c r="AW18" s="3">
        <v>1.387097</v>
      </c>
      <c r="AX18" s="3">
        <v>145</v>
      </c>
      <c r="AY18" s="2">
        <v>-0.3299415</v>
      </c>
      <c r="AZ18" s="2">
        <v>13.74417</v>
      </c>
      <c r="BA18" s="2">
        <v>19.74267</v>
      </c>
      <c r="BB18" s="2">
        <v>39.268610000000002</v>
      </c>
      <c r="BC18" s="2">
        <v>50.928519999999999</v>
      </c>
      <c r="BD18" s="3">
        <v>96.12</v>
      </c>
      <c r="BE18" s="2">
        <v>51.352469999999997</v>
      </c>
      <c r="BF18" s="3">
        <v>146.62</v>
      </c>
      <c r="BG18" s="2">
        <v>-0.77751870000000001</v>
      </c>
      <c r="BH18" s="2">
        <v>48.987659999999998</v>
      </c>
      <c r="BI18" s="2">
        <v>40.918550000000003</v>
      </c>
      <c r="BJ18" s="2">
        <v>35.363349999999997</v>
      </c>
      <c r="BK18" s="2">
        <v>32.413730000000001</v>
      </c>
      <c r="BL18" s="2">
        <v>29</v>
      </c>
      <c r="BM18" s="2">
        <v>27</v>
      </c>
      <c r="BN18" s="4">
        <v>31</v>
      </c>
      <c r="BO18" s="4">
        <v>0</v>
      </c>
      <c r="BP18" s="4">
        <v>0</v>
      </c>
      <c r="BQ18" s="4">
        <v>31</v>
      </c>
      <c r="BR18" s="2">
        <v>0</v>
      </c>
      <c r="BS18" s="4">
        <v>21</v>
      </c>
      <c r="BT18" s="4">
        <v>0</v>
      </c>
      <c r="BU18" s="4">
        <v>31</v>
      </c>
      <c r="BV18" s="2">
        <v>67.74194</v>
      </c>
      <c r="BW18" s="2">
        <v>6.85785</v>
      </c>
      <c r="BX18" s="2">
        <v>1228.5039999999999</v>
      </c>
      <c r="BY18" s="3">
        <v>1.682634</v>
      </c>
      <c r="BZ18" s="3">
        <v>0.136966</v>
      </c>
      <c r="CA18" s="2">
        <v>0.95907500000000001</v>
      </c>
      <c r="CB18" s="3">
        <v>0.136966</v>
      </c>
      <c r="CC18" s="3">
        <v>5.1238619999999999</v>
      </c>
      <c r="CD18" s="3">
        <v>5.2003849999999998</v>
      </c>
      <c r="CE18" s="2">
        <v>1.4934540000000001</v>
      </c>
      <c r="CF18" s="3">
        <v>8681.0139999999992</v>
      </c>
      <c r="CG18" s="3">
        <v>8724.2929999999997</v>
      </c>
      <c r="CH18" s="2">
        <v>0.49855709999999998</v>
      </c>
      <c r="CI18" s="3">
        <v>138.0909</v>
      </c>
      <c r="CJ18" s="2">
        <v>5.003285</v>
      </c>
      <c r="CK18" s="3">
        <v>31131.86</v>
      </c>
      <c r="CL18" s="3">
        <v>31104.09</v>
      </c>
      <c r="CM18" s="2">
        <v>-8.9192389999999996E-2</v>
      </c>
      <c r="CN18" s="3">
        <v>123.2552</v>
      </c>
      <c r="CO18" s="3">
        <v>129.38120000000001</v>
      </c>
      <c r="CP18" s="3">
        <v>135.13310000000001</v>
      </c>
      <c r="CQ18" s="2">
        <v>18.031490000000002</v>
      </c>
      <c r="CR18" s="2">
        <v>12.44293</v>
      </c>
      <c r="CS18" s="2">
        <v>7.6568370000000003</v>
      </c>
      <c r="CT18" s="2">
        <v>4.9701329999999997</v>
      </c>
      <c r="CU18" s="2">
        <v>222.69049999999999</v>
      </c>
      <c r="CV18" s="3">
        <v>0.12460110000000001</v>
      </c>
      <c r="CW18" s="2">
        <v>8.1033609999999996</v>
      </c>
      <c r="CX18" s="2">
        <v>-0.17649709999999999</v>
      </c>
      <c r="CY18" s="2">
        <v>3.4339870000000001</v>
      </c>
      <c r="CZ18" s="2">
        <v>20.33333</v>
      </c>
    </row>
    <row r="19" spans="1:104" ht="15" customHeight="1" x14ac:dyDescent="0.2">
      <c r="A19" s="1">
        <f t="shared" si="0"/>
        <v>13</v>
      </c>
      <c r="B19" s="1" t="s">
        <v>47</v>
      </c>
      <c r="C19" s="1" t="s">
        <v>46</v>
      </c>
      <c r="D19" s="1" t="s">
        <v>40</v>
      </c>
      <c r="E19" s="1" t="s">
        <v>28</v>
      </c>
      <c r="F19" s="1" t="s">
        <v>48</v>
      </c>
      <c r="G19" s="2">
        <v>30288.94</v>
      </c>
      <c r="H19" s="2">
        <v>90.348500000000001</v>
      </c>
      <c r="I19" s="2">
        <v>27365.599999999999</v>
      </c>
      <c r="J19" s="3">
        <v>59.81</v>
      </c>
      <c r="K19" s="3">
        <v>0</v>
      </c>
      <c r="L19" s="2">
        <v>3.3439220000000001</v>
      </c>
      <c r="M19" s="2">
        <v>3.5111180000000002</v>
      </c>
      <c r="N19" s="2">
        <v>3.6950340000000002</v>
      </c>
      <c r="O19" s="2">
        <v>3.8789500000000001</v>
      </c>
      <c r="P19" s="2">
        <v>9.2299389999999999</v>
      </c>
      <c r="Q19" s="2">
        <v>9.6549460000000007</v>
      </c>
      <c r="R19" s="2">
        <v>9.272869</v>
      </c>
      <c r="S19" s="2">
        <v>8.5442859999999996</v>
      </c>
      <c r="T19" s="2">
        <v>4.4588989999999997</v>
      </c>
      <c r="U19" s="2">
        <v>5.2568039999999998</v>
      </c>
      <c r="V19" s="2">
        <v>5.0687720000000001</v>
      </c>
      <c r="W19" s="2">
        <v>4.6012760000000004</v>
      </c>
      <c r="X19" s="2">
        <v>1.3630359999999999</v>
      </c>
      <c r="Y19" s="2">
        <v>1.2636130000000001</v>
      </c>
      <c r="Z19" s="2">
        <v>1.1644289999999999</v>
      </c>
      <c r="AA19" s="2">
        <v>1.0699460000000001</v>
      </c>
      <c r="AB19" s="2">
        <v>5.71706</v>
      </c>
      <c r="AC19" s="2">
        <v>6.0337930000000002</v>
      </c>
      <c r="AD19" s="2">
        <v>5.9560659999999999</v>
      </c>
      <c r="AE19" s="2">
        <v>5.9087209999999999</v>
      </c>
      <c r="AF19" s="2">
        <v>8.3422099999999997</v>
      </c>
      <c r="AG19" s="2">
        <v>8.7759440000000009</v>
      </c>
      <c r="AH19" s="2">
        <v>9.5445949999999993</v>
      </c>
      <c r="AI19" s="2">
        <v>10.28833</v>
      </c>
      <c r="AJ19" s="2">
        <v>10.419930000000001</v>
      </c>
      <c r="AK19" s="2">
        <v>10.87219</v>
      </c>
      <c r="AL19" s="3">
        <v>28.822410000000001</v>
      </c>
      <c r="AM19" s="3">
        <v>27.379059999999999</v>
      </c>
      <c r="AN19" s="2">
        <v>13.91976</v>
      </c>
      <c r="AO19" s="2">
        <v>14.736370000000001</v>
      </c>
      <c r="AP19" s="2">
        <v>14.572380000000001</v>
      </c>
      <c r="AQ19" s="2">
        <v>14.8293</v>
      </c>
      <c r="AR19" s="2">
        <v>1.155125</v>
      </c>
      <c r="AS19" s="2">
        <v>0.99436849999999999</v>
      </c>
      <c r="AT19" s="2">
        <v>0.79971809999999999</v>
      </c>
      <c r="AU19" s="2">
        <v>0.56185759999999996</v>
      </c>
      <c r="AV19" s="1" t="s">
        <v>6</v>
      </c>
      <c r="AW19" s="3">
        <v>1.236842</v>
      </c>
      <c r="AX19" s="3">
        <v>72.5</v>
      </c>
      <c r="AY19" s="2">
        <v>21.217179999999999</v>
      </c>
      <c r="AZ19" s="2">
        <v>13.087730000000001</v>
      </c>
      <c r="BA19" s="2">
        <v>0.34006910000000001</v>
      </c>
      <c r="BB19" s="2">
        <v>36.724200000000003</v>
      </c>
      <c r="BC19" s="2">
        <v>31.018619999999999</v>
      </c>
      <c r="BD19" s="3">
        <v>43.744999999999997</v>
      </c>
      <c r="BE19" s="2">
        <v>36.724200000000003</v>
      </c>
      <c r="BF19" s="3">
        <v>62.14</v>
      </c>
      <c r="BG19" s="2">
        <v>-3.7495970000000001</v>
      </c>
      <c r="BH19" s="2">
        <v>31.27205</v>
      </c>
      <c r="BI19" s="2">
        <v>34.819980000000001</v>
      </c>
      <c r="BJ19" s="2">
        <v>35.19059</v>
      </c>
      <c r="BK19" s="2">
        <v>35.258879999999998</v>
      </c>
      <c r="BL19" s="2">
        <v>18</v>
      </c>
      <c r="BM19" s="2">
        <v>17</v>
      </c>
      <c r="BN19" s="4">
        <v>19</v>
      </c>
      <c r="BO19" s="4">
        <v>0</v>
      </c>
      <c r="BP19" s="4">
        <v>0</v>
      </c>
      <c r="BQ19" s="4">
        <v>19</v>
      </c>
      <c r="BR19" s="2">
        <v>0</v>
      </c>
      <c r="BS19" s="4">
        <v>15</v>
      </c>
      <c r="BT19" s="4">
        <v>0</v>
      </c>
      <c r="BU19" s="4">
        <v>19</v>
      </c>
      <c r="BV19" s="2">
        <v>78.947370000000006</v>
      </c>
      <c r="BW19" s="2">
        <v>8.8997299999999999</v>
      </c>
      <c r="BX19" s="2">
        <v>506.41930000000002</v>
      </c>
      <c r="BY19" s="3">
        <v>1.1688719999999999</v>
      </c>
      <c r="BZ19" s="3">
        <v>0.23081119999999999</v>
      </c>
      <c r="CA19" s="2">
        <v>1.27447</v>
      </c>
      <c r="CB19" s="3">
        <v>0.23081119999999999</v>
      </c>
      <c r="CC19" s="3">
        <v>5.9218539999999997</v>
      </c>
      <c r="CD19" s="3">
        <v>6.1020589999999997</v>
      </c>
      <c r="CE19" s="2">
        <v>3.043056</v>
      </c>
      <c r="CF19" s="3">
        <v>4975.7929999999997</v>
      </c>
      <c r="CG19" s="3">
        <v>5079.0169999999998</v>
      </c>
      <c r="CH19" s="2">
        <v>2.074516</v>
      </c>
      <c r="CI19" s="3">
        <v>72.078950000000006</v>
      </c>
      <c r="CJ19" s="2">
        <v>0.58414940000000004</v>
      </c>
      <c r="CK19" s="3">
        <v>48486.13</v>
      </c>
      <c r="CL19" s="3">
        <v>48244.23</v>
      </c>
      <c r="CM19" s="2">
        <v>-0.49890279999999998</v>
      </c>
      <c r="CN19" s="3">
        <v>55.171430000000001</v>
      </c>
      <c r="CO19" s="3">
        <v>54.668149999999997</v>
      </c>
      <c r="CP19" s="3">
        <v>55.430770000000003</v>
      </c>
      <c r="CQ19" s="2">
        <v>8.4075570000000006</v>
      </c>
      <c r="CR19" s="2">
        <v>9.4055649999999993</v>
      </c>
      <c r="CS19" s="2">
        <v>7.9003690000000004</v>
      </c>
      <c r="CT19" s="2">
        <v>-0.9122133</v>
      </c>
      <c r="CU19" s="2">
        <v>69.586820000000003</v>
      </c>
      <c r="CV19" s="3">
        <v>0.22974339999999999</v>
      </c>
      <c r="CW19" s="2" t="e">
        <v>#N/A</v>
      </c>
      <c r="CX19" s="2">
        <v>0.48413270000000003</v>
      </c>
      <c r="CY19" s="2" t="e">
        <v>#N/A</v>
      </c>
      <c r="CZ19" s="2">
        <v>21.090910000000001</v>
      </c>
    </row>
    <row r="20" spans="1:104" ht="15" customHeight="1" x14ac:dyDescent="0.2">
      <c r="A20" s="1">
        <f t="shared" si="0"/>
        <v>14</v>
      </c>
      <c r="B20" s="1" t="s">
        <v>50</v>
      </c>
      <c r="C20" s="1" t="s">
        <v>49</v>
      </c>
      <c r="D20" s="1" t="s">
        <v>9</v>
      </c>
      <c r="E20" s="1" t="s">
        <v>18</v>
      </c>
      <c r="F20" s="1" t="s">
        <v>19</v>
      </c>
      <c r="G20" s="2">
        <v>72043.91</v>
      </c>
      <c r="H20" s="2">
        <v>99.373000000000005</v>
      </c>
      <c r="I20" s="2">
        <v>71592.2</v>
      </c>
      <c r="J20" s="3">
        <v>11.345000000000001</v>
      </c>
      <c r="K20" s="3">
        <v>0</v>
      </c>
      <c r="L20" s="2">
        <v>4.319083</v>
      </c>
      <c r="M20" s="2">
        <v>4.6275890000000004</v>
      </c>
      <c r="N20" s="2">
        <v>4.84795</v>
      </c>
      <c r="O20" s="2">
        <v>5.0683119999999997</v>
      </c>
      <c r="P20" s="2">
        <v>17.18939</v>
      </c>
      <c r="Q20" s="2">
        <v>15.126670000000001</v>
      </c>
      <c r="R20" s="2">
        <v>14.56354</v>
      </c>
      <c r="S20" s="2">
        <v>13.7125</v>
      </c>
      <c r="T20" s="2">
        <v>8.5641590000000001</v>
      </c>
      <c r="U20" s="2">
        <v>7.8639210000000004</v>
      </c>
      <c r="V20" s="2">
        <v>8.1391150000000003</v>
      </c>
      <c r="W20" s="2">
        <v>7.807194</v>
      </c>
      <c r="X20" s="2">
        <v>1.690488</v>
      </c>
      <c r="Y20" s="2">
        <v>1.6586259999999999</v>
      </c>
      <c r="Z20" s="2">
        <v>1.594754</v>
      </c>
      <c r="AA20" s="2">
        <v>1.5276259999999999</v>
      </c>
      <c r="AB20" s="2">
        <v>7.6697069999999998</v>
      </c>
      <c r="AC20" s="2">
        <v>6.9893130000000001</v>
      </c>
      <c r="AD20" s="2">
        <v>6.4884969999999997</v>
      </c>
      <c r="AE20" s="2">
        <v>6.2005179999999998</v>
      </c>
      <c r="AF20" s="2">
        <v>2.1501600000000001</v>
      </c>
      <c r="AG20" s="2">
        <v>-3.5597829999999999</v>
      </c>
      <c r="AH20" s="2">
        <v>0.83726480000000003</v>
      </c>
      <c r="AI20" s="2">
        <v>3.4161609999999998</v>
      </c>
      <c r="AJ20" s="2">
        <v>-6.1770500000000004</v>
      </c>
      <c r="AK20" s="2">
        <v>1.477033</v>
      </c>
      <c r="AL20" s="3">
        <v>1.603629</v>
      </c>
      <c r="AM20" s="3">
        <v>1.5463169999999999</v>
      </c>
      <c r="AN20" s="2">
        <v>24.519449999999999</v>
      </c>
      <c r="AO20" s="2">
        <v>25.865780000000001</v>
      </c>
      <c r="AP20" s="2">
        <v>27.714759999999998</v>
      </c>
      <c r="AQ20" s="2">
        <v>28.341010000000001</v>
      </c>
      <c r="AR20" s="2">
        <v>3.3073030000000001</v>
      </c>
      <c r="AS20" s="2">
        <v>2.914304</v>
      </c>
      <c r="AT20" s="2">
        <v>3.4486110000000001</v>
      </c>
      <c r="AU20" s="2">
        <v>3.3816410000000001</v>
      </c>
      <c r="AV20" s="1" t="s">
        <v>35</v>
      </c>
      <c r="AW20" s="3">
        <v>1.4565220000000001</v>
      </c>
      <c r="AX20" s="3">
        <v>12.3</v>
      </c>
      <c r="AY20" s="2">
        <v>8.4178090000000001</v>
      </c>
      <c r="AZ20" s="2">
        <v>10.96491</v>
      </c>
      <c r="BA20" s="2">
        <v>9.4580160000000006</v>
      </c>
      <c r="BB20" s="2">
        <v>5.2411909999999997</v>
      </c>
      <c r="BC20" s="2">
        <v>3.7968869999999999</v>
      </c>
      <c r="BD20" s="3">
        <v>9.8819999999999997</v>
      </c>
      <c r="BE20" s="2">
        <v>14.8047</v>
      </c>
      <c r="BF20" s="3">
        <v>12.244999999999999</v>
      </c>
      <c r="BG20" s="2">
        <v>-7.3499379999999999</v>
      </c>
      <c r="BH20" s="2">
        <v>72.764390000000006</v>
      </c>
      <c r="BI20" s="2">
        <v>70.594880000000003</v>
      </c>
      <c r="BJ20" s="2">
        <v>70.296980000000005</v>
      </c>
      <c r="BK20" s="2">
        <v>69.715100000000007</v>
      </c>
      <c r="BL20" s="2">
        <v>18</v>
      </c>
      <c r="BM20" s="2">
        <v>17</v>
      </c>
      <c r="BN20" s="4">
        <v>23</v>
      </c>
      <c r="BO20" s="4">
        <v>4</v>
      </c>
      <c r="BP20" s="4">
        <v>0</v>
      </c>
      <c r="BQ20" s="4">
        <v>19</v>
      </c>
      <c r="BR20" s="2">
        <v>17.391300000000001</v>
      </c>
      <c r="BS20" s="4">
        <v>14</v>
      </c>
      <c r="BT20" s="4">
        <v>0</v>
      </c>
      <c r="BU20" s="4">
        <v>23</v>
      </c>
      <c r="BV20" s="2">
        <v>60.86956</v>
      </c>
      <c r="BW20" s="2">
        <v>6.6388299999999996</v>
      </c>
      <c r="BX20" s="2">
        <v>6350.2780000000002</v>
      </c>
      <c r="BY20" s="3">
        <v>11.52007</v>
      </c>
      <c r="BZ20" s="3">
        <v>0.1814105</v>
      </c>
      <c r="CA20" s="2">
        <v>0.61312199999999994</v>
      </c>
      <c r="CB20" s="3">
        <v>0.1814105</v>
      </c>
      <c r="CC20" s="3">
        <v>0.73006649999999995</v>
      </c>
      <c r="CD20" s="3">
        <v>0.74799819999999995</v>
      </c>
      <c r="CE20" s="2">
        <v>2.4561760000000001</v>
      </c>
      <c r="CF20" s="3">
        <v>9041.2690000000002</v>
      </c>
      <c r="CG20" s="3">
        <v>9163.9619999999995</v>
      </c>
      <c r="CH20" s="2">
        <v>1.357043</v>
      </c>
      <c r="CI20" s="3">
        <v>12.50095</v>
      </c>
      <c r="CJ20" s="2">
        <v>-1.607507</v>
      </c>
      <c r="CK20" s="3">
        <v>54762.55</v>
      </c>
      <c r="CL20" s="3">
        <v>56887.24</v>
      </c>
      <c r="CM20" s="2">
        <v>3.8798330000000001</v>
      </c>
      <c r="CN20" s="3">
        <v>11.14672</v>
      </c>
      <c r="CO20" s="3">
        <v>10.656510000000001</v>
      </c>
      <c r="CP20" s="3">
        <v>10.83769</v>
      </c>
      <c r="CQ20" s="2">
        <v>1.7787809999999999</v>
      </c>
      <c r="CR20" s="2">
        <v>6.46075</v>
      </c>
      <c r="CS20" s="2">
        <v>4.680955</v>
      </c>
      <c r="CT20" s="2">
        <v>-4.3978400000000004</v>
      </c>
      <c r="CU20" s="2">
        <v>112.2594</v>
      </c>
      <c r="CV20" s="3">
        <v>0.15582080000000001</v>
      </c>
      <c r="CW20" s="2">
        <v>16.26343</v>
      </c>
      <c r="CX20" s="2">
        <v>-26.172910000000002</v>
      </c>
      <c r="CY20" s="2">
        <v>6.2421449999999998</v>
      </c>
      <c r="CZ20" s="2">
        <v>21.434339999999999</v>
      </c>
    </row>
    <row r="21" spans="1:104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9</v>
      </c>
      <c r="E21" s="1" t="s">
        <v>53</v>
      </c>
      <c r="F21" s="1" t="s">
        <v>54</v>
      </c>
      <c r="G21" s="2">
        <v>117903</v>
      </c>
      <c r="H21" s="2">
        <v>40.584499999999998</v>
      </c>
      <c r="I21" s="2">
        <v>47850.32</v>
      </c>
      <c r="J21" s="3">
        <v>37.83</v>
      </c>
      <c r="K21" s="3">
        <v>0</v>
      </c>
      <c r="L21" s="2">
        <v>3.1720860000000002</v>
      </c>
      <c r="M21" s="2">
        <v>4.0179749999999999</v>
      </c>
      <c r="N21" s="2">
        <v>4.4335979999999999</v>
      </c>
      <c r="O21" s="2">
        <v>4.7316940000000001</v>
      </c>
      <c r="P21" s="2">
        <v>28.507909999999999</v>
      </c>
      <c r="Q21" s="2">
        <v>22.384609999999999</v>
      </c>
      <c r="R21" s="2">
        <v>20.51099</v>
      </c>
      <c r="S21" s="2">
        <v>19.203050000000001</v>
      </c>
      <c r="T21" s="2">
        <v>7.7903580000000003</v>
      </c>
      <c r="U21" s="2">
        <v>10.89134</v>
      </c>
      <c r="V21" s="2">
        <v>10.06894</v>
      </c>
      <c r="W21" s="2">
        <v>9.4270370000000003</v>
      </c>
      <c r="X21" s="2">
        <v>6.9240820000000003</v>
      </c>
      <c r="Y21" s="2">
        <v>6.3956049999999998</v>
      </c>
      <c r="Z21" s="2">
        <v>6.0210509999999999</v>
      </c>
      <c r="AA21" s="2">
        <v>5.7492400000000004</v>
      </c>
      <c r="AB21" s="2">
        <v>21.016670000000001</v>
      </c>
      <c r="AC21" s="2">
        <v>16.070049999999998</v>
      </c>
      <c r="AD21" s="2">
        <v>13.27369</v>
      </c>
      <c r="AE21" s="2">
        <v>14.4046</v>
      </c>
      <c r="AF21" s="2">
        <v>5.3707700000000003</v>
      </c>
      <c r="AG21" s="2">
        <v>5.8178700000000001</v>
      </c>
      <c r="AH21" s="2">
        <v>6.2502339999999998</v>
      </c>
      <c r="AI21" s="2">
        <v>4.8424060000000004</v>
      </c>
      <c r="AJ21" s="2">
        <v>5.1920580000000003</v>
      </c>
      <c r="AK21" s="2">
        <v>5.5294080000000001</v>
      </c>
      <c r="AL21" s="3">
        <v>1.531984</v>
      </c>
      <c r="AM21" s="3">
        <v>1.4093089999999999</v>
      </c>
      <c r="AN21" s="2">
        <v>26.55593</v>
      </c>
      <c r="AO21" s="2">
        <v>27.061879999999999</v>
      </c>
      <c r="AP21" s="2">
        <v>27.141089999999998</v>
      </c>
      <c r="AQ21" s="2">
        <v>27.062570000000001</v>
      </c>
      <c r="AR21" s="2">
        <v>-1.1642969999999999</v>
      </c>
      <c r="AS21" s="2">
        <v>-1.188372</v>
      </c>
      <c r="AT21" s="2">
        <v>-1.2136359999999999</v>
      </c>
      <c r="AU21" s="2">
        <v>-1.2289300000000001</v>
      </c>
      <c r="AV21" s="1" t="s">
        <v>24</v>
      </c>
      <c r="AW21" s="3">
        <v>1.4666669999999999</v>
      </c>
      <c r="AX21" s="3">
        <v>39.5</v>
      </c>
      <c r="AY21" s="2">
        <v>4.4144750000000004</v>
      </c>
      <c r="AZ21" s="2">
        <v>28.571429999999999</v>
      </c>
      <c r="BA21" s="2">
        <v>15</v>
      </c>
      <c r="BB21" s="2">
        <v>52.172170000000001</v>
      </c>
      <c r="BC21" s="2">
        <v>52.233409999999999</v>
      </c>
      <c r="BD21" s="3">
        <v>24.04</v>
      </c>
      <c r="BE21" s="2">
        <v>57.362740000000002</v>
      </c>
      <c r="BF21" s="3">
        <v>37.979999999999997</v>
      </c>
      <c r="BG21" s="2">
        <v>-0.39494040000000002</v>
      </c>
      <c r="BH21" s="2">
        <v>90.393649999999994</v>
      </c>
      <c r="BI21" s="2">
        <v>90.116399999999999</v>
      </c>
      <c r="BJ21" s="2">
        <v>90.347980000000007</v>
      </c>
      <c r="BK21" s="2">
        <v>88.884060000000005</v>
      </c>
      <c r="BL21" s="2">
        <v>27</v>
      </c>
      <c r="BM21" s="2">
        <v>26</v>
      </c>
      <c r="BN21" s="4">
        <v>30</v>
      </c>
      <c r="BO21" s="4">
        <v>1</v>
      </c>
      <c r="BP21" s="4">
        <v>0</v>
      </c>
      <c r="BQ21" s="4">
        <v>29</v>
      </c>
      <c r="BR21" s="2">
        <v>3.3333330000000001</v>
      </c>
      <c r="BS21" s="4">
        <v>17</v>
      </c>
      <c r="BT21" s="4">
        <v>0</v>
      </c>
      <c r="BU21" s="4">
        <v>30</v>
      </c>
      <c r="BV21" s="2">
        <v>56.666670000000003</v>
      </c>
      <c r="BW21" s="2">
        <v>9.1119199999999996</v>
      </c>
      <c r="BX21" s="2">
        <v>3116.652</v>
      </c>
      <c r="BY21" s="3">
        <v>3.0304060000000002</v>
      </c>
      <c r="BZ21" s="3">
        <v>9.7232730000000003E-2</v>
      </c>
      <c r="CA21" s="2">
        <v>1.23411</v>
      </c>
      <c r="CB21" s="3">
        <v>9.7232730000000003E-2</v>
      </c>
      <c r="CC21" s="3">
        <v>1.622498</v>
      </c>
      <c r="CD21" s="3">
        <v>1.686472</v>
      </c>
      <c r="CE21" s="2">
        <v>3.942955</v>
      </c>
      <c r="CF21" s="3">
        <v>6443.8389999999999</v>
      </c>
      <c r="CG21" s="3">
        <v>6637.4520000000002</v>
      </c>
      <c r="CH21" s="2">
        <v>3.0046219999999999</v>
      </c>
      <c r="CI21" s="3">
        <v>36.805689999999998</v>
      </c>
      <c r="CJ21" s="2">
        <v>7.3203440000000004</v>
      </c>
      <c r="CK21" s="3">
        <v>35895.839999999997</v>
      </c>
      <c r="CL21" s="3">
        <v>36066.82</v>
      </c>
      <c r="CM21" s="2">
        <v>0.4763365</v>
      </c>
      <c r="CN21" s="3">
        <v>33.113480000000003</v>
      </c>
      <c r="CO21" s="3">
        <v>34.898820000000001</v>
      </c>
      <c r="CP21" s="3">
        <v>35.026159999999997</v>
      </c>
      <c r="CQ21" s="2">
        <v>14.243510000000001</v>
      </c>
      <c r="CR21" s="2">
        <v>8.3990810000000007</v>
      </c>
      <c r="CS21" s="2">
        <v>8.0049989999999998</v>
      </c>
      <c r="CT21" s="2">
        <v>5.3915860000000002</v>
      </c>
      <c r="CU21" s="2">
        <v>117.2347</v>
      </c>
      <c r="CV21" s="3">
        <v>9.9433199999999999E-2</v>
      </c>
      <c r="CW21" s="2">
        <v>7.3853419999999996</v>
      </c>
      <c r="CX21" s="2">
        <v>2.0711439999999999</v>
      </c>
      <c r="CY21" s="2">
        <v>5.676482</v>
      </c>
      <c r="CZ21" s="2">
        <v>21.494949999999999</v>
      </c>
    </row>
    <row r="22" spans="1:104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27</v>
      </c>
      <c r="E22" s="1" t="s">
        <v>4</v>
      </c>
      <c r="F22" s="1" t="s">
        <v>57</v>
      </c>
      <c r="G22" s="2">
        <v>53331.75</v>
      </c>
      <c r="H22" s="2">
        <v>100</v>
      </c>
      <c r="I22" s="2">
        <v>53331.75</v>
      </c>
      <c r="J22" s="3">
        <v>390.8</v>
      </c>
      <c r="K22" s="3">
        <v>0</v>
      </c>
      <c r="L22" s="2">
        <v>2.96827</v>
      </c>
      <c r="M22" s="2">
        <v>3.1985670000000002</v>
      </c>
      <c r="N22" s="2">
        <v>3.3904809999999999</v>
      </c>
      <c r="O22" s="2">
        <v>3.5958290000000002</v>
      </c>
      <c r="P22" s="2">
        <v>15.86683</v>
      </c>
      <c r="Q22" s="2">
        <v>11.64481</v>
      </c>
      <c r="R22" s="2">
        <v>10.42577</v>
      </c>
      <c r="S22" s="2">
        <v>9.6446199999999997</v>
      </c>
      <c r="T22" s="2">
        <v>9.4313540000000007</v>
      </c>
      <c r="U22" s="2">
        <v>9.4685050000000004</v>
      </c>
      <c r="V22" s="2">
        <v>9.0205859999999998</v>
      </c>
      <c r="W22" s="2">
        <v>7.3392480000000004</v>
      </c>
      <c r="X22" s="2">
        <v>2.5846559999999998</v>
      </c>
      <c r="Y22" s="2">
        <v>1.8469679999999999</v>
      </c>
      <c r="Z22" s="2">
        <v>1.6608579999999999</v>
      </c>
      <c r="AA22" s="2">
        <v>1.5176700000000001</v>
      </c>
      <c r="AB22" s="2" t="e">
        <v>#N/A</v>
      </c>
      <c r="AC22" s="2" t="e">
        <v>#N/A</v>
      </c>
      <c r="AD22" s="2" t="e">
        <v>#N/A</v>
      </c>
      <c r="AE22" s="2" t="e">
        <v>#N/A</v>
      </c>
      <c r="AF22" s="2">
        <v>4.4076940000000002</v>
      </c>
      <c r="AG22" s="2">
        <v>3.4197350000000002</v>
      </c>
      <c r="AH22" s="2">
        <v>5.0114340000000004</v>
      </c>
      <c r="AI22" s="2">
        <v>5.0844050000000003</v>
      </c>
      <c r="AJ22" s="2">
        <v>3.9447649999999999</v>
      </c>
      <c r="AK22" s="2">
        <v>5.0954379999999997</v>
      </c>
      <c r="AL22" s="3">
        <v>1.005725</v>
      </c>
      <c r="AM22" s="3">
        <v>0.90623500000000001</v>
      </c>
      <c r="AN22" s="2">
        <v>7.1489859999999998</v>
      </c>
      <c r="AO22" s="2">
        <v>11.0777</v>
      </c>
      <c r="AP22" s="2">
        <v>10.981019999999999</v>
      </c>
      <c r="AQ22" s="2">
        <v>10.648759999999999</v>
      </c>
      <c r="AR22" s="2">
        <v>0.55718210000000001</v>
      </c>
      <c r="AS22" s="2">
        <v>1.260213</v>
      </c>
      <c r="AT22" s="2">
        <v>1.2005969999999999</v>
      </c>
      <c r="AU22" s="2">
        <v>0.1209958</v>
      </c>
      <c r="AV22" s="1" t="s">
        <v>6</v>
      </c>
      <c r="AW22" s="3">
        <v>1.4750000000000001</v>
      </c>
      <c r="AX22" s="3">
        <v>420</v>
      </c>
      <c r="AY22" s="2">
        <v>7.4718590000000003</v>
      </c>
      <c r="AZ22" s="2">
        <v>15.860860000000001</v>
      </c>
      <c r="BA22" s="2">
        <v>8</v>
      </c>
      <c r="BB22" s="2">
        <v>29.747669999999999</v>
      </c>
      <c r="BC22" s="2">
        <v>28.552630000000001</v>
      </c>
      <c r="BD22" s="3">
        <v>292.39999999999998</v>
      </c>
      <c r="BE22" s="2">
        <v>33.652529999999999</v>
      </c>
      <c r="BF22" s="3">
        <v>392.3</v>
      </c>
      <c r="BG22" s="2">
        <v>-0.38235780000000003</v>
      </c>
      <c r="BH22" s="2">
        <v>47.236240000000002</v>
      </c>
      <c r="BI22" s="2">
        <v>37.021369999999997</v>
      </c>
      <c r="BJ22" s="2">
        <v>35.666049999999998</v>
      </c>
      <c r="BK22" s="2">
        <v>35.384590000000003</v>
      </c>
      <c r="BL22" s="2">
        <v>19</v>
      </c>
      <c r="BM22" s="2">
        <v>11</v>
      </c>
      <c r="BN22" s="4">
        <v>20</v>
      </c>
      <c r="BO22" s="4">
        <v>0</v>
      </c>
      <c r="BP22" s="4">
        <v>1</v>
      </c>
      <c r="BQ22" s="4">
        <v>19</v>
      </c>
      <c r="BR22" s="2">
        <v>0</v>
      </c>
      <c r="BS22" s="4">
        <v>12</v>
      </c>
      <c r="BT22" s="4">
        <v>1</v>
      </c>
      <c r="BU22" s="4">
        <v>20</v>
      </c>
      <c r="BV22" s="2">
        <v>60</v>
      </c>
      <c r="BW22" s="2">
        <v>6.5284300000000002</v>
      </c>
      <c r="BX22" s="2">
        <v>136.46809999999999</v>
      </c>
      <c r="BY22" s="3">
        <v>0.29749740000000002</v>
      </c>
      <c r="BZ22" s="3">
        <v>0.21799769999999999</v>
      </c>
      <c r="CA22" s="2">
        <v>0.73745300000000003</v>
      </c>
      <c r="CB22" s="3">
        <v>0.21799769999999999</v>
      </c>
      <c r="CC22" s="3">
        <v>33.041440000000001</v>
      </c>
      <c r="CD22" s="3">
        <v>33.794789999999999</v>
      </c>
      <c r="CE22" s="2">
        <v>2.2799969999999998</v>
      </c>
      <c r="CF22" s="3">
        <v>5978.6880000000001</v>
      </c>
      <c r="CG22" s="3">
        <v>6355.48</v>
      </c>
      <c r="CH22" s="2">
        <v>6.3022609999999997</v>
      </c>
      <c r="CI22" s="3">
        <v>375.71179999999998</v>
      </c>
      <c r="CJ22" s="2">
        <v>11.78782</v>
      </c>
      <c r="CK22" s="3">
        <v>65634.179999999993</v>
      </c>
      <c r="CL22" s="3">
        <v>63349.55</v>
      </c>
      <c r="CM22" s="2">
        <v>-3.4808520000000001</v>
      </c>
      <c r="CN22" s="3">
        <v>347.0453</v>
      </c>
      <c r="CO22" s="3">
        <v>377.298</v>
      </c>
      <c r="CP22" s="3">
        <v>379.84609999999998</v>
      </c>
      <c r="CQ22" s="2">
        <v>12.607749999999999</v>
      </c>
      <c r="CR22" s="2">
        <v>3.5785909999999999</v>
      </c>
      <c r="CS22" s="2">
        <v>2.883756</v>
      </c>
      <c r="CT22" s="2">
        <v>8.7172149999999995</v>
      </c>
      <c r="CU22" s="2">
        <v>103.9567</v>
      </c>
      <c r="CV22" s="3">
        <v>0.19492470000000001</v>
      </c>
      <c r="CW22" s="2">
        <v>-5.1666999999999998E-2</v>
      </c>
      <c r="CX22" s="2">
        <v>3.7726359999999999</v>
      </c>
      <c r="CY22" s="2">
        <v>10.005039999999999</v>
      </c>
      <c r="CZ22" s="2">
        <v>22.070709999999998</v>
      </c>
    </row>
    <row r="23" spans="1:104" ht="15" customHeight="1" x14ac:dyDescent="0.2">
      <c r="A23" s="1">
        <f t="shared" si="0"/>
        <v>17</v>
      </c>
      <c r="B23" s="1" t="s">
        <v>59</v>
      </c>
      <c r="C23" s="1" t="s">
        <v>58</v>
      </c>
      <c r="D23" s="1" t="s">
        <v>40</v>
      </c>
      <c r="E23" s="1" t="s">
        <v>60</v>
      </c>
      <c r="F23" s="1" t="s">
        <v>61</v>
      </c>
      <c r="G23" s="2">
        <v>68797.490000000005</v>
      </c>
      <c r="H23" s="2">
        <v>81.832700000000003</v>
      </c>
      <c r="I23" s="2">
        <v>56298.84</v>
      </c>
      <c r="J23" s="3">
        <v>161.02000000000001</v>
      </c>
      <c r="K23" s="3">
        <v>0</v>
      </c>
      <c r="L23" s="2">
        <v>0.83840519999999996</v>
      </c>
      <c r="M23" s="2">
        <v>1.3219000000000001</v>
      </c>
      <c r="N23" s="2">
        <v>1.6768099999999999</v>
      </c>
      <c r="O23" s="2">
        <v>2.0432239999999999</v>
      </c>
      <c r="P23" s="2">
        <v>60.082090000000001</v>
      </c>
      <c r="Q23" s="2">
        <v>30.438559999999999</v>
      </c>
      <c r="R23" s="2">
        <v>24.471119999999999</v>
      </c>
      <c r="S23" s="2">
        <v>20.027360000000002</v>
      </c>
      <c r="T23" s="2">
        <v>14.387549999999999</v>
      </c>
      <c r="U23" s="2">
        <v>15.57037</v>
      </c>
      <c r="V23" s="2">
        <v>12.806660000000001</v>
      </c>
      <c r="W23" s="2">
        <v>10.757250000000001</v>
      </c>
      <c r="X23" s="2">
        <v>6.5910770000000003</v>
      </c>
      <c r="Y23" s="2">
        <v>6.1317599999999999</v>
      </c>
      <c r="Z23" s="2">
        <v>5.3264969999999998</v>
      </c>
      <c r="AA23" s="2">
        <v>4.5744319999999998</v>
      </c>
      <c r="AB23" s="2">
        <v>23.343990000000002</v>
      </c>
      <c r="AC23" s="2">
        <v>17.787030000000001</v>
      </c>
      <c r="AD23" s="2">
        <v>16.464210000000001</v>
      </c>
      <c r="AE23" s="2">
        <v>14.89081</v>
      </c>
      <c r="AF23" s="2">
        <v>4.1402270000000003</v>
      </c>
      <c r="AG23" s="2">
        <v>4.1826800000000004</v>
      </c>
      <c r="AH23" s="2">
        <v>4.9895180000000003</v>
      </c>
      <c r="AI23" s="2">
        <v>4.1021330000000003</v>
      </c>
      <c r="AJ23" s="2">
        <v>4.053223</v>
      </c>
      <c r="AK23" s="2">
        <v>4.7358339999999997</v>
      </c>
      <c r="AL23" s="3">
        <v>0.79841989999999996</v>
      </c>
      <c r="AM23" s="3">
        <v>0.63284399999999996</v>
      </c>
      <c r="AN23" s="2">
        <v>18.234829999999999</v>
      </c>
      <c r="AO23" s="2">
        <v>18.83004</v>
      </c>
      <c r="AP23" s="2">
        <v>19.683959999999999</v>
      </c>
      <c r="AQ23" s="2">
        <v>20.374469999999999</v>
      </c>
      <c r="AR23" s="2">
        <v>-4.0334200000000002E-3</v>
      </c>
      <c r="AS23" s="2">
        <v>-0.1445921</v>
      </c>
      <c r="AT23" s="2">
        <v>-0.40903400000000001</v>
      </c>
      <c r="AU23" s="2">
        <v>-0.576233</v>
      </c>
      <c r="AV23" s="1" t="s">
        <v>6</v>
      </c>
      <c r="AW23" s="3">
        <v>1.3095239999999999</v>
      </c>
      <c r="AX23" s="3">
        <v>175</v>
      </c>
      <c r="AY23" s="2">
        <v>8.6821439999999992</v>
      </c>
      <c r="AZ23" s="2">
        <v>20.14471</v>
      </c>
      <c r="BA23" s="2">
        <v>36.372599999999998</v>
      </c>
      <c r="BB23" s="2">
        <v>37.13167</v>
      </c>
      <c r="BC23" s="2">
        <v>37.718110000000003</v>
      </c>
      <c r="BD23" s="3">
        <v>114.56</v>
      </c>
      <c r="BE23" s="2">
        <v>40.55518</v>
      </c>
      <c r="BF23" s="3">
        <v>162.38</v>
      </c>
      <c r="BG23" s="2">
        <v>-0.83754059999999997</v>
      </c>
      <c r="BH23" s="2">
        <v>51.52646</v>
      </c>
      <c r="BI23" s="2">
        <v>38.830089999999998</v>
      </c>
      <c r="BJ23" s="2">
        <v>38.642220000000002</v>
      </c>
      <c r="BK23" s="2">
        <v>39.799160000000001</v>
      </c>
      <c r="BL23" s="2">
        <v>18</v>
      </c>
      <c r="BM23" s="2">
        <v>18</v>
      </c>
      <c r="BN23" s="4">
        <v>21</v>
      </c>
      <c r="BO23" s="4">
        <v>0</v>
      </c>
      <c r="BP23" s="4">
        <v>1</v>
      </c>
      <c r="BQ23" s="4">
        <v>20</v>
      </c>
      <c r="BR23" s="2">
        <v>0</v>
      </c>
      <c r="BS23" s="4">
        <v>16</v>
      </c>
      <c r="BT23" s="4">
        <v>0</v>
      </c>
      <c r="BU23" s="4">
        <v>21</v>
      </c>
      <c r="BV23" s="2">
        <v>76.190479999999994</v>
      </c>
      <c r="BW23" s="2">
        <v>9.1326300000000007</v>
      </c>
      <c r="BX23" s="2">
        <v>427.26060000000001</v>
      </c>
      <c r="BY23" s="3">
        <v>0.60400149999999997</v>
      </c>
      <c r="BZ23" s="3">
        <v>0.14136609999999999</v>
      </c>
      <c r="CA23" s="2">
        <v>1.2973399999999999</v>
      </c>
      <c r="CB23" s="3">
        <v>0.14136609999999999</v>
      </c>
      <c r="CC23" s="3">
        <v>5.1333690000000001</v>
      </c>
      <c r="CD23" s="3">
        <v>5.28064</v>
      </c>
      <c r="CE23" s="2">
        <v>2.8688790000000002</v>
      </c>
      <c r="CF23" s="3">
        <v>3110.9549999999999</v>
      </c>
      <c r="CG23" s="3">
        <v>3165.0839999999998</v>
      </c>
      <c r="CH23" s="2">
        <v>1.7399549999999999</v>
      </c>
      <c r="CI23" s="3">
        <v>169.0316</v>
      </c>
      <c r="CJ23" s="2">
        <v>3.5309430000000002</v>
      </c>
      <c r="CK23" s="3">
        <v>23217.22</v>
      </c>
      <c r="CL23" s="3">
        <v>23263.38</v>
      </c>
      <c r="CM23" s="2">
        <v>0.19884109999999999</v>
      </c>
      <c r="CN23" s="3">
        <v>143.37270000000001</v>
      </c>
      <c r="CO23" s="3">
        <v>151.68039999999999</v>
      </c>
      <c r="CP23" s="3">
        <v>155.25069999999999</v>
      </c>
      <c r="CQ23" s="2">
        <v>12.308669999999999</v>
      </c>
      <c r="CR23" s="2">
        <v>6.1574340000000003</v>
      </c>
      <c r="CS23" s="2">
        <v>3.7160869999999999</v>
      </c>
      <c r="CT23" s="2">
        <v>5.794454</v>
      </c>
      <c r="CU23" s="2">
        <v>85.229799999999997</v>
      </c>
      <c r="CV23" s="3">
        <v>0.123885</v>
      </c>
      <c r="CW23" s="2" t="e">
        <v>#N/A</v>
      </c>
      <c r="CX23" s="2">
        <v>1.0714440000000001</v>
      </c>
      <c r="CY23" s="2" t="e">
        <v>#N/A</v>
      </c>
      <c r="CZ23" s="2">
        <v>22.181819999999998</v>
      </c>
    </row>
    <row r="24" spans="1:104" ht="15" customHeight="1" x14ac:dyDescent="0.2">
      <c r="A24" s="1">
        <f t="shared" si="0"/>
        <v>18</v>
      </c>
      <c r="B24" s="1" t="s">
        <v>63</v>
      </c>
      <c r="C24" s="1" t="s">
        <v>62</v>
      </c>
      <c r="D24" s="1" t="s">
        <v>27</v>
      </c>
      <c r="E24" s="1" t="s">
        <v>4</v>
      </c>
      <c r="F24" s="1" t="s">
        <v>64</v>
      </c>
      <c r="G24" s="2">
        <v>90330.4</v>
      </c>
      <c r="H24" s="2">
        <v>99.572299999999998</v>
      </c>
      <c r="I24" s="2">
        <v>89944.06</v>
      </c>
      <c r="J24" s="3">
        <v>230.6</v>
      </c>
      <c r="K24" s="3">
        <v>0</v>
      </c>
      <c r="L24" s="2">
        <v>4.9436249999999999</v>
      </c>
      <c r="M24" s="2">
        <v>5.2038159999999998</v>
      </c>
      <c r="N24" s="2">
        <v>5.5507369999999998</v>
      </c>
      <c r="O24" s="2">
        <v>5.9627059999999998</v>
      </c>
      <c r="P24" s="2">
        <v>14.182040000000001</v>
      </c>
      <c r="Q24" s="2">
        <v>10.16703</v>
      </c>
      <c r="R24" s="2">
        <v>8.9221389999999996</v>
      </c>
      <c r="S24" s="2">
        <v>8.3109490000000008</v>
      </c>
      <c r="T24" s="2">
        <v>10.61443</v>
      </c>
      <c r="U24" s="2">
        <v>8.5425240000000002</v>
      </c>
      <c r="V24" s="2">
        <v>8.1057869999999994</v>
      </c>
      <c r="W24" s="2">
        <v>7.7929149999999998</v>
      </c>
      <c r="X24" s="2">
        <v>1.8087770000000001</v>
      </c>
      <c r="Y24" s="2">
        <v>1.61056</v>
      </c>
      <c r="Z24" s="2">
        <v>1.476596</v>
      </c>
      <c r="AA24" s="2">
        <v>1.3548770000000001</v>
      </c>
      <c r="AB24" s="2" t="e">
        <v>#N/A</v>
      </c>
      <c r="AC24" s="2" t="e">
        <v>#N/A</v>
      </c>
      <c r="AD24" s="2" t="e">
        <v>#N/A</v>
      </c>
      <c r="AE24" s="2" t="e">
        <v>#N/A</v>
      </c>
      <c r="AF24" s="2">
        <v>6.6459700000000002</v>
      </c>
      <c r="AG24" s="2">
        <v>6.9952180000000004</v>
      </c>
      <c r="AH24" s="2">
        <v>5.2906630000000003</v>
      </c>
      <c r="AI24" s="2">
        <v>9.010256</v>
      </c>
      <c r="AJ24" s="2">
        <v>9.4846260000000004</v>
      </c>
      <c r="AK24" s="2">
        <v>7.1736649999999997</v>
      </c>
      <c r="AL24" s="3">
        <v>0.61681169999999996</v>
      </c>
      <c r="AM24" s="3">
        <v>0.54329130000000003</v>
      </c>
      <c r="AN24" s="2">
        <v>6.2952310000000002</v>
      </c>
      <c r="AO24" s="2">
        <v>9.4825149999999994</v>
      </c>
      <c r="AP24" s="2">
        <v>9.5644439999999999</v>
      </c>
      <c r="AQ24" s="2">
        <v>9.7125450000000004</v>
      </c>
      <c r="AR24" s="2">
        <v>2.1854990000000001</v>
      </c>
      <c r="AS24" s="2">
        <v>2.1936589999999998</v>
      </c>
      <c r="AT24" s="2">
        <v>2.0820530000000002</v>
      </c>
      <c r="AU24" s="2">
        <v>2.001846</v>
      </c>
      <c r="AV24" s="1" t="s">
        <v>6</v>
      </c>
      <c r="AW24" s="3">
        <v>1.325</v>
      </c>
      <c r="AX24" s="3">
        <v>253</v>
      </c>
      <c r="AY24" s="2">
        <v>9.7137930000000008</v>
      </c>
      <c r="AZ24" s="2">
        <v>15.841010000000001</v>
      </c>
      <c r="BA24" s="2">
        <v>16.477170000000001</v>
      </c>
      <c r="BB24" s="2">
        <v>12.845610000000001</v>
      </c>
      <c r="BC24" s="2">
        <v>14.783480000000001</v>
      </c>
      <c r="BD24" s="3">
        <v>192.48</v>
      </c>
      <c r="BE24" s="2">
        <v>19.804659999999998</v>
      </c>
      <c r="BF24" s="3">
        <v>234.55</v>
      </c>
      <c r="BG24" s="2">
        <v>-1.6840759999999999</v>
      </c>
      <c r="BH24" s="2">
        <v>70.432400000000001</v>
      </c>
      <c r="BI24" s="2">
        <v>53.401330000000002</v>
      </c>
      <c r="BJ24" s="2">
        <v>50.24503</v>
      </c>
      <c r="BK24" s="2">
        <v>50.038179999999997</v>
      </c>
      <c r="BL24" s="2">
        <v>17</v>
      </c>
      <c r="BM24" s="2">
        <v>13</v>
      </c>
      <c r="BN24" s="4">
        <v>20</v>
      </c>
      <c r="BO24" s="4">
        <v>1</v>
      </c>
      <c r="BP24" s="4">
        <v>0</v>
      </c>
      <c r="BQ24" s="4">
        <v>19</v>
      </c>
      <c r="BR24" s="2">
        <v>5</v>
      </c>
      <c r="BS24" s="4">
        <v>15</v>
      </c>
      <c r="BT24" s="4">
        <v>1</v>
      </c>
      <c r="BU24" s="4">
        <v>20</v>
      </c>
      <c r="BV24" s="2">
        <v>75</v>
      </c>
      <c r="BW24" s="2">
        <v>8.1027900000000006</v>
      </c>
      <c r="BX24" s="2">
        <v>391.71899999999999</v>
      </c>
      <c r="BY24" s="3">
        <v>0.89338550000000005</v>
      </c>
      <c r="BZ24" s="3">
        <v>0.22806799999999999</v>
      </c>
      <c r="CA24" s="2">
        <v>1.1432599999999999</v>
      </c>
      <c r="CB24" s="3">
        <v>0.22806799999999999</v>
      </c>
      <c r="CC24" s="3">
        <v>23.611360000000001</v>
      </c>
      <c r="CD24" s="3">
        <v>22.689450000000001</v>
      </c>
      <c r="CE24" s="2">
        <v>-3.9044979999999998</v>
      </c>
      <c r="CF24" s="3">
        <v>14585.2</v>
      </c>
      <c r="CG24" s="3">
        <v>14628.52</v>
      </c>
      <c r="CH24" s="2">
        <v>0.29702190000000001</v>
      </c>
      <c r="CI24" s="3">
        <v>248.6765</v>
      </c>
      <c r="CJ24" s="2">
        <v>1.7386200000000001</v>
      </c>
      <c r="CK24" s="3">
        <v>155692.5</v>
      </c>
      <c r="CL24" s="3">
        <v>156296.4</v>
      </c>
      <c r="CM24" s="2">
        <v>0.38787129999999997</v>
      </c>
      <c r="CN24" s="3">
        <v>217.86060000000001</v>
      </c>
      <c r="CO24" s="3">
        <v>224.68819999999999</v>
      </c>
      <c r="CP24" s="3">
        <v>225.26339999999999</v>
      </c>
      <c r="CQ24" s="2">
        <v>5.8475140000000003</v>
      </c>
      <c r="CR24" s="2">
        <v>2.631116</v>
      </c>
      <c r="CS24" s="2">
        <v>2.3690340000000001</v>
      </c>
      <c r="CT24" s="2">
        <v>3.1339290000000002</v>
      </c>
      <c r="CU24" s="2">
        <v>180.22900000000001</v>
      </c>
      <c r="CV24" s="3">
        <v>0.199522</v>
      </c>
      <c r="CW24" s="2">
        <v>-7.4665039999999996</v>
      </c>
      <c r="CX24" s="2">
        <v>135.48390000000001</v>
      </c>
      <c r="CY24" s="2">
        <v>4.9717560000000001</v>
      </c>
      <c r="CZ24" s="2">
        <v>22.9495</v>
      </c>
    </row>
    <row r="25" spans="1:104" ht="15" customHeight="1" x14ac:dyDescent="0.2">
      <c r="A25" s="1">
        <f t="shared" si="0"/>
        <v>19</v>
      </c>
      <c r="B25" s="1" t="s">
        <v>66</v>
      </c>
      <c r="C25" s="1" t="s">
        <v>65</v>
      </c>
      <c r="D25" s="1" t="s">
        <v>40</v>
      </c>
      <c r="E25" s="1" t="s">
        <v>67</v>
      </c>
      <c r="F25" s="1" t="s">
        <v>68</v>
      </c>
      <c r="G25" s="2">
        <v>67074.289999999994</v>
      </c>
      <c r="H25" s="2">
        <v>82.584199999999996</v>
      </c>
      <c r="I25" s="2">
        <v>55392.77</v>
      </c>
      <c r="J25" s="3">
        <v>112.3</v>
      </c>
      <c r="K25" s="3">
        <v>0</v>
      </c>
      <c r="L25" s="2">
        <v>3.5618880000000002</v>
      </c>
      <c r="M25" s="2">
        <v>3.9447899999999998</v>
      </c>
      <c r="N25" s="2">
        <v>4.3187889999999998</v>
      </c>
      <c r="O25" s="2">
        <v>4.5503119999999999</v>
      </c>
      <c r="P25" s="2">
        <v>15.033469999999999</v>
      </c>
      <c r="Q25" s="2">
        <v>13.772209999999999</v>
      </c>
      <c r="R25" s="2">
        <v>12.893230000000001</v>
      </c>
      <c r="S25" s="2">
        <v>11.69183</v>
      </c>
      <c r="T25" s="2">
        <v>7.1989179999999999</v>
      </c>
      <c r="U25" s="2">
        <v>7.1776340000000003</v>
      </c>
      <c r="V25" s="2">
        <v>6.7253600000000002</v>
      </c>
      <c r="W25" s="2">
        <v>6.3551570000000002</v>
      </c>
      <c r="X25" s="2">
        <v>2.4414660000000001</v>
      </c>
      <c r="Y25" s="2">
        <v>2.258194</v>
      </c>
      <c r="Z25" s="2">
        <v>2.075402</v>
      </c>
      <c r="AA25" s="2">
        <v>1.915402</v>
      </c>
      <c r="AB25" s="2">
        <v>7.7310340000000002</v>
      </c>
      <c r="AC25" s="2">
        <v>7.8377699999999999</v>
      </c>
      <c r="AD25" s="2">
        <v>7.609826</v>
      </c>
      <c r="AE25" s="2">
        <v>5.9526289999999999</v>
      </c>
      <c r="AF25" s="2">
        <v>5.7361389999999997</v>
      </c>
      <c r="AG25" s="2">
        <v>6.0743919999999996</v>
      </c>
      <c r="AH25" s="2">
        <v>6.6619700000000002</v>
      </c>
      <c r="AI25" s="2">
        <v>7.2241730000000004</v>
      </c>
      <c r="AJ25" s="2">
        <v>7.5003840000000004</v>
      </c>
      <c r="AK25" s="2">
        <v>8.0994620000000008</v>
      </c>
      <c r="AL25" s="3">
        <v>2.0008910000000002</v>
      </c>
      <c r="AM25" s="3">
        <v>1.864484</v>
      </c>
      <c r="AN25" s="2">
        <v>16.562629999999999</v>
      </c>
      <c r="AO25" s="2">
        <v>17.328610000000001</v>
      </c>
      <c r="AP25" s="2">
        <v>17.655629999999999</v>
      </c>
      <c r="AQ25" s="2">
        <v>17.900700000000001</v>
      </c>
      <c r="AR25" s="2">
        <v>1.8162510000000001</v>
      </c>
      <c r="AS25" s="2">
        <v>1.478448</v>
      </c>
      <c r="AT25" s="2">
        <v>1.2786420000000001</v>
      </c>
      <c r="AU25" s="2">
        <v>1.127912</v>
      </c>
      <c r="AV25" s="1" t="s">
        <v>6</v>
      </c>
      <c r="AW25" s="3">
        <v>1.1499999999999999</v>
      </c>
      <c r="AX25" s="3">
        <v>125</v>
      </c>
      <c r="AY25" s="2">
        <v>11.30899</v>
      </c>
      <c r="AZ25" s="2">
        <v>16.396740000000001</v>
      </c>
      <c r="BA25" s="2">
        <v>6.8481560000000004</v>
      </c>
      <c r="BB25" s="2">
        <v>16.22852</v>
      </c>
      <c r="BC25" s="2">
        <v>20.377330000000001</v>
      </c>
      <c r="BD25" s="3">
        <v>91.88</v>
      </c>
      <c r="BE25" s="2">
        <v>22.22465</v>
      </c>
      <c r="BF25" s="3">
        <v>112.64</v>
      </c>
      <c r="BG25" s="2">
        <v>-0.3018439</v>
      </c>
      <c r="BH25" s="2">
        <v>53.682639999999999</v>
      </c>
      <c r="BI25" s="2">
        <v>54.634160000000001</v>
      </c>
      <c r="BJ25" s="2">
        <v>55.292720000000003</v>
      </c>
      <c r="BK25" s="2">
        <v>55.220460000000003</v>
      </c>
      <c r="BL25" s="2">
        <v>17</v>
      </c>
      <c r="BM25" s="2">
        <v>15</v>
      </c>
      <c r="BN25" s="4">
        <v>20</v>
      </c>
      <c r="BO25" s="4">
        <v>0</v>
      </c>
      <c r="BP25" s="4">
        <v>0</v>
      </c>
      <c r="BQ25" s="4">
        <v>20</v>
      </c>
      <c r="BR25" s="2">
        <v>0</v>
      </c>
      <c r="BS25" s="4">
        <v>18</v>
      </c>
      <c r="BT25" s="4">
        <v>1</v>
      </c>
      <c r="BU25" s="4">
        <v>20</v>
      </c>
      <c r="BV25" s="2">
        <v>90</v>
      </c>
      <c r="BW25" s="2">
        <v>7.04244</v>
      </c>
      <c r="BX25" s="2">
        <v>597.27769999999998</v>
      </c>
      <c r="BY25" s="3">
        <v>0.81208309999999995</v>
      </c>
      <c r="BZ25" s="3">
        <v>0.1359641</v>
      </c>
      <c r="CA25" s="2">
        <v>1.0860300000000001</v>
      </c>
      <c r="CB25" s="3">
        <v>0.1359641</v>
      </c>
      <c r="CC25" s="3">
        <v>8.1352060000000002</v>
      </c>
      <c r="CD25" s="3">
        <v>8.1956360000000004</v>
      </c>
      <c r="CE25" s="2">
        <v>0.7428169</v>
      </c>
      <c r="CF25" s="3">
        <v>8000.0150000000003</v>
      </c>
      <c r="CG25" s="3">
        <v>8097.4489999999996</v>
      </c>
      <c r="CH25" s="2">
        <v>1.2179260000000001</v>
      </c>
      <c r="CI25" s="3">
        <v>126.2577</v>
      </c>
      <c r="CJ25" s="2">
        <v>-0.99612469999999997</v>
      </c>
      <c r="CK25" s="3">
        <v>67166.39</v>
      </c>
      <c r="CL25" s="3">
        <v>67684.88</v>
      </c>
      <c r="CM25" s="2">
        <v>0.77195170000000002</v>
      </c>
      <c r="CN25" s="3">
        <v>106.0228</v>
      </c>
      <c r="CO25" s="3">
        <v>105.21729999999999</v>
      </c>
      <c r="CP25" s="3">
        <v>107.42919999999999</v>
      </c>
      <c r="CQ25" s="2">
        <v>5.9206130000000003</v>
      </c>
      <c r="CR25" s="2">
        <v>6.7315459999999998</v>
      </c>
      <c r="CS25" s="2">
        <v>4.5339229999999997</v>
      </c>
      <c r="CT25" s="2">
        <v>-0.75978639999999997</v>
      </c>
      <c r="CU25" s="2">
        <v>76.338579999999993</v>
      </c>
      <c r="CV25" s="3">
        <v>0.113812</v>
      </c>
      <c r="CW25" s="2" t="e">
        <v>#N/A</v>
      </c>
      <c r="CX25" s="2">
        <v>0.66940310000000003</v>
      </c>
      <c r="CY25" s="2" t="e">
        <v>#N/A</v>
      </c>
      <c r="CZ25" s="2">
        <v>23.171720000000001</v>
      </c>
    </row>
    <row r="26" spans="1:104" ht="15" customHeight="1" x14ac:dyDescent="0.2">
      <c r="A26" s="1">
        <f t="shared" si="0"/>
        <v>20</v>
      </c>
      <c r="B26" s="1" t="s">
        <v>70</v>
      </c>
      <c r="C26" s="1" t="s">
        <v>69</v>
      </c>
      <c r="D26" s="1" t="s">
        <v>27</v>
      </c>
      <c r="E26" s="1" t="s">
        <v>71</v>
      </c>
      <c r="F26" s="1" t="s">
        <v>72</v>
      </c>
      <c r="G26" s="2">
        <v>109577.4</v>
      </c>
      <c r="H26" s="2">
        <v>64.753600000000006</v>
      </c>
      <c r="I26" s="2">
        <v>70955.33</v>
      </c>
      <c r="J26" s="3">
        <v>21.975000000000001</v>
      </c>
      <c r="K26" s="3">
        <v>0</v>
      </c>
      <c r="L26" s="2">
        <v>3.185438</v>
      </c>
      <c r="M26" s="2">
        <v>3.5039820000000002</v>
      </c>
      <c r="N26" s="2">
        <v>3.913538</v>
      </c>
      <c r="O26" s="2">
        <v>4.4141069999999996</v>
      </c>
      <c r="P26" s="2">
        <v>12.0082</v>
      </c>
      <c r="Q26" s="2">
        <v>13.233370000000001</v>
      </c>
      <c r="R26" s="2">
        <v>11.751340000000001</v>
      </c>
      <c r="S26" s="2">
        <v>10.6073</v>
      </c>
      <c r="T26" s="2">
        <v>5.8536260000000002</v>
      </c>
      <c r="U26" s="2">
        <v>6.0936859999999999</v>
      </c>
      <c r="V26" s="2">
        <v>5.683503</v>
      </c>
      <c r="W26" s="2">
        <v>5.3732259999999998</v>
      </c>
      <c r="X26" s="2">
        <v>2.2531889999999999</v>
      </c>
      <c r="Y26" s="2">
        <v>1.962054</v>
      </c>
      <c r="Z26" s="2">
        <v>1.8161160000000001</v>
      </c>
      <c r="AA26" s="2">
        <v>1.840738</v>
      </c>
      <c r="AB26" s="2">
        <v>3.5081690000000001</v>
      </c>
      <c r="AC26" s="2">
        <v>3.4141919999999999</v>
      </c>
      <c r="AD26" s="2">
        <v>3.1618710000000001</v>
      </c>
      <c r="AE26" s="2">
        <v>3.0346150000000001</v>
      </c>
      <c r="AF26" s="2">
        <v>6.4720079999999998</v>
      </c>
      <c r="AG26" s="2">
        <v>7.6880040000000003</v>
      </c>
      <c r="AH26" s="2">
        <v>8.4001870000000007</v>
      </c>
      <c r="AI26" s="2">
        <v>14.67817</v>
      </c>
      <c r="AJ26" s="2">
        <v>17.31748</v>
      </c>
      <c r="AK26" s="2">
        <v>18.795069999999999</v>
      </c>
      <c r="AL26" s="3">
        <v>1.831858</v>
      </c>
      <c r="AM26" s="3">
        <v>1.7896000000000001</v>
      </c>
      <c r="AN26" s="2">
        <v>35.142859999999999</v>
      </c>
      <c r="AO26" s="2">
        <v>36.682749999999999</v>
      </c>
      <c r="AP26" s="2">
        <v>38.104430000000001</v>
      </c>
      <c r="AQ26" s="2">
        <v>38.96219</v>
      </c>
      <c r="AR26" s="2">
        <v>3.5422060000000002</v>
      </c>
      <c r="AS26" s="2">
        <v>3.406812</v>
      </c>
      <c r="AT26" s="2">
        <v>3.160342</v>
      </c>
      <c r="AU26" s="2">
        <v>2.97174</v>
      </c>
      <c r="AV26" s="1" t="s">
        <v>6</v>
      </c>
      <c r="AW26" s="3">
        <v>1.142857</v>
      </c>
      <c r="AX26" s="3">
        <v>26</v>
      </c>
      <c r="AY26" s="2">
        <v>18.316269999999999</v>
      </c>
      <c r="AZ26" s="2">
        <v>14.826560000000001</v>
      </c>
      <c r="BA26" s="2">
        <v>6.7379340000000001</v>
      </c>
      <c r="BB26" s="2">
        <v>13.23818</v>
      </c>
      <c r="BC26" s="2">
        <v>17.90428</v>
      </c>
      <c r="BD26" s="3">
        <v>18.501999999999999</v>
      </c>
      <c r="BE26" s="2">
        <v>18.77094</v>
      </c>
      <c r="BF26" s="3">
        <v>23.125</v>
      </c>
      <c r="BG26" s="2">
        <v>-4.9729700000000001</v>
      </c>
      <c r="BH26" s="2">
        <v>38.209330000000001</v>
      </c>
      <c r="BI26" s="2">
        <v>43.325609999999998</v>
      </c>
      <c r="BJ26" s="2">
        <v>48.64669</v>
      </c>
      <c r="BK26" s="2">
        <v>49.210509999999999</v>
      </c>
      <c r="BL26" s="2">
        <v>15</v>
      </c>
      <c r="BM26" s="2">
        <v>11</v>
      </c>
      <c r="BN26" s="4">
        <v>21</v>
      </c>
      <c r="BO26" s="4">
        <v>0</v>
      </c>
      <c r="BP26" s="4">
        <v>0</v>
      </c>
      <c r="BQ26" s="4">
        <v>21</v>
      </c>
      <c r="BR26" s="2">
        <v>0</v>
      </c>
      <c r="BS26" s="4">
        <v>19</v>
      </c>
      <c r="BT26" s="4">
        <v>0</v>
      </c>
      <c r="BU26" s="4">
        <v>21</v>
      </c>
      <c r="BV26" s="2">
        <v>90.476190000000003</v>
      </c>
      <c r="BW26" s="2">
        <v>5.6257799999999998</v>
      </c>
      <c r="BX26" s="2">
        <v>4986.4579999999996</v>
      </c>
      <c r="BY26" s="3">
        <v>6.6557630000000003</v>
      </c>
      <c r="BZ26" s="3">
        <v>0.1334767</v>
      </c>
      <c r="CA26" s="2">
        <v>0.650034</v>
      </c>
      <c r="CB26" s="3">
        <v>0.1334767</v>
      </c>
      <c r="CC26" s="3">
        <v>1.823931</v>
      </c>
      <c r="CD26" s="3">
        <v>1.7937259999999999</v>
      </c>
      <c r="CE26" s="2">
        <v>-1.6560379999999999</v>
      </c>
      <c r="CF26" s="3">
        <v>22151.19</v>
      </c>
      <c r="CG26" s="3">
        <v>22322.29</v>
      </c>
      <c r="CH26" s="2">
        <v>0.77240470000000006</v>
      </c>
      <c r="CI26" s="3">
        <v>25.369910000000001</v>
      </c>
      <c r="CJ26" s="2">
        <v>2.4836179999999999</v>
      </c>
      <c r="CK26" s="3">
        <v>111447.4</v>
      </c>
      <c r="CL26" s="3">
        <v>111246.6</v>
      </c>
      <c r="CM26" s="2">
        <v>-0.18015500000000001</v>
      </c>
      <c r="CN26" s="3">
        <v>20.654209999999999</v>
      </c>
      <c r="CO26" s="3">
        <v>20.80294</v>
      </c>
      <c r="CP26" s="3">
        <v>21.389230000000001</v>
      </c>
      <c r="CQ26" s="2">
        <v>6.3948039999999997</v>
      </c>
      <c r="CR26" s="2">
        <v>5.634093</v>
      </c>
      <c r="CS26" s="2">
        <v>2.7386309999999998</v>
      </c>
      <c r="CT26" s="2">
        <v>0.72013139999999998</v>
      </c>
      <c r="CU26" s="2">
        <v>118.72539999999999</v>
      </c>
      <c r="CV26" s="3">
        <v>0.1083485</v>
      </c>
      <c r="CW26" s="2">
        <v>-1.3432329999999999</v>
      </c>
      <c r="CX26" s="2">
        <v>-6.4168649999999994E-2</v>
      </c>
      <c r="CY26" s="2">
        <v>3.6581640000000002</v>
      </c>
      <c r="CZ26" s="2">
        <v>23.212119999999999</v>
      </c>
    </row>
    <row r="27" spans="1:104" ht="15" customHeight="1" x14ac:dyDescent="0.2">
      <c r="A27" s="1">
        <f t="shared" si="0"/>
        <v>21</v>
      </c>
      <c r="B27" s="1" t="s">
        <v>74</v>
      </c>
      <c r="C27" s="1" t="s">
        <v>73</v>
      </c>
      <c r="D27" s="1" t="s">
        <v>32</v>
      </c>
      <c r="E27" s="1" t="s">
        <v>60</v>
      </c>
      <c r="F27" s="1" t="s">
        <v>75</v>
      </c>
      <c r="G27" s="2">
        <v>251155.20000000001</v>
      </c>
      <c r="H27" s="2">
        <v>99.026399999999995</v>
      </c>
      <c r="I27" s="2">
        <v>248710</v>
      </c>
      <c r="J27" s="3">
        <v>623</v>
      </c>
      <c r="K27" s="3">
        <v>0</v>
      </c>
      <c r="L27" s="2">
        <v>0.93097920000000001</v>
      </c>
      <c r="M27" s="2">
        <v>1.043339</v>
      </c>
      <c r="N27" s="2">
        <v>1.1235949999999999</v>
      </c>
      <c r="O27" s="2">
        <v>1.322632</v>
      </c>
      <c r="P27" s="2">
        <v>44.05941</v>
      </c>
      <c r="Q27" s="2">
        <v>31.946529999999999</v>
      </c>
      <c r="R27" s="2">
        <v>31.924160000000001</v>
      </c>
      <c r="S27" s="2">
        <v>22.74137</v>
      </c>
      <c r="T27" s="2">
        <v>28.13916</v>
      </c>
      <c r="U27" s="2">
        <v>26.093029999999999</v>
      </c>
      <c r="V27" s="2">
        <v>25.830220000000001</v>
      </c>
      <c r="W27" s="2">
        <v>18.690650000000002</v>
      </c>
      <c r="X27" s="2">
        <v>28.14547</v>
      </c>
      <c r="Y27" s="2">
        <v>20.21415</v>
      </c>
      <c r="Z27" s="2">
        <v>18.216370000000001</v>
      </c>
      <c r="AA27" s="2">
        <v>14.80865</v>
      </c>
      <c r="AB27" s="2">
        <v>29.22139</v>
      </c>
      <c r="AC27" s="2">
        <v>29.964980000000001</v>
      </c>
      <c r="AD27" s="2">
        <v>29.193999999999999</v>
      </c>
      <c r="AE27" s="2">
        <v>21.838100000000001</v>
      </c>
      <c r="AF27" s="2">
        <v>1.7205919999999999</v>
      </c>
      <c r="AG27" s="2">
        <v>2.5160459999999998</v>
      </c>
      <c r="AH27" s="2">
        <v>3.3894679999999999</v>
      </c>
      <c r="AI27" s="2">
        <v>1.7068289999999999</v>
      </c>
      <c r="AJ27" s="2">
        <v>2.4872749999999999</v>
      </c>
      <c r="AK27" s="2">
        <v>3.333097</v>
      </c>
      <c r="AL27" s="3">
        <v>1.463535</v>
      </c>
      <c r="AM27" s="3">
        <v>1.4592050000000001</v>
      </c>
      <c r="AN27" s="2">
        <v>33.459119999999999</v>
      </c>
      <c r="AO27" s="2">
        <v>35.073009999999996</v>
      </c>
      <c r="AP27" s="2">
        <v>35.298450000000003</v>
      </c>
      <c r="AQ27" s="2">
        <v>39.70008</v>
      </c>
      <c r="AR27" s="2">
        <v>-0.52990420000000005</v>
      </c>
      <c r="AS27" s="2">
        <v>-0.21040210000000001</v>
      </c>
      <c r="AT27" s="2">
        <v>-0.29878939999999998</v>
      </c>
      <c r="AU27" s="2">
        <v>-0.31610470000000002</v>
      </c>
      <c r="AV27" s="1" t="s">
        <v>6</v>
      </c>
      <c r="AW27" s="3">
        <v>1.3125</v>
      </c>
      <c r="AX27" s="3">
        <v>700</v>
      </c>
      <c r="AY27" s="2">
        <v>12.35955</v>
      </c>
      <c r="AZ27" s="2">
        <v>63.274940000000001</v>
      </c>
      <c r="BA27" s="2">
        <v>22</v>
      </c>
      <c r="BB27" s="2">
        <v>11.0319</v>
      </c>
      <c r="BC27" s="2">
        <v>23.66018</v>
      </c>
      <c r="BD27" s="3">
        <v>500.3</v>
      </c>
      <c r="BE27" s="2">
        <v>24.525279999999999</v>
      </c>
      <c r="BF27" s="3">
        <v>698.1</v>
      </c>
      <c r="BG27" s="2">
        <v>-10.757770000000001</v>
      </c>
      <c r="BH27" s="2">
        <v>40.284230000000001</v>
      </c>
      <c r="BI27" s="2">
        <v>32.439250000000001</v>
      </c>
      <c r="BJ27" s="2">
        <v>36.127800000000001</v>
      </c>
      <c r="BK27" s="2">
        <v>30.929120000000001</v>
      </c>
      <c r="BL27" s="2">
        <v>38</v>
      </c>
      <c r="BM27" s="2">
        <v>37</v>
      </c>
      <c r="BN27" s="4">
        <v>40</v>
      </c>
      <c r="BO27" s="4">
        <v>6</v>
      </c>
      <c r="BP27" s="4">
        <v>0</v>
      </c>
      <c r="BQ27" s="4">
        <v>34</v>
      </c>
      <c r="BR27" s="2">
        <v>15</v>
      </c>
      <c r="BS27" s="4">
        <v>29</v>
      </c>
      <c r="BT27" s="4">
        <v>1</v>
      </c>
      <c r="BU27" s="4">
        <v>40</v>
      </c>
      <c r="BV27" s="2">
        <v>72.5</v>
      </c>
      <c r="BW27" s="2">
        <v>10.193300000000001</v>
      </c>
      <c r="BX27" s="2">
        <v>403.13839999999999</v>
      </c>
      <c r="BY27" s="3">
        <v>0.61316559999999998</v>
      </c>
      <c r="BZ27" s="3">
        <v>0.15209800000000001</v>
      </c>
      <c r="CA27" s="2">
        <v>1.73136</v>
      </c>
      <c r="CB27" s="3">
        <v>0.15209800000000001</v>
      </c>
      <c r="CC27" s="3">
        <v>19.362369999999999</v>
      </c>
      <c r="CD27" s="3">
        <v>19.485779999999998</v>
      </c>
      <c r="CE27" s="2">
        <v>0.63737630000000001</v>
      </c>
      <c r="CF27" s="3">
        <v>8792.5499999999993</v>
      </c>
      <c r="CG27" s="3">
        <v>8850.4079999999994</v>
      </c>
      <c r="CH27" s="2">
        <v>0.65803529999999999</v>
      </c>
      <c r="CI27" s="3">
        <v>742.80070000000001</v>
      </c>
      <c r="CJ27" s="2">
        <v>-5.7620709999999997</v>
      </c>
      <c r="CK27" s="3">
        <v>27146.880000000001</v>
      </c>
      <c r="CL27" s="3">
        <v>27198.76</v>
      </c>
      <c r="CM27" s="2">
        <v>0.19108059999999999</v>
      </c>
      <c r="CN27" s="3">
        <v>607.91369999999995</v>
      </c>
      <c r="CO27" s="3">
        <v>583.18430000000001</v>
      </c>
      <c r="CP27" s="3">
        <v>606.58460000000002</v>
      </c>
      <c r="CQ27" s="2">
        <v>2.4816509999999998</v>
      </c>
      <c r="CR27" s="2">
        <v>6.8272950000000003</v>
      </c>
      <c r="CS27" s="2">
        <v>2.7062059999999999</v>
      </c>
      <c r="CT27" s="2">
        <v>-4.0679160000000003</v>
      </c>
      <c r="CU27" s="2">
        <v>337.48649999999998</v>
      </c>
      <c r="CV27" s="3">
        <v>0.13437370000000001</v>
      </c>
      <c r="CW27" s="2">
        <v>4.01023</v>
      </c>
      <c r="CX27" s="2">
        <v>-1.0024919999999999</v>
      </c>
      <c r="CY27" s="2">
        <v>3.0924399999999999</v>
      </c>
      <c r="CZ27" s="2">
        <v>23.454550000000001</v>
      </c>
    </row>
    <row r="28" spans="1:104" ht="15" customHeight="1" x14ac:dyDescent="0.2">
      <c r="A28" s="1">
        <f t="shared" si="0"/>
        <v>22</v>
      </c>
      <c r="B28" s="1" t="s">
        <v>77</v>
      </c>
      <c r="C28" s="1" t="s">
        <v>76</v>
      </c>
      <c r="D28" s="1" t="s">
        <v>40</v>
      </c>
      <c r="E28" s="1" t="s">
        <v>78</v>
      </c>
      <c r="F28" s="1" t="s">
        <v>79</v>
      </c>
      <c r="G28" s="2">
        <v>91026.66</v>
      </c>
      <c r="H28" s="2">
        <v>99.751499999999993</v>
      </c>
      <c r="I28" s="2">
        <v>90800.46</v>
      </c>
      <c r="J28" s="3">
        <v>173.8</v>
      </c>
      <c r="K28" s="3">
        <v>0</v>
      </c>
      <c r="L28" s="2">
        <v>1.6973529999999999</v>
      </c>
      <c r="M28" s="2">
        <v>1.839844</v>
      </c>
      <c r="N28" s="2">
        <v>1.9591479999999999</v>
      </c>
      <c r="O28" s="2">
        <v>2.1288840000000002</v>
      </c>
      <c r="P28" s="2">
        <v>28.695640000000001</v>
      </c>
      <c r="Q28" s="2">
        <v>26.749780000000001</v>
      </c>
      <c r="R28" s="2">
        <v>24.807410000000001</v>
      </c>
      <c r="S28" s="2">
        <v>22.558340000000001</v>
      </c>
      <c r="T28" s="2">
        <v>10.857760000000001</v>
      </c>
      <c r="U28" s="2">
        <v>13.271100000000001</v>
      </c>
      <c r="V28" s="2">
        <v>12.326840000000001</v>
      </c>
      <c r="W28" s="2">
        <v>11.508319999999999</v>
      </c>
      <c r="X28" s="2">
        <v>3.8224680000000002</v>
      </c>
      <c r="Y28" s="2">
        <v>3.5796999999999999</v>
      </c>
      <c r="Z28" s="2">
        <v>3.3286120000000001</v>
      </c>
      <c r="AA28" s="2">
        <v>3.0809479999999998</v>
      </c>
      <c r="AB28" s="2">
        <v>15.655670000000001</v>
      </c>
      <c r="AC28" s="2">
        <v>15.145160000000001</v>
      </c>
      <c r="AD28" s="2">
        <v>14.35178</v>
      </c>
      <c r="AE28" s="2">
        <v>13.269880000000001</v>
      </c>
      <c r="AF28" s="2">
        <v>2.4701629999999999</v>
      </c>
      <c r="AG28" s="2">
        <v>2.6466639999999999</v>
      </c>
      <c r="AH28" s="2">
        <v>2.9493</v>
      </c>
      <c r="AI28" s="2">
        <v>2.7396440000000002</v>
      </c>
      <c r="AJ28" s="2">
        <v>2.922418</v>
      </c>
      <c r="AK28" s="2">
        <v>3.2372920000000001</v>
      </c>
      <c r="AL28" s="3">
        <v>3.530519</v>
      </c>
      <c r="AM28" s="3">
        <v>3.2503540000000002</v>
      </c>
      <c r="AN28" s="2">
        <v>24.479520000000001</v>
      </c>
      <c r="AO28" s="2">
        <v>27.37265</v>
      </c>
      <c r="AP28" s="2">
        <v>27.872509999999998</v>
      </c>
      <c r="AQ28" s="2">
        <v>28.316459999999999</v>
      </c>
      <c r="AR28" s="2">
        <v>1.400344</v>
      </c>
      <c r="AS28" s="2">
        <v>1.3053920000000001</v>
      </c>
      <c r="AT28" s="2">
        <v>1.163138</v>
      </c>
      <c r="AU28" s="2">
        <v>1.0237890000000001</v>
      </c>
      <c r="AV28" s="1" t="s">
        <v>6</v>
      </c>
      <c r="AW28" s="3">
        <v>1.4090910000000001</v>
      </c>
      <c r="AX28" s="3">
        <v>185</v>
      </c>
      <c r="AY28" s="2">
        <v>6.4441920000000001</v>
      </c>
      <c r="AZ28" s="2">
        <v>13.38217</v>
      </c>
      <c r="BA28" s="2">
        <v>7.9306929999999998</v>
      </c>
      <c r="BB28" s="2">
        <v>25.741579999999999</v>
      </c>
      <c r="BC28" s="2">
        <v>31.268889999999999</v>
      </c>
      <c r="BD28" s="3">
        <v>131.86000000000001</v>
      </c>
      <c r="BE28" s="2">
        <v>31.806470000000001</v>
      </c>
      <c r="BF28" s="3">
        <v>175.1</v>
      </c>
      <c r="BG28" s="2">
        <v>-0.74243550000000003</v>
      </c>
      <c r="BH28" s="2">
        <v>48.685400000000001</v>
      </c>
      <c r="BI28" s="2">
        <v>48.996560000000002</v>
      </c>
      <c r="BJ28" s="2">
        <v>48.372250000000001</v>
      </c>
      <c r="BK28" s="2">
        <v>46.971780000000003</v>
      </c>
      <c r="BL28" s="2">
        <v>22</v>
      </c>
      <c r="BM28" s="2">
        <v>19</v>
      </c>
      <c r="BN28" s="4">
        <v>22</v>
      </c>
      <c r="BO28" s="4">
        <v>1</v>
      </c>
      <c r="BP28" s="4">
        <v>0</v>
      </c>
      <c r="BQ28" s="4">
        <v>22</v>
      </c>
      <c r="BR28" s="2">
        <v>4.3478260000000004</v>
      </c>
      <c r="BS28" s="4">
        <v>16</v>
      </c>
      <c r="BT28" s="4">
        <v>1</v>
      </c>
      <c r="BU28" s="4">
        <v>22</v>
      </c>
      <c r="BV28" s="2">
        <v>72.727270000000004</v>
      </c>
      <c r="BW28" s="2">
        <v>5.8201299999999998</v>
      </c>
      <c r="BX28" s="2">
        <v>523.74369999999999</v>
      </c>
      <c r="BY28" s="3">
        <v>0.66155489999999995</v>
      </c>
      <c r="BZ28" s="3">
        <v>0.1263127</v>
      </c>
      <c r="CA28" s="2">
        <v>0.73445000000000005</v>
      </c>
      <c r="CB28" s="3">
        <v>0.1263127</v>
      </c>
      <c r="CC28" s="3">
        <v>6.5302569999999998</v>
      </c>
      <c r="CD28" s="3">
        <v>6.4892459999999996</v>
      </c>
      <c r="CE28" s="2">
        <v>-0.62801839999999998</v>
      </c>
      <c r="CF28" s="3">
        <v>5129.7190000000001</v>
      </c>
      <c r="CG28" s="3">
        <v>5102.3649999999998</v>
      </c>
      <c r="CH28" s="2">
        <v>-0.53324700000000003</v>
      </c>
      <c r="CI28" s="3">
        <v>178.1053</v>
      </c>
      <c r="CJ28" s="2">
        <v>3.8711549999999999</v>
      </c>
      <c r="CK28" s="3">
        <v>28775.16</v>
      </c>
      <c r="CL28" s="3">
        <v>28120.03</v>
      </c>
      <c r="CM28" s="2">
        <v>-2.2767309999999998</v>
      </c>
      <c r="CN28" s="3">
        <v>160.0829</v>
      </c>
      <c r="CO28" s="3">
        <v>163.06780000000001</v>
      </c>
      <c r="CP28" s="3">
        <v>167.48150000000001</v>
      </c>
      <c r="CQ28" s="2">
        <v>8.5687270000000009</v>
      </c>
      <c r="CR28" s="2">
        <v>6.5814139999999997</v>
      </c>
      <c r="CS28" s="2">
        <v>3.77264</v>
      </c>
      <c r="CT28" s="2">
        <v>1.8646</v>
      </c>
      <c r="CU28" s="2">
        <v>97.601609999999994</v>
      </c>
      <c r="CV28" s="3">
        <v>0.1072231</v>
      </c>
      <c r="CW28" s="2" t="e">
        <v>#N/A</v>
      </c>
      <c r="CX28" s="2">
        <v>-1.8464449999999999</v>
      </c>
      <c r="CY28" s="2" t="e">
        <v>#N/A</v>
      </c>
      <c r="CZ28" s="2">
        <v>23.66667</v>
      </c>
    </row>
    <row r="29" spans="1:104" ht="15" customHeight="1" x14ac:dyDescent="0.2">
      <c r="A29" s="1">
        <f t="shared" si="0"/>
        <v>23</v>
      </c>
      <c r="B29" s="1" t="s">
        <v>81</v>
      </c>
      <c r="C29" s="1" t="s">
        <v>80</v>
      </c>
      <c r="D29" s="1" t="s">
        <v>82</v>
      </c>
      <c r="E29" s="1" t="s">
        <v>4</v>
      </c>
      <c r="F29" s="1" t="s">
        <v>5</v>
      </c>
      <c r="G29" s="2">
        <v>36442.79</v>
      </c>
      <c r="H29" s="2" t="e">
        <v>#N/A</v>
      </c>
      <c r="I29" s="2" t="e">
        <v>#N/A</v>
      </c>
      <c r="J29" s="3">
        <v>10.308</v>
      </c>
      <c r="K29" s="3">
        <v>0</v>
      </c>
      <c r="L29" s="2">
        <v>7.7609630000000003</v>
      </c>
      <c r="M29" s="2">
        <v>9.5071790000000007</v>
      </c>
      <c r="N29" s="2">
        <v>9.6041910000000001</v>
      </c>
      <c r="O29" s="2">
        <v>9.6041910000000001</v>
      </c>
      <c r="P29" s="2">
        <v>9.3709089999999993</v>
      </c>
      <c r="Q29" s="2">
        <v>7.2589589999999999</v>
      </c>
      <c r="R29" s="2">
        <v>7.2336840000000002</v>
      </c>
      <c r="S29" s="2">
        <v>7.1089650000000004</v>
      </c>
      <c r="T29" s="2" t="e">
        <v>#N/A</v>
      </c>
      <c r="U29" s="2" t="e">
        <v>#N/A</v>
      </c>
      <c r="V29" s="2" t="e">
        <v>#N/A</v>
      </c>
      <c r="W29" s="2" t="e">
        <v>#N/A</v>
      </c>
      <c r="X29" s="2">
        <v>1.2042060000000001</v>
      </c>
      <c r="Y29" s="2">
        <v>1.1772400000000001</v>
      </c>
      <c r="Z29" s="2">
        <v>1.1339809999999999</v>
      </c>
      <c r="AA29" s="2">
        <v>1.0844819999999999</v>
      </c>
      <c r="AB29" s="2" t="e">
        <v>#N/A</v>
      </c>
      <c r="AC29" s="2" t="e">
        <v>#N/A</v>
      </c>
      <c r="AD29" s="2" t="e">
        <v>#N/A</v>
      </c>
      <c r="AE29" s="2" t="e">
        <v>#N/A</v>
      </c>
      <c r="AF29" s="2" t="e">
        <v>#N/A</v>
      </c>
      <c r="AG29" s="2" t="e">
        <v>#N/A</v>
      </c>
      <c r="AH29" s="2" t="e">
        <v>#N/A</v>
      </c>
      <c r="AI29" s="2" t="e">
        <v>#N/A</v>
      </c>
      <c r="AJ29" s="2" t="e">
        <v>#N/A</v>
      </c>
      <c r="AK29" s="2" t="e">
        <v>#N/A</v>
      </c>
      <c r="AL29" s="3">
        <v>0.66314070000000003</v>
      </c>
      <c r="AM29" s="3">
        <v>0.66007260000000001</v>
      </c>
      <c r="AN29" s="2" t="e">
        <v>#N/A</v>
      </c>
      <c r="AO29" s="2" t="e">
        <v>#N/A</v>
      </c>
      <c r="AP29" s="2" t="e">
        <v>#N/A</v>
      </c>
      <c r="AQ29" s="2" t="e">
        <v>#N/A</v>
      </c>
      <c r="AR29" s="2" t="e">
        <v>#N/A</v>
      </c>
      <c r="AS29" s="2" t="e">
        <v>#N/A</v>
      </c>
      <c r="AT29" s="2" t="e">
        <v>#N/A</v>
      </c>
      <c r="AU29" s="2" t="e">
        <v>#N/A</v>
      </c>
      <c r="AV29" s="1" t="s">
        <v>6</v>
      </c>
      <c r="AW29" s="3">
        <v>1.3333330000000001</v>
      </c>
      <c r="AX29" s="3">
        <v>13.073549999999999</v>
      </c>
      <c r="AY29" s="2">
        <v>26.829139999999999</v>
      </c>
      <c r="AZ29" s="2">
        <v>16.217749999999999</v>
      </c>
      <c r="BA29" s="2">
        <v>10.76445</v>
      </c>
      <c r="BB29" s="2">
        <v>2.9564499999999998</v>
      </c>
      <c r="BC29" s="2">
        <v>2.7716880000000002</v>
      </c>
      <c r="BD29" s="3">
        <v>9.157</v>
      </c>
      <c r="BE29" s="2">
        <v>12.56962</v>
      </c>
      <c r="BF29" s="3">
        <v>12.157999999999999</v>
      </c>
      <c r="BG29" s="2">
        <v>-15.21632</v>
      </c>
      <c r="BH29" s="2">
        <v>70.476190000000003</v>
      </c>
      <c r="BI29" s="2">
        <v>67.855680000000007</v>
      </c>
      <c r="BJ29" s="2">
        <v>68.46078</v>
      </c>
      <c r="BK29" s="2">
        <v>68.832729999999998</v>
      </c>
      <c r="BL29" s="2">
        <v>24</v>
      </c>
      <c r="BM29" s="2">
        <v>17</v>
      </c>
      <c r="BN29" s="4">
        <v>24</v>
      </c>
      <c r="BO29" s="4">
        <v>0</v>
      </c>
      <c r="BP29" s="4">
        <v>0</v>
      </c>
      <c r="BQ29" s="4">
        <v>24</v>
      </c>
      <c r="BR29" s="2">
        <v>0</v>
      </c>
      <c r="BS29" s="4">
        <v>17</v>
      </c>
      <c r="BT29" s="4">
        <v>0</v>
      </c>
      <c r="BU29" s="4">
        <v>24</v>
      </c>
      <c r="BV29" s="2">
        <v>70.833330000000004</v>
      </c>
      <c r="BW29" s="2">
        <v>7.4129100000000001</v>
      </c>
      <c r="BX29" s="2">
        <v>3535.3890000000001</v>
      </c>
      <c r="BY29" s="3">
        <v>5.2778130000000001</v>
      </c>
      <c r="BZ29" s="3">
        <v>0.14928520000000001</v>
      </c>
      <c r="CA29" s="2">
        <v>1.02783</v>
      </c>
      <c r="CB29" s="3">
        <v>0.14928520000000001</v>
      </c>
      <c r="CC29" s="3">
        <v>1.3841859999999999</v>
      </c>
      <c r="CD29" s="3">
        <v>1.421411</v>
      </c>
      <c r="CE29" s="2">
        <v>2.6892779999999998</v>
      </c>
      <c r="CF29" s="3">
        <v>6650.348</v>
      </c>
      <c r="CG29" s="3">
        <v>6609.0659999999998</v>
      </c>
      <c r="CH29" s="2">
        <v>-0.62074660000000004</v>
      </c>
      <c r="CI29" s="3">
        <v>12.65268</v>
      </c>
      <c r="CJ29" s="2">
        <v>3.326333</v>
      </c>
      <c r="CK29" s="3">
        <v>11816.85</v>
      </c>
      <c r="CL29" s="3">
        <v>11864.33</v>
      </c>
      <c r="CM29" s="2">
        <v>0.40172340000000001</v>
      </c>
      <c r="CN29" s="3">
        <v>10.158759999999999</v>
      </c>
      <c r="CO29" s="3">
        <v>10.27286</v>
      </c>
      <c r="CP29" s="3">
        <v>10.18815</v>
      </c>
      <c r="CQ29" s="2">
        <v>1.4691110000000001</v>
      </c>
      <c r="CR29" s="2">
        <v>0.3420472</v>
      </c>
      <c r="CS29" s="2">
        <v>1.1763220000000001</v>
      </c>
      <c r="CT29" s="2">
        <v>1.1232260000000001</v>
      </c>
      <c r="CU29" s="2">
        <v>58.91404</v>
      </c>
      <c r="CV29" s="3">
        <v>0.16166169999999999</v>
      </c>
      <c r="CW29" s="2">
        <v>4.0645610000000003</v>
      </c>
      <c r="CX29" s="2">
        <v>-0.60292080000000003</v>
      </c>
      <c r="CY29" s="2">
        <v>3.8078580000000001E-2</v>
      </c>
      <c r="CZ29" s="2">
        <v>24.18947</v>
      </c>
    </row>
    <row r="30" spans="1:104" ht="15" customHeight="1" x14ac:dyDescent="0.2">
      <c r="A30" s="1">
        <f t="shared" si="0"/>
        <v>24</v>
      </c>
      <c r="B30" s="1" t="s">
        <v>84</v>
      </c>
      <c r="C30" s="1" t="s">
        <v>83</v>
      </c>
      <c r="D30" s="1" t="s">
        <v>40</v>
      </c>
      <c r="E30" s="1" t="s">
        <v>60</v>
      </c>
      <c r="F30" s="1" t="s">
        <v>61</v>
      </c>
      <c r="G30" s="2">
        <v>107660.6</v>
      </c>
      <c r="H30" s="2">
        <v>74.042699999999996</v>
      </c>
      <c r="I30" s="2">
        <v>79714.8</v>
      </c>
      <c r="J30" s="3">
        <v>136.19999999999999</v>
      </c>
      <c r="K30" s="3">
        <v>0</v>
      </c>
      <c r="L30" s="2">
        <v>1.3215859999999999</v>
      </c>
      <c r="M30" s="2">
        <v>1.468429</v>
      </c>
      <c r="N30" s="2">
        <v>1.88758</v>
      </c>
      <c r="O30" s="2">
        <v>2.3861970000000001</v>
      </c>
      <c r="P30" s="2">
        <v>25.22222</v>
      </c>
      <c r="Q30" s="2">
        <v>23.94885</v>
      </c>
      <c r="R30" s="2">
        <v>19.912279999999999</v>
      </c>
      <c r="S30" s="2">
        <v>15.763809999999999</v>
      </c>
      <c r="T30" s="2">
        <v>9.3582070000000002</v>
      </c>
      <c r="U30" s="2">
        <v>11.096869999999999</v>
      </c>
      <c r="V30" s="2">
        <v>9.2829339999999991</v>
      </c>
      <c r="W30" s="2">
        <v>7.389996</v>
      </c>
      <c r="X30" s="2">
        <v>8.278829</v>
      </c>
      <c r="Y30" s="2">
        <v>6.7406819999999996</v>
      </c>
      <c r="Z30" s="2">
        <v>5.4306219999999996</v>
      </c>
      <c r="AA30" s="2">
        <v>4.3840110000000001</v>
      </c>
      <c r="AB30" s="2">
        <v>16.407800000000002</v>
      </c>
      <c r="AC30" s="2">
        <v>18.000060000000001</v>
      </c>
      <c r="AD30" s="2">
        <v>13.497820000000001</v>
      </c>
      <c r="AE30" s="2">
        <v>11.014200000000001</v>
      </c>
      <c r="AF30" s="2">
        <v>3.2400069999999999</v>
      </c>
      <c r="AG30" s="2">
        <v>5.446186</v>
      </c>
      <c r="AH30" s="2">
        <v>7.1864800000000004</v>
      </c>
      <c r="AI30" s="2">
        <v>2.905735</v>
      </c>
      <c r="AJ30" s="2">
        <v>4.7560190000000002</v>
      </c>
      <c r="AK30" s="2">
        <v>6.025385</v>
      </c>
      <c r="AL30" s="3">
        <v>1.0263420000000001</v>
      </c>
      <c r="AM30" s="3">
        <v>0.84148219999999996</v>
      </c>
      <c r="AN30" s="2">
        <v>14.197710000000001</v>
      </c>
      <c r="AO30" s="2">
        <v>13.597770000000001</v>
      </c>
      <c r="AP30" s="2">
        <v>14.16057</v>
      </c>
      <c r="AQ30" s="2">
        <v>15.024789999999999</v>
      </c>
      <c r="AR30" s="2">
        <v>-1.130409</v>
      </c>
      <c r="AS30" s="2">
        <v>-1.276573</v>
      </c>
      <c r="AT30" s="2">
        <v>-1.347089</v>
      </c>
      <c r="AU30" s="2">
        <v>-1.424056</v>
      </c>
      <c r="AV30" s="1" t="s">
        <v>6</v>
      </c>
      <c r="AW30" s="3">
        <v>1.36</v>
      </c>
      <c r="AX30" s="3">
        <v>156.62039999999999</v>
      </c>
      <c r="AY30" s="2">
        <v>14.99296</v>
      </c>
      <c r="AZ30" s="2">
        <v>28.146159999999998</v>
      </c>
      <c r="BA30" s="2">
        <v>23.733619999999998</v>
      </c>
      <c r="BB30" s="2">
        <v>24.725269999999998</v>
      </c>
      <c r="BC30" s="2">
        <v>22.680599999999998</v>
      </c>
      <c r="BD30" s="3">
        <v>107.04</v>
      </c>
      <c r="BE30" s="2">
        <v>27.242149999999999</v>
      </c>
      <c r="BF30" s="3">
        <v>138.76</v>
      </c>
      <c r="BG30" s="2">
        <v>-1.844913</v>
      </c>
      <c r="BH30" s="2">
        <v>33.209879999999998</v>
      </c>
      <c r="BI30" s="2">
        <v>36.052549999999997</v>
      </c>
      <c r="BJ30" s="2">
        <v>36.195329999999998</v>
      </c>
      <c r="BK30" s="2">
        <v>36.563189999999999</v>
      </c>
      <c r="BL30" s="2">
        <v>22</v>
      </c>
      <c r="BM30" s="2">
        <v>20</v>
      </c>
      <c r="BN30" s="4">
        <v>25</v>
      </c>
      <c r="BO30" s="4">
        <v>1</v>
      </c>
      <c r="BP30" s="4">
        <v>0</v>
      </c>
      <c r="BQ30" s="4">
        <v>23</v>
      </c>
      <c r="BR30" s="2">
        <v>4.1666670000000003</v>
      </c>
      <c r="BS30" s="4">
        <v>20</v>
      </c>
      <c r="BT30" s="4">
        <v>2</v>
      </c>
      <c r="BU30" s="4">
        <v>25</v>
      </c>
      <c r="BV30" s="2">
        <v>80</v>
      </c>
      <c r="BW30" s="2">
        <v>9.9675799999999999</v>
      </c>
      <c r="BX30" s="2">
        <v>790.45950000000005</v>
      </c>
      <c r="BY30" s="3">
        <v>0.97292339999999999</v>
      </c>
      <c r="BZ30" s="3">
        <v>0.12308330000000001</v>
      </c>
      <c r="CA30" s="2">
        <v>1.4680200000000001</v>
      </c>
      <c r="CB30" s="3">
        <v>0.12308330000000001</v>
      </c>
      <c r="CC30" s="3">
        <v>5.6125930000000004</v>
      </c>
      <c r="CD30" s="3">
        <v>5.591405</v>
      </c>
      <c r="CE30" s="2">
        <v>-0.37750600000000001</v>
      </c>
      <c r="CF30" s="3">
        <v>6087.2179999999998</v>
      </c>
      <c r="CG30" s="3">
        <v>5954.74</v>
      </c>
      <c r="CH30" s="2">
        <v>-2.1763210000000002</v>
      </c>
      <c r="CI30" s="3">
        <v>147.619</v>
      </c>
      <c r="CJ30" s="2">
        <v>6.0976980000000003</v>
      </c>
      <c r="CK30" s="3">
        <v>64174.69</v>
      </c>
      <c r="CL30" s="3">
        <v>64219</v>
      </c>
      <c r="CM30" s="2">
        <v>6.9034100000000001E-2</v>
      </c>
      <c r="CN30" s="3">
        <v>127.7332</v>
      </c>
      <c r="CO30" s="3">
        <v>127.67570000000001</v>
      </c>
      <c r="CP30" s="3">
        <v>130.8092</v>
      </c>
      <c r="CQ30" s="2">
        <v>6.6284660000000004</v>
      </c>
      <c r="CR30" s="2">
        <v>6.6765189999999999</v>
      </c>
      <c r="CS30" s="2">
        <v>4.1210889999999996</v>
      </c>
      <c r="CT30" s="2">
        <v>-4.5049190000000003E-2</v>
      </c>
      <c r="CU30" s="2">
        <v>115.35169999999999</v>
      </c>
      <c r="CV30" s="3">
        <v>0.1071438</v>
      </c>
      <c r="CW30" s="2">
        <v>-13.567069999999999</v>
      </c>
      <c r="CX30" s="2">
        <v>-1.4947090000000001</v>
      </c>
      <c r="CY30" s="2">
        <v>-14.231450000000001</v>
      </c>
      <c r="CZ30" s="2">
        <v>24.565660000000001</v>
      </c>
    </row>
    <row r="31" spans="1:104" ht="15" customHeight="1" x14ac:dyDescent="0.2">
      <c r="A31" s="1">
        <f t="shared" si="0"/>
        <v>25</v>
      </c>
      <c r="B31" s="1" t="s">
        <v>86</v>
      </c>
      <c r="C31" s="1" t="s">
        <v>85</v>
      </c>
      <c r="D31" s="1" t="s">
        <v>27</v>
      </c>
      <c r="E31" s="1" t="s">
        <v>4</v>
      </c>
      <c r="F31" s="1" t="s">
        <v>87</v>
      </c>
      <c r="G31" s="2">
        <v>33117</v>
      </c>
      <c r="H31" s="2">
        <v>96.704700000000003</v>
      </c>
      <c r="I31" s="2">
        <v>32025.7</v>
      </c>
      <c r="J31" s="3">
        <v>174.3</v>
      </c>
      <c r="K31" s="3">
        <v>0</v>
      </c>
      <c r="L31" s="2">
        <v>2.065404</v>
      </c>
      <c r="M31" s="2">
        <v>2.1801490000000001</v>
      </c>
      <c r="N31" s="2">
        <v>2.2868249999999999</v>
      </c>
      <c r="O31" s="2">
        <v>2.4096380000000002</v>
      </c>
      <c r="P31" s="2">
        <v>20.2439</v>
      </c>
      <c r="Q31" s="2">
        <v>18.488620000000001</v>
      </c>
      <c r="R31" s="2">
        <v>17.300249999999998</v>
      </c>
      <c r="S31" s="2">
        <v>16.458359999999999</v>
      </c>
      <c r="T31" s="2">
        <v>13.38058</v>
      </c>
      <c r="U31" s="2">
        <v>13.32649</v>
      </c>
      <c r="V31" s="2">
        <v>11.94683</v>
      </c>
      <c r="W31" s="2">
        <v>11.0845</v>
      </c>
      <c r="X31" s="2">
        <v>3.9977070000000001</v>
      </c>
      <c r="Y31" s="2">
        <v>3.391051</v>
      </c>
      <c r="Z31" s="2">
        <v>3.0440100000000001</v>
      </c>
      <c r="AA31" s="2">
        <v>2.7345470000000001</v>
      </c>
      <c r="AB31" s="2">
        <v>16.971630000000001</v>
      </c>
      <c r="AC31" s="2">
        <v>14.921720000000001</v>
      </c>
      <c r="AD31" s="2">
        <v>13.54345</v>
      </c>
      <c r="AE31" s="2">
        <v>13.184570000000001</v>
      </c>
      <c r="AF31" s="2">
        <v>2.1949709999999998</v>
      </c>
      <c r="AG31" s="2">
        <v>4.9292800000000003</v>
      </c>
      <c r="AH31" s="2">
        <v>3.7689370000000002</v>
      </c>
      <c r="AI31" s="2">
        <v>2.5948600000000002</v>
      </c>
      <c r="AJ31" s="2">
        <v>5.71875</v>
      </c>
      <c r="AK31" s="2">
        <v>4.2770840000000003</v>
      </c>
      <c r="AL31" s="3">
        <v>1.8524259999999999</v>
      </c>
      <c r="AM31" s="3">
        <v>1.7416240000000001</v>
      </c>
      <c r="AN31" s="2">
        <v>58.225749999999998</v>
      </c>
      <c r="AO31" s="2">
        <v>58.469259999999998</v>
      </c>
      <c r="AP31" s="2">
        <v>56.612740000000002</v>
      </c>
      <c r="AQ31" s="2">
        <v>57.373719999999999</v>
      </c>
      <c r="AR31" s="2">
        <v>1.238518</v>
      </c>
      <c r="AS31" s="2">
        <v>2.053722</v>
      </c>
      <c r="AT31" s="2">
        <v>1.649254</v>
      </c>
      <c r="AU31" s="2">
        <v>1.3169150000000001</v>
      </c>
      <c r="AV31" s="1" t="s">
        <v>88</v>
      </c>
      <c r="AW31" s="3">
        <v>1.6363639999999999</v>
      </c>
      <c r="AX31" s="3">
        <v>203</v>
      </c>
      <c r="AY31" s="2">
        <v>16.465869999999999</v>
      </c>
      <c r="AZ31" s="2">
        <v>18.341290000000001</v>
      </c>
      <c r="BA31" s="2">
        <v>9.8456659999999996</v>
      </c>
      <c r="BB31" s="2">
        <v>-0.90960260000000004</v>
      </c>
      <c r="BC31" s="2">
        <v>7.9925660000000001</v>
      </c>
      <c r="BD31" s="3">
        <v>152.6</v>
      </c>
      <c r="BE31" s="2">
        <v>14.220179999999999</v>
      </c>
      <c r="BF31" s="3">
        <v>186.35</v>
      </c>
      <c r="BG31" s="2">
        <v>-6.466329</v>
      </c>
      <c r="BH31" s="2">
        <v>41.893819999999998</v>
      </c>
      <c r="BI31" s="2">
        <v>40.114739999999998</v>
      </c>
      <c r="BJ31" s="2">
        <v>39.451509999999999</v>
      </c>
      <c r="BK31" s="2">
        <v>39.113280000000003</v>
      </c>
      <c r="BL31" s="2">
        <v>20</v>
      </c>
      <c r="BM31" s="2">
        <v>16</v>
      </c>
      <c r="BN31" s="4">
        <v>22</v>
      </c>
      <c r="BO31" s="4">
        <v>0</v>
      </c>
      <c r="BP31" s="4">
        <v>0</v>
      </c>
      <c r="BQ31" s="4">
        <v>22</v>
      </c>
      <c r="BR31" s="2">
        <v>0</v>
      </c>
      <c r="BS31" s="4">
        <v>9</v>
      </c>
      <c r="BT31" s="4">
        <v>1</v>
      </c>
      <c r="BU31" s="4">
        <v>22</v>
      </c>
      <c r="BV31" s="2">
        <v>40.909089999999999</v>
      </c>
      <c r="BW31" s="2">
        <v>5.1455500000000001</v>
      </c>
      <c r="BX31" s="2">
        <v>190</v>
      </c>
      <c r="BY31" s="3">
        <v>0.35008250000000002</v>
      </c>
      <c r="BZ31" s="3">
        <v>0.184254</v>
      </c>
      <c r="CA31" s="2">
        <v>0.43303199999999997</v>
      </c>
      <c r="CB31" s="3">
        <v>0.184254</v>
      </c>
      <c r="CC31" s="3">
        <v>9.6187860000000001</v>
      </c>
      <c r="CD31" s="3">
        <v>9.5567779999999996</v>
      </c>
      <c r="CE31" s="2">
        <v>-0.64465399999999995</v>
      </c>
      <c r="CF31" s="3">
        <v>2563.1370000000002</v>
      </c>
      <c r="CG31" s="3">
        <v>2522.835</v>
      </c>
      <c r="CH31" s="2">
        <v>-1.5723590000000001</v>
      </c>
      <c r="CI31" s="3">
        <v>194.47370000000001</v>
      </c>
      <c r="CJ31" s="2">
        <v>4.3843030000000001</v>
      </c>
      <c r="CK31" s="3">
        <v>4881.5200000000004</v>
      </c>
      <c r="CL31" s="3">
        <v>5013.8609999999999</v>
      </c>
      <c r="CM31" s="2">
        <v>2.7110699999999999</v>
      </c>
      <c r="CN31" s="3">
        <v>167.83410000000001</v>
      </c>
      <c r="CO31" s="3">
        <v>163.1696</v>
      </c>
      <c r="CP31" s="3">
        <v>165.79230000000001</v>
      </c>
      <c r="CQ31" s="2">
        <v>3.8525580000000001</v>
      </c>
      <c r="CR31" s="2">
        <v>6.821358</v>
      </c>
      <c r="CS31" s="2">
        <v>5.1315309999999998</v>
      </c>
      <c r="CT31" s="2">
        <v>-2.7792159999999999</v>
      </c>
      <c r="CU31" s="2">
        <v>54.018970000000003</v>
      </c>
      <c r="CV31" s="3">
        <v>0.1631155</v>
      </c>
      <c r="CW31" s="2">
        <v>-2.377713</v>
      </c>
      <c r="CX31" s="2">
        <v>7.1655040000000003E-2</v>
      </c>
      <c r="CY31" s="2">
        <v>-10.92266</v>
      </c>
      <c r="CZ31" s="2">
        <v>24.595960000000002</v>
      </c>
    </row>
    <row r="32" spans="1:104" ht="15" customHeight="1" x14ac:dyDescent="0.2">
      <c r="A32" s="1">
        <f t="shared" si="0"/>
        <v>26</v>
      </c>
      <c r="B32" s="1" t="s">
        <v>90</v>
      </c>
      <c r="C32" s="1" t="s">
        <v>89</v>
      </c>
      <c r="D32" s="1" t="s">
        <v>40</v>
      </c>
      <c r="E32" s="1" t="s">
        <v>28</v>
      </c>
      <c r="F32" s="1" t="s">
        <v>91</v>
      </c>
      <c r="G32" s="2">
        <v>96591.59</v>
      </c>
      <c r="H32" s="2">
        <v>93.638499999999993</v>
      </c>
      <c r="I32" s="2">
        <v>90446.91</v>
      </c>
      <c r="J32" s="3">
        <v>168.62</v>
      </c>
      <c r="K32" s="3">
        <v>0</v>
      </c>
      <c r="L32" s="2">
        <v>1.868106</v>
      </c>
      <c r="M32" s="2">
        <v>2.0608469999999999</v>
      </c>
      <c r="N32" s="2">
        <v>2.2599629999999999</v>
      </c>
      <c r="O32" s="2">
        <v>2.4864489999999999</v>
      </c>
      <c r="P32" s="2">
        <v>23.715890000000002</v>
      </c>
      <c r="Q32" s="2">
        <v>21.26876</v>
      </c>
      <c r="R32" s="2">
        <v>19.675609999999999</v>
      </c>
      <c r="S32" s="2">
        <v>17.791429999999998</v>
      </c>
      <c r="T32" s="2">
        <v>12.192030000000001</v>
      </c>
      <c r="U32" s="2">
        <v>14.288029999999999</v>
      </c>
      <c r="V32" s="2">
        <v>13.271470000000001</v>
      </c>
      <c r="W32" s="2">
        <v>11.896380000000001</v>
      </c>
      <c r="X32" s="2">
        <v>3.702769</v>
      </c>
      <c r="Y32" s="2">
        <v>3.4708359999999998</v>
      </c>
      <c r="Z32" s="2">
        <v>3.1976300000000002</v>
      </c>
      <c r="AA32" s="2">
        <v>2.9384579999999998</v>
      </c>
      <c r="AB32" s="2">
        <v>21.43929</v>
      </c>
      <c r="AC32" s="2">
        <v>18.0518</v>
      </c>
      <c r="AD32" s="2">
        <v>15.86449</v>
      </c>
      <c r="AE32" s="2">
        <v>14.333209999999999</v>
      </c>
      <c r="AF32" s="2">
        <v>3.7232050000000001</v>
      </c>
      <c r="AG32" s="2">
        <v>4.3736139999999999</v>
      </c>
      <c r="AH32" s="2">
        <v>4.9840020000000003</v>
      </c>
      <c r="AI32" s="2">
        <v>4.082211</v>
      </c>
      <c r="AJ32" s="2">
        <v>4.7071959999999997</v>
      </c>
      <c r="AK32" s="2">
        <v>5.2538400000000003</v>
      </c>
      <c r="AL32" s="3">
        <v>2.710947</v>
      </c>
      <c r="AM32" s="3">
        <v>2.4850430000000001</v>
      </c>
      <c r="AN32" s="2">
        <v>19.511209999999998</v>
      </c>
      <c r="AO32" s="2">
        <v>20.595040000000001</v>
      </c>
      <c r="AP32" s="2">
        <v>20.769290000000002</v>
      </c>
      <c r="AQ32" s="2">
        <v>21.323509999999999</v>
      </c>
      <c r="AR32" s="2">
        <v>0.99652830000000003</v>
      </c>
      <c r="AS32" s="2">
        <v>1.2565470000000001</v>
      </c>
      <c r="AT32" s="2">
        <v>0.9404998</v>
      </c>
      <c r="AU32" s="2">
        <v>0.61100010000000005</v>
      </c>
      <c r="AV32" s="1" t="s">
        <v>35</v>
      </c>
      <c r="AW32" s="3">
        <v>1.5238100000000001</v>
      </c>
      <c r="AX32" s="3">
        <v>180</v>
      </c>
      <c r="AY32" s="2">
        <v>6.7489030000000003</v>
      </c>
      <c r="AZ32" s="2">
        <v>16.318940000000001</v>
      </c>
      <c r="BA32" s="2">
        <v>9.9898469999999993</v>
      </c>
      <c r="BB32" s="2">
        <v>21.37921</v>
      </c>
      <c r="BC32" s="2">
        <v>28.993259999999999</v>
      </c>
      <c r="BD32" s="3">
        <v>129.56</v>
      </c>
      <c r="BE32" s="2">
        <v>30.148199999999999</v>
      </c>
      <c r="BF32" s="3">
        <v>169.16</v>
      </c>
      <c r="BG32" s="2">
        <v>-0.31923059999999998</v>
      </c>
      <c r="BH32" s="2">
        <v>43.785690000000002</v>
      </c>
      <c r="BI32" s="2">
        <v>45.699489999999997</v>
      </c>
      <c r="BJ32" s="2">
        <v>45.305190000000003</v>
      </c>
      <c r="BK32" s="2">
        <v>44.451509999999999</v>
      </c>
      <c r="BL32" s="2">
        <v>19</v>
      </c>
      <c r="BM32" s="2">
        <v>19</v>
      </c>
      <c r="BN32" s="4">
        <v>21</v>
      </c>
      <c r="BO32" s="4">
        <v>0</v>
      </c>
      <c r="BP32" s="4">
        <v>0</v>
      </c>
      <c r="BQ32" s="4">
        <v>20</v>
      </c>
      <c r="BR32" s="2">
        <v>0</v>
      </c>
      <c r="BS32" s="4">
        <v>13</v>
      </c>
      <c r="BT32" s="4">
        <v>2</v>
      </c>
      <c r="BU32" s="4">
        <v>21</v>
      </c>
      <c r="BV32" s="2">
        <v>61.904760000000003</v>
      </c>
      <c r="BW32" s="2">
        <v>7.5216200000000004</v>
      </c>
      <c r="BX32" s="2">
        <v>572.83590000000004</v>
      </c>
      <c r="BY32" s="3">
        <v>0.79961130000000002</v>
      </c>
      <c r="BZ32" s="3">
        <v>0.1395882</v>
      </c>
      <c r="CA32" s="2">
        <v>1.0142199999999999</v>
      </c>
      <c r="CB32" s="3">
        <v>0.1395882</v>
      </c>
      <c r="CC32" s="3">
        <v>7.8508800000000001</v>
      </c>
      <c r="CD32" s="3">
        <v>7.8108079999999998</v>
      </c>
      <c r="CE32" s="2">
        <v>-0.51040649999999999</v>
      </c>
      <c r="CF32" s="3">
        <v>6088.7389999999996</v>
      </c>
      <c r="CG32" s="3">
        <v>6187.2209999999995</v>
      </c>
      <c r="CH32" s="2">
        <v>1.6174550000000001</v>
      </c>
      <c r="CI32" s="3">
        <v>174.19049999999999</v>
      </c>
      <c r="CJ32" s="2">
        <v>3.3351540000000002</v>
      </c>
      <c r="CK32" s="3">
        <v>36053.919999999998</v>
      </c>
      <c r="CL32" s="3">
        <v>35991.440000000002</v>
      </c>
      <c r="CM32" s="2">
        <v>-0.17329449999999999</v>
      </c>
      <c r="CN32" s="3">
        <v>156.50110000000001</v>
      </c>
      <c r="CO32" s="3">
        <v>154.80590000000001</v>
      </c>
      <c r="CP32" s="3">
        <v>157.70160000000001</v>
      </c>
      <c r="CQ32" s="2">
        <v>7.7436449999999999</v>
      </c>
      <c r="CR32" s="2">
        <v>8.9234939999999998</v>
      </c>
      <c r="CS32" s="2">
        <v>6.9234850000000003</v>
      </c>
      <c r="CT32" s="2">
        <v>-1.0832010000000001</v>
      </c>
      <c r="CU32" s="2">
        <v>129.0421</v>
      </c>
      <c r="CV32" s="3">
        <v>0.13359550000000001</v>
      </c>
      <c r="CW32" s="2" t="e">
        <v>#N/A</v>
      </c>
      <c r="CX32" s="2">
        <v>-1.203619</v>
      </c>
      <c r="CY32" s="2" t="e">
        <v>#N/A</v>
      </c>
      <c r="CZ32" s="2">
        <v>24.757580000000001</v>
      </c>
    </row>
    <row r="33" spans="1:104" ht="15" customHeight="1" x14ac:dyDescent="0.2">
      <c r="A33" s="1">
        <f t="shared" si="0"/>
        <v>27</v>
      </c>
      <c r="B33" s="1" t="s">
        <v>93</v>
      </c>
      <c r="C33" s="1" t="s">
        <v>92</v>
      </c>
      <c r="D33" s="1" t="s">
        <v>27</v>
      </c>
      <c r="E33" s="1" t="s">
        <v>94</v>
      </c>
      <c r="F33" s="1" t="s">
        <v>95</v>
      </c>
      <c r="G33" s="2">
        <v>34585.199999999997</v>
      </c>
      <c r="H33" s="2">
        <v>88.214100000000002</v>
      </c>
      <c r="I33" s="2">
        <v>30509.02</v>
      </c>
      <c r="J33" s="3">
        <v>192.14</v>
      </c>
      <c r="K33" s="3">
        <v>0</v>
      </c>
      <c r="L33" s="2">
        <v>0.36431770000000002</v>
      </c>
      <c r="M33" s="2">
        <v>0.36431770000000002</v>
      </c>
      <c r="N33" s="2">
        <v>0.86915790000000004</v>
      </c>
      <c r="O33" s="2">
        <v>1.6420319999999999</v>
      </c>
      <c r="P33" s="2">
        <v>153.71199999999999</v>
      </c>
      <c r="Q33" s="2" t="e">
        <v>#N/A</v>
      </c>
      <c r="R33" s="2">
        <v>44.220950000000002</v>
      </c>
      <c r="S33" s="2">
        <v>24.171150000000001</v>
      </c>
      <c r="T33" s="2">
        <v>13.32179</v>
      </c>
      <c r="U33" s="2">
        <v>25.956939999999999</v>
      </c>
      <c r="V33" s="2">
        <v>14.938800000000001</v>
      </c>
      <c r="W33" s="2">
        <v>10.9588</v>
      </c>
      <c r="X33" s="2">
        <v>7.0535969999999999</v>
      </c>
      <c r="Y33" s="2">
        <v>7.0072939999999999</v>
      </c>
      <c r="Z33" s="2">
        <v>6.038341</v>
      </c>
      <c r="AA33" s="2">
        <v>5.0763540000000003</v>
      </c>
      <c r="AB33" s="2" t="e">
        <v>#N/A</v>
      </c>
      <c r="AC33" s="2">
        <v>14.905530000000001</v>
      </c>
      <c r="AD33" s="2">
        <v>15.129200000000001</v>
      </c>
      <c r="AE33" s="2">
        <v>12.632099999999999</v>
      </c>
      <c r="AF33" s="2">
        <v>3.4665430000000002</v>
      </c>
      <c r="AG33" s="2">
        <v>2.9766339999999998</v>
      </c>
      <c r="AH33" s="2">
        <v>4.1765499999999998</v>
      </c>
      <c r="AI33" s="2">
        <v>3.685851</v>
      </c>
      <c r="AJ33" s="2">
        <v>3.1550609999999999</v>
      </c>
      <c r="AK33" s="2">
        <v>4.388388</v>
      </c>
      <c r="AL33" s="3" t="e">
        <v>#N/A</v>
      </c>
      <c r="AM33" s="3">
        <v>0.56411820000000001</v>
      </c>
      <c r="AN33" s="2">
        <v>8.5424900000000008</v>
      </c>
      <c r="AO33" s="2">
        <v>6.544556</v>
      </c>
      <c r="AP33" s="2">
        <v>10.472519999999999</v>
      </c>
      <c r="AQ33" s="2">
        <v>13.005739999999999</v>
      </c>
      <c r="AR33" s="2">
        <v>1.3910560000000001</v>
      </c>
      <c r="AS33" s="2">
        <v>1.5444340000000001</v>
      </c>
      <c r="AT33" s="2">
        <v>0.8448312</v>
      </c>
      <c r="AU33" s="2">
        <v>0.52900820000000004</v>
      </c>
      <c r="AV33" s="1" t="s">
        <v>88</v>
      </c>
      <c r="AW33" s="3">
        <v>1.78125</v>
      </c>
      <c r="AX33" s="3">
        <v>185.5</v>
      </c>
      <c r="AY33" s="2">
        <v>-3.4558119999999999</v>
      </c>
      <c r="AZ33" s="2">
        <v>-1.0229760000000001</v>
      </c>
      <c r="BA33" s="2">
        <v>80.599999999999994</v>
      </c>
      <c r="BB33" s="2">
        <v>57.156869999999998</v>
      </c>
      <c r="BC33" s="2">
        <v>50.745330000000003</v>
      </c>
      <c r="BD33" s="3">
        <v>114.6</v>
      </c>
      <c r="BE33" s="2">
        <v>67.661429999999996</v>
      </c>
      <c r="BF33" s="3">
        <v>194.66</v>
      </c>
      <c r="BG33" s="2">
        <v>-1.294565</v>
      </c>
      <c r="BH33" s="2">
        <v>63.858759999999997</v>
      </c>
      <c r="BI33" s="2" t="e">
        <v>#N/A</v>
      </c>
      <c r="BJ33" s="2">
        <v>37.558610000000002</v>
      </c>
      <c r="BK33" s="2">
        <v>37.52496</v>
      </c>
      <c r="BL33" s="2">
        <v>28</v>
      </c>
      <c r="BM33" s="2">
        <v>27</v>
      </c>
      <c r="BN33" s="4">
        <v>32</v>
      </c>
      <c r="BO33" s="4">
        <v>0</v>
      </c>
      <c r="BP33" s="4">
        <v>0</v>
      </c>
      <c r="BQ33" s="4">
        <v>31</v>
      </c>
      <c r="BR33" s="2">
        <v>0</v>
      </c>
      <c r="BS33" s="4">
        <v>12</v>
      </c>
      <c r="BT33" s="4">
        <v>5</v>
      </c>
      <c r="BU33" s="4">
        <v>32</v>
      </c>
      <c r="BV33" s="2">
        <v>37.5</v>
      </c>
      <c r="BW33" s="2">
        <v>10.164099999999999</v>
      </c>
      <c r="BX33" s="2">
        <v>180</v>
      </c>
      <c r="BY33" s="3">
        <v>0.52632869999999998</v>
      </c>
      <c r="BZ33" s="3">
        <v>0.29240490000000002</v>
      </c>
      <c r="CA33" s="2">
        <v>0.91426300000000005</v>
      </c>
      <c r="CB33" s="3">
        <v>0.29240490000000002</v>
      </c>
      <c r="CC33" s="3">
        <v>-0.59258180000000005</v>
      </c>
      <c r="CD33" s="3">
        <v>-0.25622309999999998</v>
      </c>
      <c r="CE33" s="2">
        <v>-56.761560000000003</v>
      </c>
      <c r="CF33" s="3">
        <v>90.649959999999993</v>
      </c>
      <c r="CG33" s="3">
        <v>282.98540000000003</v>
      </c>
      <c r="CH33" s="2">
        <v>212.1738</v>
      </c>
      <c r="CI33" s="3">
        <v>185.6626</v>
      </c>
      <c r="CJ33" s="2">
        <v>-8.7553259999999994E-2</v>
      </c>
      <c r="CK33" s="3">
        <v>21639.4</v>
      </c>
      <c r="CL33" s="3">
        <v>21624.51</v>
      </c>
      <c r="CM33" s="2">
        <v>-6.8813559999999996E-2</v>
      </c>
      <c r="CN33" s="3">
        <v>167.1225</v>
      </c>
      <c r="CO33" s="3">
        <v>171.54159999999999</v>
      </c>
      <c r="CP33" s="3">
        <v>176.8785</v>
      </c>
      <c r="CQ33" s="2">
        <v>14.969580000000001</v>
      </c>
      <c r="CR33" s="2">
        <v>12.00784</v>
      </c>
      <c r="CS33" s="2">
        <v>8.6282490000000003</v>
      </c>
      <c r="CT33" s="2">
        <v>2.6442290000000002</v>
      </c>
      <c r="CU33" s="2">
        <v>88.36112</v>
      </c>
      <c r="CV33" s="3">
        <v>0.2554882</v>
      </c>
      <c r="CW33" s="2">
        <v>28.858149999999998</v>
      </c>
      <c r="CX33" s="2">
        <v>1.4758739999999999</v>
      </c>
      <c r="CY33" s="2">
        <v>-2.8750310000000001E-2</v>
      </c>
      <c r="CZ33" s="2">
        <v>24.9697</v>
      </c>
    </row>
    <row r="34" spans="1:104" ht="15" customHeight="1" x14ac:dyDescent="0.2">
      <c r="A34" s="1">
        <f t="shared" si="0"/>
        <v>28</v>
      </c>
      <c r="B34" s="1" t="s">
        <v>97</v>
      </c>
      <c r="C34" s="1" t="s">
        <v>96</v>
      </c>
      <c r="D34" s="1" t="s">
        <v>32</v>
      </c>
      <c r="E34" s="1" t="s">
        <v>98</v>
      </c>
      <c r="F34" s="1" t="s">
        <v>99</v>
      </c>
      <c r="G34" s="2">
        <v>80850.44</v>
      </c>
      <c r="H34" s="2">
        <v>54.635300000000001</v>
      </c>
      <c r="I34" s="2">
        <v>44172.88</v>
      </c>
      <c r="J34" s="3">
        <v>30.4</v>
      </c>
      <c r="K34" s="3">
        <v>0</v>
      </c>
      <c r="L34" s="2">
        <v>0.24543619999999999</v>
      </c>
      <c r="M34" s="2">
        <v>0.2499799</v>
      </c>
      <c r="N34" s="2">
        <v>0.23491809999999999</v>
      </c>
      <c r="O34" s="2">
        <v>0.11583540000000001</v>
      </c>
      <c r="P34" s="2">
        <v>39.190489999999997</v>
      </c>
      <c r="Q34" s="2">
        <v>17.91001</v>
      </c>
      <c r="R34" s="2">
        <v>14.02652</v>
      </c>
      <c r="S34" s="2">
        <v>11.51717</v>
      </c>
      <c r="T34" s="2" t="e">
        <v>#N/A</v>
      </c>
      <c r="U34" s="2" t="e">
        <v>#N/A</v>
      </c>
      <c r="V34" s="2">
        <v>547.34460000000001</v>
      </c>
      <c r="W34" s="2">
        <v>220.53479999999999</v>
      </c>
      <c r="X34" s="2">
        <v>1.892798</v>
      </c>
      <c r="Y34" s="2">
        <v>1.6519539999999999</v>
      </c>
      <c r="Z34" s="2">
        <v>1.4807779999999999</v>
      </c>
      <c r="AA34" s="2">
        <v>1.326778</v>
      </c>
      <c r="AB34" s="2" t="e">
        <v>#N/A</v>
      </c>
      <c r="AC34" s="2">
        <v>97.907330000000002</v>
      </c>
      <c r="AD34" s="2">
        <v>106.5592</v>
      </c>
      <c r="AE34" s="2">
        <v>84.809520000000006</v>
      </c>
      <c r="AF34" s="2">
        <v>0.4454729</v>
      </c>
      <c r="AG34" s="2">
        <v>0.39741310000000002</v>
      </c>
      <c r="AH34" s="2">
        <v>0.85119710000000004</v>
      </c>
      <c r="AI34" s="2">
        <v>0.44490550000000001</v>
      </c>
      <c r="AJ34" s="2">
        <v>0.39548909999999998</v>
      </c>
      <c r="AK34" s="2">
        <v>0.84636279999999997</v>
      </c>
      <c r="AL34" s="3" t="e">
        <v>#N/A</v>
      </c>
      <c r="AM34" s="3" t="e">
        <v>#N/A</v>
      </c>
      <c r="AN34" s="2">
        <v>-8.2063880000000005</v>
      </c>
      <c r="AO34" s="2">
        <v>-2.2480419999999999</v>
      </c>
      <c r="AP34" s="2">
        <v>2.4666679999999999</v>
      </c>
      <c r="AQ34" s="2">
        <v>5.4404050000000002</v>
      </c>
      <c r="AR34" s="2">
        <v>4.1916170000000003E-2</v>
      </c>
      <c r="AS34" s="2">
        <v>0.85107540000000004</v>
      </c>
      <c r="AT34" s="2">
        <v>-2.66153</v>
      </c>
      <c r="AU34" s="2">
        <v>-1.2589980000000001</v>
      </c>
      <c r="AV34" s="1" t="s">
        <v>6</v>
      </c>
      <c r="AW34" s="3">
        <v>1.2</v>
      </c>
      <c r="AX34" s="3">
        <v>42.017850000000003</v>
      </c>
      <c r="AY34" s="2">
        <v>38.216610000000003</v>
      </c>
      <c r="AZ34" s="2">
        <v>9.2236370000000001</v>
      </c>
      <c r="BA34" s="2" t="e">
        <v>#N/A</v>
      </c>
      <c r="BB34" s="2">
        <v>6.0326579999999996</v>
      </c>
      <c r="BC34" s="2">
        <v>2.8080820000000002</v>
      </c>
      <c r="BD34" s="3">
        <v>25.49</v>
      </c>
      <c r="BE34" s="2">
        <v>19.262460000000001</v>
      </c>
      <c r="BF34" s="3">
        <v>36.414960000000001</v>
      </c>
      <c r="BG34" s="2">
        <v>-16.51782</v>
      </c>
      <c r="BH34" s="2">
        <v>6.4989140000000001</v>
      </c>
      <c r="BI34" s="2">
        <v>3.65645</v>
      </c>
      <c r="BJ34" s="2">
        <v>2.8022830000000001</v>
      </c>
      <c r="BK34" s="2">
        <v>5.3547390000000004</v>
      </c>
      <c r="BL34" s="2">
        <v>16</v>
      </c>
      <c r="BM34" s="2">
        <v>13</v>
      </c>
      <c r="BN34" s="4">
        <v>20</v>
      </c>
      <c r="BO34" s="4">
        <v>0</v>
      </c>
      <c r="BP34" s="4">
        <v>0</v>
      </c>
      <c r="BQ34" s="4">
        <v>20</v>
      </c>
      <c r="BR34" s="2">
        <v>0</v>
      </c>
      <c r="BS34" s="4">
        <v>17</v>
      </c>
      <c r="BT34" s="4">
        <v>0</v>
      </c>
      <c r="BU34" s="4">
        <v>20</v>
      </c>
      <c r="BV34" s="2">
        <v>85</v>
      </c>
      <c r="BW34" s="2">
        <v>12.161199999999999</v>
      </c>
      <c r="BX34" s="2">
        <v>2659.5540000000001</v>
      </c>
      <c r="BY34" s="3">
        <v>3.7728069999999998</v>
      </c>
      <c r="BZ34" s="3">
        <v>0.1418587</v>
      </c>
      <c r="CA34" s="2">
        <v>0.73621800000000004</v>
      </c>
      <c r="CB34" s="3">
        <v>0.1418587</v>
      </c>
      <c r="CC34" s="3">
        <v>1.3890009999999999</v>
      </c>
      <c r="CD34" s="3">
        <v>1.820624</v>
      </c>
      <c r="CE34" s="2">
        <v>31.074369999999998</v>
      </c>
      <c r="CF34" s="3">
        <v>-453.50599999999997</v>
      </c>
      <c r="CG34" s="3">
        <v>-344.96210000000002</v>
      </c>
      <c r="CH34" s="2">
        <v>-23.934380000000001</v>
      </c>
      <c r="CI34" s="3">
        <v>41.498640000000002</v>
      </c>
      <c r="CJ34" s="2">
        <v>1.2511490000000001</v>
      </c>
      <c r="CK34" s="3">
        <v>5837.6189999999997</v>
      </c>
      <c r="CL34" s="3">
        <v>5719.4269999999997</v>
      </c>
      <c r="CM34" s="2">
        <v>-2.0246569999999999</v>
      </c>
      <c r="CN34" s="3">
        <v>30.027370000000001</v>
      </c>
      <c r="CO34" s="3">
        <v>28.238040000000002</v>
      </c>
      <c r="CP34" s="3">
        <v>28.977499999999999</v>
      </c>
      <c r="CQ34" s="2">
        <v>1.240969</v>
      </c>
      <c r="CR34" s="2">
        <v>7.6562049999999999</v>
      </c>
      <c r="CS34" s="2">
        <v>4.9089790000000004</v>
      </c>
      <c r="CT34" s="2">
        <v>-5.9589980000000002</v>
      </c>
      <c r="CU34" s="2">
        <v>96.166160000000005</v>
      </c>
      <c r="CV34" s="3">
        <v>0.1189433</v>
      </c>
      <c r="CW34" s="2" t="e">
        <v>#N/A</v>
      </c>
      <c r="CX34" s="2" t="e">
        <v>#N/A</v>
      </c>
      <c r="CY34" s="2" t="e">
        <v>#N/A</v>
      </c>
      <c r="CZ34" s="2">
        <v>25.292929999999998</v>
      </c>
    </row>
    <row r="35" spans="1:104" ht="15" customHeight="1" x14ac:dyDescent="0.2">
      <c r="A35" s="1">
        <f t="shared" si="0"/>
        <v>29</v>
      </c>
      <c r="B35" s="1" t="s">
        <v>101</v>
      </c>
      <c r="C35" s="1" t="s">
        <v>100</v>
      </c>
      <c r="D35" s="1" t="s">
        <v>40</v>
      </c>
      <c r="E35" s="1" t="s">
        <v>4</v>
      </c>
      <c r="F35" s="1" t="s">
        <v>64</v>
      </c>
      <c r="G35" s="2">
        <v>64890.3</v>
      </c>
      <c r="H35" s="2">
        <v>91.747</v>
      </c>
      <c r="I35" s="2">
        <v>59534.9</v>
      </c>
      <c r="J35" s="3">
        <v>28.594999999999999</v>
      </c>
      <c r="K35" s="3">
        <v>0</v>
      </c>
      <c r="L35" s="2">
        <v>5.9450960000000004</v>
      </c>
      <c r="M35" s="2">
        <v>6.5396049999999999</v>
      </c>
      <c r="N35" s="2">
        <v>7.0633670000000004</v>
      </c>
      <c r="O35" s="2">
        <v>7.553769</v>
      </c>
      <c r="P35" s="2">
        <v>9.2840910000000001</v>
      </c>
      <c r="Q35" s="2">
        <v>8.4600580000000001</v>
      </c>
      <c r="R35" s="2">
        <v>7.9348679999999998</v>
      </c>
      <c r="S35" s="2">
        <v>7.451784</v>
      </c>
      <c r="T35" s="2">
        <v>8.7060910000000007</v>
      </c>
      <c r="U35" s="2">
        <v>7.8758619999999997</v>
      </c>
      <c r="V35" s="2">
        <v>7.4300750000000004</v>
      </c>
      <c r="W35" s="2">
        <v>7.2457140000000004</v>
      </c>
      <c r="X35" s="2">
        <v>1.448582</v>
      </c>
      <c r="Y35" s="2">
        <v>1.3669500000000001</v>
      </c>
      <c r="Z35" s="2">
        <v>1.273501</v>
      </c>
      <c r="AA35" s="2">
        <v>1.1999580000000001</v>
      </c>
      <c r="AB35" s="2">
        <v>10.58872</v>
      </c>
      <c r="AC35" s="2">
        <v>9.4823559999999993</v>
      </c>
      <c r="AD35" s="2">
        <v>8.3930939999999996</v>
      </c>
      <c r="AE35" s="2" t="e">
        <v>#N/A</v>
      </c>
      <c r="AF35" s="2">
        <v>4.9364140000000001</v>
      </c>
      <c r="AG35" s="2">
        <v>5.6079179999999997</v>
      </c>
      <c r="AH35" s="2">
        <v>5.9062830000000002</v>
      </c>
      <c r="AI35" s="2">
        <v>5.9386780000000003</v>
      </c>
      <c r="AJ35" s="2">
        <v>6.7465210000000004</v>
      </c>
      <c r="AK35" s="2">
        <v>7.1054659999999998</v>
      </c>
      <c r="AL35" s="3">
        <v>0.39010479999999997</v>
      </c>
      <c r="AM35" s="3">
        <v>0.36039900000000002</v>
      </c>
      <c r="AN35" s="2">
        <v>8.7420010000000001</v>
      </c>
      <c r="AO35" s="2">
        <v>9.6809809999999992</v>
      </c>
      <c r="AP35" s="2">
        <v>9.8792329999999993</v>
      </c>
      <c r="AQ35" s="2">
        <v>9.8122039999999995</v>
      </c>
      <c r="AR35" s="2">
        <v>1.8589469999999999</v>
      </c>
      <c r="AS35" s="2">
        <v>1.3292010000000001</v>
      </c>
      <c r="AT35" s="2">
        <v>1.2539659999999999</v>
      </c>
      <c r="AU35" s="2">
        <v>1.2228520000000001</v>
      </c>
      <c r="AV35" s="1" t="s">
        <v>6</v>
      </c>
      <c r="AW35" s="3">
        <v>1.25</v>
      </c>
      <c r="AX35" s="3">
        <v>34</v>
      </c>
      <c r="AY35" s="2">
        <v>18.901910000000001</v>
      </c>
      <c r="AZ35" s="2">
        <v>16.157689999999999</v>
      </c>
      <c r="BA35" s="2">
        <v>21.932300000000001</v>
      </c>
      <c r="BB35" s="2">
        <v>5.8290119999999996</v>
      </c>
      <c r="BC35" s="2">
        <v>9.748602</v>
      </c>
      <c r="BD35" s="3">
        <v>24.6</v>
      </c>
      <c r="BE35" s="2">
        <v>16.239830000000001</v>
      </c>
      <c r="BF35" s="3">
        <v>30.34</v>
      </c>
      <c r="BG35" s="2">
        <v>-5.7514849999999997</v>
      </c>
      <c r="BH35" s="2">
        <v>54.68535</v>
      </c>
      <c r="BI35" s="2">
        <v>55.64631</v>
      </c>
      <c r="BJ35" s="2">
        <v>55.804279999999999</v>
      </c>
      <c r="BK35" s="2">
        <v>55.542990000000003</v>
      </c>
      <c r="BL35" s="2">
        <v>17</v>
      </c>
      <c r="BM35" s="2">
        <v>6</v>
      </c>
      <c r="BN35" s="4">
        <v>20</v>
      </c>
      <c r="BO35" s="4">
        <v>0</v>
      </c>
      <c r="BP35" s="4">
        <v>0</v>
      </c>
      <c r="BQ35" s="4">
        <v>20</v>
      </c>
      <c r="BR35" s="2">
        <v>0</v>
      </c>
      <c r="BS35" s="4">
        <v>16</v>
      </c>
      <c r="BT35" s="4">
        <v>0</v>
      </c>
      <c r="BU35" s="4">
        <v>20</v>
      </c>
      <c r="BV35" s="2">
        <v>80</v>
      </c>
      <c r="BW35" s="2">
        <v>9.5576600000000003</v>
      </c>
      <c r="BX35" s="2">
        <v>2269.288</v>
      </c>
      <c r="BY35" s="3">
        <v>3.8719739999999998</v>
      </c>
      <c r="BZ35" s="3">
        <v>0.170625</v>
      </c>
      <c r="CA35" s="2">
        <v>1.3880999999999999</v>
      </c>
      <c r="CB35" s="3">
        <v>0.170625</v>
      </c>
      <c r="CC35" s="3">
        <v>3.3936169999999999</v>
      </c>
      <c r="CD35" s="3">
        <v>3.3421400000000001</v>
      </c>
      <c r="CE35" s="2">
        <v>-1.516867</v>
      </c>
      <c r="CF35" s="3">
        <v>8879.4830000000002</v>
      </c>
      <c r="CG35" s="3">
        <v>8598.8610000000008</v>
      </c>
      <c r="CH35" s="2">
        <v>-3.1603400000000001</v>
      </c>
      <c r="CI35" s="3">
        <v>33.691850000000002</v>
      </c>
      <c r="CJ35" s="2">
        <v>0.91460940000000002</v>
      </c>
      <c r="CK35" s="3">
        <v>65596.639999999999</v>
      </c>
      <c r="CL35" s="3">
        <v>102319.8</v>
      </c>
      <c r="CM35" s="2">
        <v>55.983220000000003</v>
      </c>
      <c r="CN35" s="3">
        <v>27.815480000000001</v>
      </c>
      <c r="CO35" s="3">
        <v>28.042940000000002</v>
      </c>
      <c r="CP35" s="3">
        <v>28.071539999999999</v>
      </c>
      <c r="CQ35" s="2">
        <v>2.8024789999999999</v>
      </c>
      <c r="CR35" s="2">
        <v>1.9686220000000001</v>
      </c>
      <c r="CS35" s="2">
        <v>1.8647549999999999</v>
      </c>
      <c r="CT35" s="2">
        <v>0.81775189999999998</v>
      </c>
      <c r="CU35" s="2">
        <v>84.388080000000002</v>
      </c>
      <c r="CV35" s="3">
        <v>0.1300473</v>
      </c>
      <c r="CW35" s="2" t="e">
        <v>#N/A</v>
      </c>
      <c r="CX35" s="2" t="e">
        <v>#N/A</v>
      </c>
      <c r="CY35" s="2" t="e">
        <v>#N/A</v>
      </c>
      <c r="CZ35" s="2">
        <v>25.565660000000001</v>
      </c>
    </row>
    <row r="36" spans="1:104" ht="15" customHeight="1" x14ac:dyDescent="0.2">
      <c r="A36" s="1">
        <f t="shared" si="0"/>
        <v>30</v>
      </c>
      <c r="B36" s="1" t="s">
        <v>103</v>
      </c>
      <c r="C36" s="1" t="s">
        <v>102</v>
      </c>
      <c r="D36" s="1" t="s">
        <v>40</v>
      </c>
      <c r="E36" s="1" t="s">
        <v>4</v>
      </c>
      <c r="F36" s="1" t="s">
        <v>5</v>
      </c>
      <c r="G36" s="2">
        <v>66289.77</v>
      </c>
      <c r="H36" s="2">
        <v>89.849199999999996</v>
      </c>
      <c r="I36" s="2">
        <v>59560.82</v>
      </c>
      <c r="J36" s="3">
        <v>57.77</v>
      </c>
      <c r="K36" s="3">
        <v>0</v>
      </c>
      <c r="L36" s="2">
        <v>6.750909</v>
      </c>
      <c r="M36" s="2">
        <v>7.7895099999999999</v>
      </c>
      <c r="N36" s="2">
        <v>8.1655650000000009</v>
      </c>
      <c r="O36" s="2">
        <v>9.122382</v>
      </c>
      <c r="P36" s="2">
        <v>7.4044970000000001</v>
      </c>
      <c r="Q36" s="2">
        <v>6.9770539999999999</v>
      </c>
      <c r="R36" s="2">
        <v>6.1232749999999996</v>
      </c>
      <c r="S36" s="2">
        <v>5.4810249999999998</v>
      </c>
      <c r="T36" s="2" t="e">
        <v>#N/A</v>
      </c>
      <c r="U36" s="2" t="e">
        <v>#N/A</v>
      </c>
      <c r="V36" s="2" t="e">
        <v>#N/A</v>
      </c>
      <c r="W36" s="2" t="e">
        <v>#N/A</v>
      </c>
      <c r="X36" s="2">
        <v>0.64862739999999997</v>
      </c>
      <c r="Y36" s="2">
        <v>0.6120989</v>
      </c>
      <c r="Z36" s="2">
        <v>0.58380730000000003</v>
      </c>
      <c r="AA36" s="2">
        <v>0.54922280000000001</v>
      </c>
      <c r="AB36" s="2" t="e">
        <v>#N/A</v>
      </c>
      <c r="AC36" s="2" t="e">
        <v>#N/A</v>
      </c>
      <c r="AD36" s="2" t="e">
        <v>#N/A</v>
      </c>
      <c r="AE36" s="2" t="e">
        <v>#N/A</v>
      </c>
      <c r="AF36" s="2" t="e">
        <v>#N/A</v>
      </c>
      <c r="AG36" s="2" t="e">
        <v>#N/A</v>
      </c>
      <c r="AH36" s="2" t="e">
        <v>#N/A</v>
      </c>
      <c r="AI36" s="2" t="e">
        <v>#N/A</v>
      </c>
      <c r="AJ36" s="2" t="e">
        <v>#N/A</v>
      </c>
      <c r="AK36" s="2" t="e">
        <v>#N/A</v>
      </c>
      <c r="AL36" s="3">
        <v>0.53223430000000005</v>
      </c>
      <c r="AM36" s="3">
        <v>0.47787039999999997</v>
      </c>
      <c r="AN36" s="2" t="e">
        <v>#N/A</v>
      </c>
      <c r="AO36" s="2" t="e">
        <v>#N/A</v>
      </c>
      <c r="AP36" s="2" t="e">
        <v>#N/A</v>
      </c>
      <c r="AQ36" s="2" t="e">
        <v>#N/A</v>
      </c>
      <c r="AR36" s="2" t="e">
        <v>#N/A</v>
      </c>
      <c r="AS36" s="2" t="e">
        <v>#N/A</v>
      </c>
      <c r="AT36" s="2" t="e">
        <v>#N/A</v>
      </c>
      <c r="AU36" s="2" t="e">
        <v>#N/A</v>
      </c>
      <c r="AV36" s="1" t="s">
        <v>6</v>
      </c>
      <c r="AW36" s="3">
        <v>1.295455</v>
      </c>
      <c r="AX36" s="3">
        <v>76</v>
      </c>
      <c r="AY36" s="2">
        <v>31.556170000000002</v>
      </c>
      <c r="AZ36" s="2">
        <v>8.773028</v>
      </c>
      <c r="BA36" s="2">
        <v>12.89902</v>
      </c>
      <c r="BB36" s="2">
        <v>8.1227780000000003</v>
      </c>
      <c r="BC36" s="2">
        <v>8.4882620000000006</v>
      </c>
      <c r="BD36" s="3">
        <v>47.02</v>
      </c>
      <c r="BE36" s="2">
        <v>22.86261</v>
      </c>
      <c r="BF36" s="3">
        <v>67.02</v>
      </c>
      <c r="BG36" s="2">
        <v>-13.80184</v>
      </c>
      <c r="BH36" s="2">
        <v>49.687840000000001</v>
      </c>
      <c r="BI36" s="2">
        <v>53.791400000000003</v>
      </c>
      <c r="BJ36" s="2">
        <v>50.520470000000003</v>
      </c>
      <c r="BK36" s="2">
        <v>50.592449999999999</v>
      </c>
      <c r="BL36" s="2">
        <v>21</v>
      </c>
      <c r="BM36" s="2">
        <v>10</v>
      </c>
      <c r="BN36" s="4">
        <v>22</v>
      </c>
      <c r="BO36" s="4">
        <v>0</v>
      </c>
      <c r="BP36" s="4">
        <v>0</v>
      </c>
      <c r="BQ36" s="4">
        <v>22</v>
      </c>
      <c r="BR36" s="2">
        <v>0</v>
      </c>
      <c r="BS36" s="4">
        <v>16</v>
      </c>
      <c r="BT36" s="4">
        <v>0</v>
      </c>
      <c r="BU36" s="4">
        <v>22</v>
      </c>
      <c r="BV36" s="2">
        <v>72.727270000000004</v>
      </c>
      <c r="BW36" s="2">
        <v>11.235099999999999</v>
      </c>
      <c r="BX36" s="2">
        <v>1147.4770000000001</v>
      </c>
      <c r="BY36" s="3">
        <v>3.0926369999999999</v>
      </c>
      <c r="BZ36" s="3">
        <v>0.26951609999999998</v>
      </c>
      <c r="CA36" s="2">
        <v>1.6469800000000001</v>
      </c>
      <c r="CB36" s="3">
        <v>0.26951609999999998</v>
      </c>
      <c r="CC36" s="3">
        <v>8.5889389999999999</v>
      </c>
      <c r="CD36" s="3">
        <v>8.4147809999999996</v>
      </c>
      <c r="CE36" s="2">
        <v>-2.0277020000000001</v>
      </c>
      <c r="CF36" s="3">
        <v>16091.09</v>
      </c>
      <c r="CG36" s="3">
        <v>16338.07</v>
      </c>
      <c r="CH36" s="2">
        <v>1.5349029999999999</v>
      </c>
      <c r="CI36" s="3">
        <v>77.239549999999994</v>
      </c>
      <c r="CJ36" s="2">
        <v>-1.6048070000000001</v>
      </c>
      <c r="CK36" s="3">
        <v>47224.23</v>
      </c>
      <c r="CL36" s="3">
        <v>46761.33</v>
      </c>
      <c r="CM36" s="2">
        <v>-0.98021630000000004</v>
      </c>
      <c r="CN36" s="3">
        <v>57.7883</v>
      </c>
      <c r="CO36" s="3">
        <v>57.387459999999997</v>
      </c>
      <c r="CP36" s="3">
        <v>56.034999999999997</v>
      </c>
      <c r="CQ36" s="2">
        <v>-3.166795E-2</v>
      </c>
      <c r="CR36" s="2">
        <v>0.66658260000000003</v>
      </c>
      <c r="CS36" s="2">
        <v>3.096282</v>
      </c>
      <c r="CT36" s="2">
        <v>-0.6936312</v>
      </c>
      <c r="CU36" s="2">
        <v>157.82320000000001</v>
      </c>
      <c r="CV36" s="3">
        <v>0.23808080000000001</v>
      </c>
      <c r="CW36" s="2">
        <v>2.2403240000000002</v>
      </c>
      <c r="CX36" s="2">
        <v>0.2851302</v>
      </c>
      <c r="CY36" s="2">
        <v>11.46157</v>
      </c>
      <c r="CZ36" s="2">
        <v>26.25253</v>
      </c>
    </row>
    <row r="37" spans="1:104" ht="15" customHeight="1" x14ac:dyDescent="0.2">
      <c r="A37" s="1">
        <f t="shared" si="0"/>
        <v>31</v>
      </c>
      <c r="B37" s="1" t="s">
        <v>105</v>
      </c>
      <c r="C37" s="1" t="s">
        <v>104</v>
      </c>
      <c r="D37" s="1" t="s">
        <v>27</v>
      </c>
      <c r="E37" s="1" t="s">
        <v>60</v>
      </c>
      <c r="F37" s="1" t="s">
        <v>75</v>
      </c>
      <c r="G37" s="2">
        <v>46425.5</v>
      </c>
      <c r="H37" s="2">
        <v>99.541799999999995</v>
      </c>
      <c r="I37" s="2">
        <v>46212.77</v>
      </c>
      <c r="J37" s="3">
        <v>35.549999999999997</v>
      </c>
      <c r="K37" s="3">
        <v>0</v>
      </c>
      <c r="L37" s="2">
        <v>0.98452879999999998</v>
      </c>
      <c r="M37" s="2">
        <v>0.98452879999999998</v>
      </c>
      <c r="N37" s="2">
        <v>1.097046</v>
      </c>
      <c r="O37" s="2">
        <v>1.2095640000000001</v>
      </c>
      <c r="P37" s="2">
        <v>13.415089999999999</v>
      </c>
      <c r="Q37" s="2">
        <v>14.998760000000001</v>
      </c>
      <c r="R37" s="2">
        <v>12.60638</v>
      </c>
      <c r="S37" s="2">
        <v>11.1617</v>
      </c>
      <c r="T37" s="2">
        <v>8.1653739999999999</v>
      </c>
      <c r="U37" s="2">
        <v>8.2689939999999993</v>
      </c>
      <c r="V37" s="2">
        <v>6.8987080000000001</v>
      </c>
      <c r="W37" s="2">
        <v>5.8372169999999999</v>
      </c>
      <c r="X37" s="2">
        <v>2.7241379999999999</v>
      </c>
      <c r="Y37" s="2">
        <v>2.4118050000000002</v>
      </c>
      <c r="Z37" s="2">
        <v>2.1097920000000001</v>
      </c>
      <c r="AA37" s="2">
        <v>1.8230770000000001</v>
      </c>
      <c r="AB37" s="2">
        <v>11.697419999999999</v>
      </c>
      <c r="AC37" s="2">
        <v>10.16119</v>
      </c>
      <c r="AD37" s="2">
        <v>8.9890179999999997</v>
      </c>
      <c r="AE37" s="2">
        <v>7.7450979999999996</v>
      </c>
      <c r="AF37" s="2">
        <v>2.6750219999999998</v>
      </c>
      <c r="AG37" s="2">
        <v>4.0941929999999997</v>
      </c>
      <c r="AH37" s="2">
        <v>5.8415020000000002</v>
      </c>
      <c r="AI37" s="2">
        <v>2.7456969999999998</v>
      </c>
      <c r="AJ37" s="2">
        <v>4.0867849999999999</v>
      </c>
      <c r="AK37" s="2">
        <v>5.6168570000000004</v>
      </c>
      <c r="AL37" s="3">
        <v>1.8824160000000001</v>
      </c>
      <c r="AM37" s="3">
        <v>1.6057900000000001</v>
      </c>
      <c r="AN37" s="2">
        <v>35.863419999999998</v>
      </c>
      <c r="AO37" s="2">
        <v>34.074869999999997</v>
      </c>
      <c r="AP37" s="2">
        <v>35.89631</v>
      </c>
      <c r="AQ37" s="2">
        <v>36.935519999999997</v>
      </c>
      <c r="AR37" s="2">
        <v>0.227989</v>
      </c>
      <c r="AS37" s="2">
        <v>0.21284829999999999</v>
      </c>
      <c r="AT37" s="2">
        <v>-1.2504940000000001E-2</v>
      </c>
      <c r="AU37" s="2">
        <v>-0.2334579</v>
      </c>
      <c r="AV37" s="1" t="s">
        <v>6</v>
      </c>
      <c r="AW37" s="3">
        <v>1.25</v>
      </c>
      <c r="AX37" s="3">
        <v>45</v>
      </c>
      <c r="AY37" s="2">
        <v>26.582280000000001</v>
      </c>
      <c r="AZ37" s="2">
        <v>16.080020000000001</v>
      </c>
      <c r="BA37" s="2">
        <v>9.6999999999999993</v>
      </c>
      <c r="BB37" s="2">
        <v>12.78553</v>
      </c>
      <c r="BC37" s="2">
        <v>25.043959999999998</v>
      </c>
      <c r="BD37" s="3">
        <v>27.07</v>
      </c>
      <c r="BE37" s="2">
        <v>31.32619</v>
      </c>
      <c r="BF37" s="3">
        <v>40.270000000000003</v>
      </c>
      <c r="BG37" s="2">
        <v>-11.720890000000001</v>
      </c>
      <c r="BH37" s="2">
        <v>13.207549999999999</v>
      </c>
      <c r="BI37" s="2">
        <v>15.759</v>
      </c>
      <c r="BJ37" s="2">
        <v>15.13941</v>
      </c>
      <c r="BK37" s="2">
        <v>15.747109999999999</v>
      </c>
      <c r="BL37" s="2">
        <v>22</v>
      </c>
      <c r="BM37" s="2">
        <v>19</v>
      </c>
      <c r="BN37" s="4">
        <v>24</v>
      </c>
      <c r="BO37" s="4">
        <v>1</v>
      </c>
      <c r="BP37" s="4">
        <v>0</v>
      </c>
      <c r="BQ37" s="4">
        <v>22</v>
      </c>
      <c r="BR37" s="2">
        <v>4.3478260000000004</v>
      </c>
      <c r="BS37" s="4">
        <v>20</v>
      </c>
      <c r="BT37" s="4">
        <v>0</v>
      </c>
      <c r="BU37" s="4">
        <v>24</v>
      </c>
      <c r="BV37" s="2">
        <v>83.333330000000004</v>
      </c>
      <c r="BW37" s="2">
        <v>11.3294</v>
      </c>
      <c r="BX37" s="2">
        <v>1305.921</v>
      </c>
      <c r="BY37" s="3">
        <v>3.7632110000000001</v>
      </c>
      <c r="BZ37" s="3">
        <v>0.28816520000000001</v>
      </c>
      <c r="CA37" s="2">
        <v>1.70194</v>
      </c>
      <c r="CB37" s="3">
        <v>0.28816520000000001</v>
      </c>
      <c r="CC37" s="3">
        <v>2.586595</v>
      </c>
      <c r="CD37" s="3">
        <v>2.368198</v>
      </c>
      <c r="CE37" s="2">
        <v>-8.443403</v>
      </c>
      <c r="CF37" s="3">
        <v>4227.8410000000003</v>
      </c>
      <c r="CG37" s="3">
        <v>3881.8040000000001</v>
      </c>
      <c r="CH37" s="2">
        <v>-8.1847189999999994</v>
      </c>
      <c r="CI37" s="3">
        <v>46.917389999999997</v>
      </c>
      <c r="CJ37" s="2">
        <v>-4.0867449999999996</v>
      </c>
      <c r="CK37" s="3">
        <v>17064.52</v>
      </c>
      <c r="CL37" s="3">
        <v>16831.95</v>
      </c>
      <c r="CM37" s="2">
        <v>-1.362854</v>
      </c>
      <c r="CN37" s="3">
        <v>34.050449999999998</v>
      </c>
      <c r="CO37" s="3">
        <v>31.286760000000001</v>
      </c>
      <c r="CP37" s="3">
        <v>31.315200000000001</v>
      </c>
      <c r="CQ37" s="2">
        <v>4.4039130000000002</v>
      </c>
      <c r="CR37" s="2">
        <v>13.626329999999999</v>
      </c>
      <c r="CS37" s="2">
        <v>13.523160000000001</v>
      </c>
      <c r="CT37" s="2">
        <v>-8.1164299999999994</v>
      </c>
      <c r="CU37" s="2">
        <v>127.8738</v>
      </c>
      <c r="CV37" s="3">
        <v>0.27543879999999998</v>
      </c>
      <c r="CW37" s="2">
        <v>10.045859999999999</v>
      </c>
      <c r="CX37" s="2">
        <v>1.907837</v>
      </c>
      <c r="CY37" s="2">
        <v>5.1398419999999998</v>
      </c>
      <c r="CZ37" s="2">
        <v>26.353529999999999</v>
      </c>
    </row>
    <row r="38" spans="1:104" ht="15" customHeight="1" x14ac:dyDescent="0.2">
      <c r="A38" s="1">
        <f t="shared" si="0"/>
        <v>32</v>
      </c>
      <c r="B38" s="1" t="s">
        <v>107</v>
      </c>
      <c r="C38" s="1" t="s">
        <v>106</v>
      </c>
      <c r="D38" s="1" t="s">
        <v>40</v>
      </c>
      <c r="E38" s="1" t="s">
        <v>108</v>
      </c>
      <c r="F38" s="1" t="s">
        <v>109</v>
      </c>
      <c r="G38" s="2">
        <v>108089</v>
      </c>
      <c r="H38" s="2">
        <v>89.634200000000007</v>
      </c>
      <c r="I38" s="2">
        <v>96884.68</v>
      </c>
      <c r="J38" s="3">
        <v>85.46</v>
      </c>
      <c r="K38" s="3">
        <v>0</v>
      </c>
      <c r="L38" s="2">
        <v>4.1656909999999998</v>
      </c>
      <c r="M38" s="2">
        <v>4.2710039999999996</v>
      </c>
      <c r="N38" s="2">
        <v>4.4193819999999997</v>
      </c>
      <c r="O38" s="2">
        <v>4.6858360000000001</v>
      </c>
      <c r="P38" s="2">
        <v>10.34625</v>
      </c>
      <c r="Q38" s="2">
        <v>10.473269999999999</v>
      </c>
      <c r="R38" s="2">
        <v>10.717090000000001</v>
      </c>
      <c r="S38" s="2">
        <v>9.4222719999999995</v>
      </c>
      <c r="T38" s="2">
        <v>8.2580139999999993</v>
      </c>
      <c r="U38" s="2">
        <v>8.00929</v>
      </c>
      <c r="V38" s="2">
        <v>7.5738519999999996</v>
      </c>
      <c r="W38" s="2">
        <v>6.3617210000000002</v>
      </c>
      <c r="X38" s="2">
        <v>1.4695210000000001</v>
      </c>
      <c r="Y38" s="2">
        <v>1.36999</v>
      </c>
      <c r="Z38" s="2">
        <v>1.302538</v>
      </c>
      <c r="AA38" s="2">
        <v>1.221128</v>
      </c>
      <c r="AB38" s="2">
        <v>9.9430639999999997</v>
      </c>
      <c r="AC38" s="2">
        <v>9.4816319999999994</v>
      </c>
      <c r="AD38" s="2">
        <v>9.3368950000000002</v>
      </c>
      <c r="AE38" s="2">
        <v>8.5043279999999992</v>
      </c>
      <c r="AF38" s="2">
        <v>7.4216170000000004</v>
      </c>
      <c r="AG38" s="2">
        <v>8.1166590000000003</v>
      </c>
      <c r="AH38" s="2">
        <v>9.581448</v>
      </c>
      <c r="AI38" s="2">
        <v>7.7985379999999997</v>
      </c>
      <c r="AJ38" s="2">
        <v>8.1980529999999998</v>
      </c>
      <c r="AK38" s="2">
        <v>9.3082650000000005</v>
      </c>
      <c r="AL38" s="3">
        <v>2.3593649999999999</v>
      </c>
      <c r="AM38" s="3">
        <v>2.3871000000000002</v>
      </c>
      <c r="AN38" s="2">
        <v>32.569560000000003</v>
      </c>
      <c r="AO38" s="2">
        <v>30.740880000000001</v>
      </c>
      <c r="AP38" s="2">
        <v>29.993320000000001</v>
      </c>
      <c r="AQ38" s="2">
        <v>32.535350000000001</v>
      </c>
      <c r="AR38" s="2">
        <v>0.55516469999999996</v>
      </c>
      <c r="AS38" s="2">
        <v>0.38711020000000002</v>
      </c>
      <c r="AT38" s="2">
        <v>7.5196860000000004E-2</v>
      </c>
      <c r="AU38" s="2">
        <v>-0.18670700000000001</v>
      </c>
      <c r="AV38" s="1" t="s">
        <v>6</v>
      </c>
      <c r="AW38" s="3">
        <v>1.4090910000000001</v>
      </c>
      <c r="AX38" s="3">
        <v>105</v>
      </c>
      <c r="AY38" s="2">
        <v>22.8645</v>
      </c>
      <c r="AZ38" s="2">
        <v>13.080830000000001</v>
      </c>
      <c r="BA38" s="2">
        <v>4</v>
      </c>
      <c r="BB38" s="2">
        <v>-1.1794690000000001</v>
      </c>
      <c r="BC38" s="2">
        <v>-4.8753320000000002</v>
      </c>
      <c r="BD38" s="3">
        <v>80.599999999999994</v>
      </c>
      <c r="BE38" s="2">
        <v>6.0297729999999996</v>
      </c>
      <c r="BF38" s="3">
        <v>105.18</v>
      </c>
      <c r="BG38" s="2">
        <v>-18.748809999999999</v>
      </c>
      <c r="BH38" s="2">
        <v>42.869250000000001</v>
      </c>
      <c r="BI38" s="2">
        <v>44.603520000000003</v>
      </c>
      <c r="BJ38" s="2">
        <v>46.618560000000002</v>
      </c>
      <c r="BK38" s="2">
        <v>44.570340000000002</v>
      </c>
      <c r="BL38" s="2">
        <v>20</v>
      </c>
      <c r="BM38" s="2">
        <v>19</v>
      </c>
      <c r="BN38" s="4">
        <v>22</v>
      </c>
      <c r="BO38" s="4">
        <v>2</v>
      </c>
      <c r="BP38" s="4">
        <v>1</v>
      </c>
      <c r="BQ38" s="4">
        <v>20</v>
      </c>
      <c r="BR38" s="2">
        <v>8.6956520000000008</v>
      </c>
      <c r="BS38" s="4">
        <v>15</v>
      </c>
      <c r="BT38" s="4">
        <v>1</v>
      </c>
      <c r="BU38" s="4">
        <v>22</v>
      </c>
      <c r="BV38" s="2">
        <v>68.181820000000002</v>
      </c>
      <c r="BW38" s="2">
        <v>6.2091099999999999</v>
      </c>
      <c r="BX38" s="2">
        <v>1264.79</v>
      </c>
      <c r="BY38" s="3">
        <v>1.5902080000000001</v>
      </c>
      <c r="BZ38" s="3">
        <v>0.12572900000000001</v>
      </c>
      <c r="CA38" s="2">
        <v>0.54152999999999996</v>
      </c>
      <c r="CB38" s="3">
        <v>0.12572900000000001</v>
      </c>
      <c r="CC38" s="3">
        <v>8.2325219999999995</v>
      </c>
      <c r="CD38" s="3">
        <v>8.1721509999999995</v>
      </c>
      <c r="CE38" s="2">
        <v>-0.73332790000000003</v>
      </c>
      <c r="CF38" s="3">
        <v>12755.19</v>
      </c>
      <c r="CG38" s="3">
        <v>12669.91</v>
      </c>
      <c r="CH38" s="2">
        <v>-0.66860909999999996</v>
      </c>
      <c r="CI38" s="3">
        <v>112.85339999999999</v>
      </c>
      <c r="CJ38" s="2">
        <v>-6.9589730000000003</v>
      </c>
      <c r="CK38" s="3">
        <v>45310.26</v>
      </c>
      <c r="CL38" s="3">
        <v>45270.51</v>
      </c>
      <c r="CM38" s="2">
        <v>-8.7726120000000005E-2</v>
      </c>
      <c r="CN38" s="3">
        <v>96.33314</v>
      </c>
      <c r="CO38" s="3">
        <v>93.673320000000004</v>
      </c>
      <c r="CP38" s="3">
        <v>85.888850000000005</v>
      </c>
      <c r="CQ38" s="2">
        <v>-11.28702</v>
      </c>
      <c r="CR38" s="2">
        <v>-8.7680450000000008</v>
      </c>
      <c r="CS38" s="2">
        <v>-0.49930809999999998</v>
      </c>
      <c r="CT38" s="2">
        <v>-2.761066</v>
      </c>
      <c r="CU38" s="2">
        <v>154.91409999999999</v>
      </c>
      <c r="CV38" s="3">
        <v>0.1433209</v>
      </c>
      <c r="CW38" s="2">
        <v>-2.0514589999999999</v>
      </c>
      <c r="CX38" s="2">
        <v>1.7967960000000001</v>
      </c>
      <c r="CY38" s="2">
        <v>-0.22247690000000001</v>
      </c>
      <c r="CZ38" s="2">
        <v>26.91919</v>
      </c>
    </row>
    <row r="39" spans="1:104" ht="15" customHeight="1" x14ac:dyDescent="0.2">
      <c r="A39" s="1">
        <f t="shared" si="0"/>
        <v>33</v>
      </c>
      <c r="B39" s="1" t="s">
        <v>111</v>
      </c>
      <c r="C39" s="1" t="s">
        <v>110</v>
      </c>
      <c r="D39" s="1" t="s">
        <v>40</v>
      </c>
      <c r="E39" s="1" t="s">
        <v>94</v>
      </c>
      <c r="F39" s="1" t="s">
        <v>112</v>
      </c>
      <c r="G39" s="2">
        <v>39968.29</v>
      </c>
      <c r="H39" s="2">
        <v>92.489900000000006</v>
      </c>
      <c r="I39" s="2">
        <v>36966.629999999997</v>
      </c>
      <c r="J39" s="3">
        <v>58.97</v>
      </c>
      <c r="K39" s="3">
        <v>0</v>
      </c>
      <c r="L39" s="2">
        <v>3.3915549999999999</v>
      </c>
      <c r="M39" s="2">
        <v>3.492753</v>
      </c>
      <c r="N39" s="2">
        <v>3.5950479999999998</v>
      </c>
      <c r="O39" s="2">
        <v>3.815499</v>
      </c>
      <c r="P39" s="2">
        <v>17.192419999999998</v>
      </c>
      <c r="Q39" s="2">
        <v>17.178429999999999</v>
      </c>
      <c r="R39" s="2">
        <v>16.575379999999999</v>
      </c>
      <c r="S39" s="2">
        <v>15.37294</v>
      </c>
      <c r="T39" s="2">
        <v>9.5866209999999992</v>
      </c>
      <c r="U39" s="2">
        <v>10.742979999999999</v>
      </c>
      <c r="V39" s="2">
        <v>10.4557</v>
      </c>
      <c r="W39" s="2">
        <v>9.6959300000000006</v>
      </c>
      <c r="X39" s="2">
        <v>2.1095190000000001</v>
      </c>
      <c r="Y39" s="2">
        <v>2.0393699999999999</v>
      </c>
      <c r="Z39" s="2">
        <v>1.948725</v>
      </c>
      <c r="AA39" s="2">
        <v>1.8561099999999999</v>
      </c>
      <c r="AB39" s="2">
        <v>12.725630000000001</v>
      </c>
      <c r="AC39" s="2">
        <v>11.00943</v>
      </c>
      <c r="AD39" s="2">
        <v>11.203950000000001</v>
      </c>
      <c r="AE39" s="2">
        <v>10.408250000000001</v>
      </c>
      <c r="AF39" s="2">
        <v>4.2443520000000001</v>
      </c>
      <c r="AG39" s="2">
        <v>4.7191179999999999</v>
      </c>
      <c r="AH39" s="2">
        <v>5.1223660000000004</v>
      </c>
      <c r="AI39" s="2">
        <v>5.2763350000000004</v>
      </c>
      <c r="AJ39" s="2">
        <v>5.772621</v>
      </c>
      <c r="AK39" s="2">
        <v>6.1647829999999999</v>
      </c>
      <c r="AL39" s="3">
        <v>5.800001</v>
      </c>
      <c r="AM39" s="3">
        <v>5.5811869999999999</v>
      </c>
      <c r="AN39" s="2">
        <v>16.358409999999999</v>
      </c>
      <c r="AO39" s="2">
        <v>16.606529999999999</v>
      </c>
      <c r="AP39" s="2">
        <v>16.72137</v>
      </c>
      <c r="AQ39" s="2">
        <v>17.138470000000002</v>
      </c>
      <c r="AR39" s="2">
        <v>2.233641</v>
      </c>
      <c r="AS39" s="2">
        <v>2.1011869999999999</v>
      </c>
      <c r="AT39" s="2">
        <v>1.9081650000000001</v>
      </c>
      <c r="AU39" s="2">
        <v>1.6395059999999999</v>
      </c>
      <c r="AV39" s="1" t="s">
        <v>113</v>
      </c>
      <c r="AW39" s="3">
        <v>1.7083330000000001</v>
      </c>
      <c r="AX39" s="3">
        <v>59.339309999999998</v>
      </c>
      <c r="AY39" s="2">
        <v>0.62625410000000004</v>
      </c>
      <c r="AZ39" s="2">
        <v>11.871689999999999</v>
      </c>
      <c r="BA39" s="2">
        <v>2.9007939999999999</v>
      </c>
      <c r="BB39" s="2">
        <v>17.7516</v>
      </c>
      <c r="BC39" s="2">
        <v>19.784690000000001</v>
      </c>
      <c r="BD39" s="3">
        <v>48.034999999999997</v>
      </c>
      <c r="BE39" s="2">
        <v>22.764659999999999</v>
      </c>
      <c r="BF39" s="3">
        <v>61.88</v>
      </c>
      <c r="BG39" s="2">
        <v>-4.7026519999999996</v>
      </c>
      <c r="BH39" s="2">
        <v>58.407440000000001</v>
      </c>
      <c r="BI39" s="2">
        <v>59.842559999999999</v>
      </c>
      <c r="BJ39" s="2">
        <v>59.892980000000001</v>
      </c>
      <c r="BK39" s="2">
        <v>58.52619</v>
      </c>
      <c r="BL39" s="2">
        <v>23</v>
      </c>
      <c r="BM39" s="2">
        <v>22</v>
      </c>
      <c r="BN39" s="4">
        <v>24</v>
      </c>
      <c r="BO39" s="4">
        <v>0</v>
      </c>
      <c r="BP39" s="4">
        <v>0</v>
      </c>
      <c r="BQ39" s="4">
        <v>23</v>
      </c>
      <c r="BR39" s="2">
        <v>0</v>
      </c>
      <c r="BS39" s="4">
        <v>12</v>
      </c>
      <c r="BT39" s="4">
        <v>5</v>
      </c>
      <c r="BU39" s="4">
        <v>24</v>
      </c>
      <c r="BV39" s="2">
        <v>50</v>
      </c>
      <c r="BW39" s="2">
        <v>5.3811600000000004</v>
      </c>
      <c r="BX39" s="2">
        <v>677.7731</v>
      </c>
      <c r="BY39" s="3">
        <v>1.2288570000000001</v>
      </c>
      <c r="BZ39" s="3">
        <v>0.18130789999999999</v>
      </c>
      <c r="CA39" s="2">
        <v>0.468532</v>
      </c>
      <c r="CB39" s="3">
        <v>0.18130789999999999</v>
      </c>
      <c r="CC39" s="3">
        <v>3.4338669999999998</v>
      </c>
      <c r="CD39" s="3">
        <v>3.4333870000000002</v>
      </c>
      <c r="CE39" s="2">
        <v>-1.396537E-2</v>
      </c>
      <c r="CF39" s="3">
        <v>3463.2860000000001</v>
      </c>
      <c r="CG39" s="3">
        <v>3431.7280000000001</v>
      </c>
      <c r="CH39" s="2">
        <v>-0.91122389999999998</v>
      </c>
      <c r="CI39" s="3">
        <v>59.127270000000003</v>
      </c>
      <c r="CJ39" s="2">
        <v>0.35860540000000002</v>
      </c>
      <c r="CK39" s="3">
        <v>27849</v>
      </c>
      <c r="CL39" s="3">
        <v>27875.22</v>
      </c>
      <c r="CM39" s="2">
        <v>9.4151499999999999E-2</v>
      </c>
      <c r="CN39" s="3">
        <v>55.840350000000001</v>
      </c>
      <c r="CO39" s="3">
        <v>55.409799999999997</v>
      </c>
      <c r="CP39" s="3">
        <v>57.56615</v>
      </c>
      <c r="CQ39" s="2">
        <v>5.6046370000000003</v>
      </c>
      <c r="CR39" s="2">
        <v>6.4252140000000004</v>
      </c>
      <c r="CS39" s="2">
        <v>2.4386640000000002</v>
      </c>
      <c r="CT39" s="2">
        <v>-0.77104569999999995</v>
      </c>
      <c r="CU39" s="2">
        <v>58.090699999999998</v>
      </c>
      <c r="CV39" s="3">
        <v>0.145342</v>
      </c>
      <c r="CW39" s="2" t="e">
        <v>#N/A</v>
      </c>
      <c r="CX39" s="2">
        <v>2.8986350000000001E-3</v>
      </c>
      <c r="CY39" s="2" t="e">
        <v>#N/A</v>
      </c>
      <c r="CZ39" s="2">
        <v>27.101009999999999</v>
      </c>
    </row>
    <row r="40" spans="1:104" ht="15" customHeight="1" x14ac:dyDescent="0.2">
      <c r="A40" s="1">
        <f t="shared" si="0"/>
        <v>34</v>
      </c>
      <c r="B40" s="1" t="s">
        <v>115</v>
      </c>
      <c r="C40" s="1" t="s">
        <v>114</v>
      </c>
      <c r="D40" s="1" t="s">
        <v>40</v>
      </c>
      <c r="E40" s="1" t="s">
        <v>108</v>
      </c>
      <c r="F40" s="1" t="s">
        <v>116</v>
      </c>
      <c r="G40" s="2">
        <v>79433.960000000006</v>
      </c>
      <c r="H40" s="2">
        <v>66.442999999999998</v>
      </c>
      <c r="I40" s="2">
        <v>52778.3</v>
      </c>
      <c r="J40" s="3">
        <v>175.12</v>
      </c>
      <c r="K40" s="3">
        <v>0</v>
      </c>
      <c r="L40" s="2">
        <v>1.8444499999999999</v>
      </c>
      <c r="M40" s="2">
        <v>1.934453</v>
      </c>
      <c r="N40" s="2">
        <v>2.1585200000000002</v>
      </c>
      <c r="O40" s="2">
        <v>2.3869349999999998</v>
      </c>
      <c r="P40" s="2">
        <v>36.256729999999997</v>
      </c>
      <c r="Q40" s="2">
        <v>25.88618</v>
      </c>
      <c r="R40" s="2">
        <v>23.349329999999998</v>
      </c>
      <c r="S40" s="2">
        <v>21.057189999999999</v>
      </c>
      <c r="T40" s="2">
        <v>13.46083</v>
      </c>
      <c r="U40" s="2">
        <v>13.23094</v>
      </c>
      <c r="V40" s="2">
        <v>11.972429999999999</v>
      </c>
      <c r="W40" s="2">
        <v>10.81122</v>
      </c>
      <c r="X40" s="2">
        <v>2.0675330000000001</v>
      </c>
      <c r="Y40" s="2">
        <v>2.0020579999999999</v>
      </c>
      <c r="Z40" s="2">
        <v>1.930356</v>
      </c>
      <c r="AA40" s="2">
        <v>1.8541190000000001</v>
      </c>
      <c r="AB40" s="2">
        <v>15.62848</v>
      </c>
      <c r="AC40" s="2">
        <v>14.283849999999999</v>
      </c>
      <c r="AD40" s="2">
        <v>13.140829999999999</v>
      </c>
      <c r="AE40" s="2">
        <v>12.112500000000001</v>
      </c>
      <c r="AF40" s="2">
        <v>3.4089330000000002</v>
      </c>
      <c r="AG40" s="2">
        <v>4.4704240000000004</v>
      </c>
      <c r="AH40" s="2">
        <v>5.0805030000000002</v>
      </c>
      <c r="AI40" s="2">
        <v>3.7617400000000001</v>
      </c>
      <c r="AJ40" s="2">
        <v>4.7919999999999998</v>
      </c>
      <c r="AK40" s="2">
        <v>5.3267220000000002</v>
      </c>
      <c r="AL40" s="3">
        <v>2.6971579999999999</v>
      </c>
      <c r="AM40" s="3">
        <v>2.4343499999999998</v>
      </c>
      <c r="AN40" s="2">
        <v>25.283740000000002</v>
      </c>
      <c r="AO40" s="2">
        <v>26.042590000000001</v>
      </c>
      <c r="AP40" s="2">
        <v>26.46584</v>
      </c>
      <c r="AQ40" s="2">
        <v>27.15774</v>
      </c>
      <c r="AR40" s="2">
        <v>1.230583</v>
      </c>
      <c r="AS40" s="2">
        <v>1.2409060000000001</v>
      </c>
      <c r="AT40" s="2">
        <v>0.8034308</v>
      </c>
      <c r="AU40" s="2">
        <v>0.4997316</v>
      </c>
      <c r="AV40" s="1" t="s">
        <v>6</v>
      </c>
      <c r="AW40" s="3">
        <v>1.3409089999999999</v>
      </c>
      <c r="AX40" s="3">
        <v>192.5</v>
      </c>
      <c r="AY40" s="2">
        <v>9.9246259999999999</v>
      </c>
      <c r="AZ40" s="2">
        <v>7.7340799999999996</v>
      </c>
      <c r="BA40" s="2">
        <v>9.5303419999999992</v>
      </c>
      <c r="BB40" s="2">
        <v>-1.22956</v>
      </c>
      <c r="BC40" s="2">
        <v>3.4988160000000001</v>
      </c>
      <c r="BD40" s="3">
        <v>155.15</v>
      </c>
      <c r="BE40" s="2">
        <v>12.871420000000001</v>
      </c>
      <c r="BF40" s="3">
        <v>188.4</v>
      </c>
      <c r="BG40" s="2">
        <v>-7.0488330000000001</v>
      </c>
      <c r="BH40" s="2">
        <v>68.454729999999998</v>
      </c>
      <c r="BI40" s="2">
        <v>49.238970000000002</v>
      </c>
      <c r="BJ40" s="2">
        <v>49.188319999999997</v>
      </c>
      <c r="BK40" s="2">
        <v>49.129179999999998</v>
      </c>
      <c r="BL40" s="2">
        <v>20</v>
      </c>
      <c r="BM40" s="2">
        <v>18</v>
      </c>
      <c r="BN40" s="4">
        <v>22</v>
      </c>
      <c r="BO40" s="4">
        <v>2</v>
      </c>
      <c r="BP40" s="4">
        <v>0</v>
      </c>
      <c r="BQ40" s="4">
        <v>20</v>
      </c>
      <c r="BR40" s="2">
        <v>9.0909089999999999</v>
      </c>
      <c r="BS40" s="4">
        <v>15</v>
      </c>
      <c r="BT40" s="4">
        <v>0</v>
      </c>
      <c r="BU40" s="4">
        <v>22</v>
      </c>
      <c r="BV40" s="2">
        <v>68.181820000000002</v>
      </c>
      <c r="BW40" s="2">
        <v>6.7511799999999997</v>
      </c>
      <c r="BX40" s="2">
        <v>453.59730000000002</v>
      </c>
      <c r="BY40" s="3">
        <v>0.45749509999999999</v>
      </c>
      <c r="BZ40" s="3">
        <v>0.1008593</v>
      </c>
      <c r="CA40" s="2">
        <v>0.86958899999999995</v>
      </c>
      <c r="CB40" s="3">
        <v>0.1008593</v>
      </c>
      <c r="CC40" s="3">
        <v>6.654941</v>
      </c>
      <c r="CD40" s="3">
        <v>6.8127259999999996</v>
      </c>
      <c r="CE40" s="2">
        <v>2.3709539999999998</v>
      </c>
      <c r="CF40" s="3">
        <v>4354.384</v>
      </c>
      <c r="CG40" s="3">
        <v>4357.6660000000002</v>
      </c>
      <c r="CH40" s="2">
        <v>7.5364109999999998E-2</v>
      </c>
      <c r="CI40" s="3">
        <v>196.48769999999999</v>
      </c>
      <c r="CJ40" s="2">
        <v>-2.0294850000000002</v>
      </c>
      <c r="CK40" s="3">
        <v>25507.14</v>
      </c>
      <c r="CL40" s="3">
        <v>25451.63</v>
      </c>
      <c r="CM40" s="2">
        <v>-0.21761659999999999</v>
      </c>
      <c r="CN40" s="3">
        <v>171.89009999999999</v>
      </c>
      <c r="CO40" s="3">
        <v>170.02979999999999</v>
      </c>
      <c r="CP40" s="3">
        <v>175.00620000000001</v>
      </c>
      <c r="CQ40" s="2">
        <v>1.8790359999999999</v>
      </c>
      <c r="CR40" s="2">
        <v>2.993703</v>
      </c>
      <c r="CS40" s="2">
        <v>6.5040589999999995E-2</v>
      </c>
      <c r="CT40" s="2">
        <v>-1.082265</v>
      </c>
      <c r="CU40" s="2">
        <v>69.705020000000005</v>
      </c>
      <c r="CV40" s="3">
        <v>8.7752170000000004E-2</v>
      </c>
      <c r="CW40" s="2" t="e">
        <v>#N/A</v>
      </c>
      <c r="CX40" s="2">
        <v>-0.11644350000000001</v>
      </c>
      <c r="CY40" s="2" t="e">
        <v>#N/A</v>
      </c>
      <c r="CZ40" s="2">
        <v>27.212119999999999</v>
      </c>
    </row>
    <row r="41" spans="1:104" ht="15" customHeight="1" x14ac:dyDescent="0.2">
      <c r="A41" s="1">
        <f t="shared" si="0"/>
        <v>35</v>
      </c>
      <c r="B41" s="1" t="s">
        <v>118</v>
      </c>
      <c r="C41" s="1" t="s">
        <v>117</v>
      </c>
      <c r="D41" s="1" t="s">
        <v>27</v>
      </c>
      <c r="E41" s="1" t="s">
        <v>12</v>
      </c>
      <c r="F41" s="1" t="s">
        <v>13</v>
      </c>
      <c r="G41" s="2">
        <v>55422.66</v>
      </c>
      <c r="H41" s="2">
        <v>48.322299999999998</v>
      </c>
      <c r="I41" s="2">
        <v>26781.51</v>
      </c>
      <c r="J41" s="3">
        <v>95.59</v>
      </c>
      <c r="K41" s="3">
        <v>0</v>
      </c>
      <c r="L41" s="2">
        <v>8.8921430000000008</v>
      </c>
      <c r="M41" s="2">
        <v>5.9629669999999999</v>
      </c>
      <c r="N41" s="2">
        <v>5.4464139999999999</v>
      </c>
      <c r="O41" s="2">
        <v>5.5392830000000002</v>
      </c>
      <c r="P41" s="2">
        <v>3.5001829999999998</v>
      </c>
      <c r="Q41" s="2">
        <v>5.1754199999999999</v>
      </c>
      <c r="R41" s="2">
        <v>5.7480460000000004</v>
      </c>
      <c r="S41" s="2">
        <v>5.6898809999999997</v>
      </c>
      <c r="T41" s="2">
        <v>1.8132269999999999</v>
      </c>
      <c r="U41" s="2">
        <v>1.5161420000000001</v>
      </c>
      <c r="V41" s="2">
        <v>1.537218</v>
      </c>
      <c r="W41" s="2">
        <v>1.504364</v>
      </c>
      <c r="X41" s="2">
        <v>0.72200609999999998</v>
      </c>
      <c r="Y41" s="2">
        <v>0.65978740000000002</v>
      </c>
      <c r="Z41" s="2">
        <v>0.61167369999999999</v>
      </c>
      <c r="AA41" s="2">
        <v>0.56810260000000001</v>
      </c>
      <c r="AB41" s="2">
        <v>4.2636039999999999</v>
      </c>
      <c r="AC41" s="2">
        <v>3.317752</v>
      </c>
      <c r="AD41" s="2">
        <v>3.4120249999999999</v>
      </c>
      <c r="AE41" s="2">
        <v>3.3698100000000002</v>
      </c>
      <c r="AF41" s="2">
        <v>18.027940000000001</v>
      </c>
      <c r="AG41" s="2">
        <v>24.343070000000001</v>
      </c>
      <c r="AH41" s="2">
        <v>28.19941</v>
      </c>
      <c r="AI41" s="2">
        <v>11.5098</v>
      </c>
      <c r="AJ41" s="2">
        <v>14.17614</v>
      </c>
      <c r="AK41" s="2">
        <v>16.16337</v>
      </c>
      <c r="AL41" s="3" t="e">
        <v>#N/A</v>
      </c>
      <c r="AM41" s="3" t="e">
        <v>#N/A</v>
      </c>
      <c r="AN41" s="2">
        <v>15.82287</v>
      </c>
      <c r="AO41" s="2">
        <v>17.58221</v>
      </c>
      <c r="AP41" s="2">
        <v>15.916359999999999</v>
      </c>
      <c r="AQ41" s="2">
        <v>15.5944</v>
      </c>
      <c r="AR41" s="2">
        <v>-0.62062930000000005</v>
      </c>
      <c r="AS41" s="2">
        <v>-0.75016649999999996</v>
      </c>
      <c r="AT41" s="2">
        <v>-0.95165029999999995</v>
      </c>
      <c r="AU41" s="2">
        <v>-0.96486309999999997</v>
      </c>
      <c r="AV41" s="1" t="s">
        <v>88</v>
      </c>
      <c r="AW41" s="3">
        <v>1.7826090000000001</v>
      </c>
      <c r="AX41" s="3">
        <v>109.5</v>
      </c>
      <c r="AY41" s="2">
        <v>14.551729999999999</v>
      </c>
      <c r="AZ41" s="2">
        <v>12.748480000000001</v>
      </c>
      <c r="BA41" s="2">
        <v>-15.2066</v>
      </c>
      <c r="BB41" s="2">
        <v>10.751939999999999</v>
      </c>
      <c r="BC41" s="2">
        <v>14.643800000000001</v>
      </c>
      <c r="BD41" s="3">
        <v>82.16</v>
      </c>
      <c r="BE41" s="2">
        <v>16.346150000000002</v>
      </c>
      <c r="BF41" s="3">
        <v>113.46</v>
      </c>
      <c r="BG41" s="2">
        <v>-15.75004</v>
      </c>
      <c r="BH41" s="2">
        <v>31.371289999999998</v>
      </c>
      <c r="BI41" s="2">
        <v>30.544039999999999</v>
      </c>
      <c r="BJ41" s="2">
        <v>32.365940000000002</v>
      </c>
      <c r="BK41" s="2">
        <v>33.029949999999999</v>
      </c>
      <c r="BL41" s="2">
        <v>21</v>
      </c>
      <c r="BM41" s="2">
        <v>20</v>
      </c>
      <c r="BN41" s="4">
        <v>23</v>
      </c>
      <c r="BO41" s="4">
        <v>0</v>
      </c>
      <c r="BP41" s="4">
        <v>1</v>
      </c>
      <c r="BQ41" s="4">
        <v>21</v>
      </c>
      <c r="BR41" s="2">
        <v>0</v>
      </c>
      <c r="BS41" s="4">
        <v>8</v>
      </c>
      <c r="BT41" s="4">
        <v>3</v>
      </c>
      <c r="BU41" s="4">
        <v>23</v>
      </c>
      <c r="BV41" s="2">
        <v>34.782609999999998</v>
      </c>
      <c r="BW41" s="2">
        <v>8.3813099999999991</v>
      </c>
      <c r="BX41" s="2">
        <v>579.79570000000001</v>
      </c>
      <c r="BY41" s="3">
        <v>1.0369159999999999</v>
      </c>
      <c r="BZ41" s="3">
        <v>0.17884149999999999</v>
      </c>
      <c r="CA41" s="2">
        <v>1.3230999999999999</v>
      </c>
      <c r="CB41" s="3">
        <v>0.17884149999999999</v>
      </c>
      <c r="CC41" s="3">
        <v>17.44248</v>
      </c>
      <c r="CD41" s="3">
        <v>18.295349999999999</v>
      </c>
      <c r="CE41" s="2">
        <v>4.8896430000000004</v>
      </c>
      <c r="CF41" s="3">
        <v>16558.009999999998</v>
      </c>
      <c r="CG41" s="3">
        <v>17348.8</v>
      </c>
      <c r="CH41" s="2">
        <v>4.7758820000000002</v>
      </c>
      <c r="CI41" s="3">
        <v>111.902</v>
      </c>
      <c r="CJ41" s="2">
        <v>-2.1465000000000001</v>
      </c>
      <c r="CK41" s="3">
        <v>148915.1</v>
      </c>
      <c r="CL41" s="3">
        <v>151528.4</v>
      </c>
      <c r="CM41" s="2">
        <v>1.754856</v>
      </c>
      <c r="CN41" s="3">
        <v>100.562</v>
      </c>
      <c r="CO41" s="3">
        <v>94.383529999999993</v>
      </c>
      <c r="CP41" s="3">
        <v>92.563469999999995</v>
      </c>
      <c r="CQ41" s="2">
        <v>-4.9442000000000004</v>
      </c>
      <c r="CR41" s="2">
        <v>1.278257</v>
      </c>
      <c r="CS41" s="2">
        <v>3.2696719999999999</v>
      </c>
      <c r="CT41" s="2">
        <v>-6.1439219999999999</v>
      </c>
      <c r="CU41" s="2">
        <v>95.757580000000004</v>
      </c>
      <c r="CV41" s="3">
        <v>0.17277700000000001</v>
      </c>
      <c r="CW41" s="2">
        <v>1.3895329999999999</v>
      </c>
      <c r="CX41" s="2">
        <v>3.3199589999999999</v>
      </c>
      <c r="CY41" s="2">
        <v>4.701911</v>
      </c>
      <c r="CZ41" s="2">
        <v>27.484850000000002</v>
      </c>
    </row>
    <row r="42" spans="1:104" ht="15" customHeight="1" x14ac:dyDescent="0.2">
      <c r="A42" s="1">
        <f t="shared" si="0"/>
        <v>36</v>
      </c>
      <c r="B42" s="1" t="s">
        <v>120</v>
      </c>
      <c r="C42" s="1" t="s">
        <v>119</v>
      </c>
      <c r="D42" s="1" t="s">
        <v>121</v>
      </c>
      <c r="E42" s="1" t="s">
        <v>94</v>
      </c>
      <c r="F42" s="1" t="s">
        <v>122</v>
      </c>
      <c r="G42" s="2">
        <v>100079.9</v>
      </c>
      <c r="H42" s="2">
        <v>48.318199999999997</v>
      </c>
      <c r="I42" s="2">
        <v>48356.82</v>
      </c>
      <c r="J42" s="3">
        <v>57.61</v>
      </c>
      <c r="K42" s="3">
        <v>0</v>
      </c>
      <c r="L42" s="2">
        <v>1.292389</v>
      </c>
      <c r="M42" s="2">
        <v>1.6815610000000001</v>
      </c>
      <c r="N42" s="2">
        <v>2.036327</v>
      </c>
      <c r="O42" s="2">
        <v>2.561318</v>
      </c>
      <c r="P42" s="2">
        <v>19.04271</v>
      </c>
      <c r="Q42" s="2">
        <v>21.161729999999999</v>
      </c>
      <c r="R42" s="2">
        <v>17.72298</v>
      </c>
      <c r="S42" s="2">
        <v>15.40644</v>
      </c>
      <c r="T42" s="2">
        <v>9.594163</v>
      </c>
      <c r="U42" s="2">
        <v>9.4820600000000006</v>
      </c>
      <c r="V42" s="2">
        <v>8.5728089999999995</v>
      </c>
      <c r="W42" s="2">
        <v>7.7655320000000003</v>
      </c>
      <c r="X42" s="2">
        <v>1.676552</v>
      </c>
      <c r="Y42" s="2">
        <v>1.647621</v>
      </c>
      <c r="Z42" s="2">
        <v>1.563639</v>
      </c>
      <c r="AA42" s="2">
        <v>1.486011</v>
      </c>
      <c r="AB42" s="2">
        <v>9.4232610000000001</v>
      </c>
      <c r="AC42" s="2">
        <v>10.97892</v>
      </c>
      <c r="AD42" s="2">
        <v>10.28839</v>
      </c>
      <c r="AE42" s="2">
        <v>8.8298670000000001</v>
      </c>
      <c r="AF42" s="2">
        <v>4.7294580000000002</v>
      </c>
      <c r="AG42" s="2">
        <v>5.6715229999999996</v>
      </c>
      <c r="AH42" s="2">
        <v>6.4285629999999996</v>
      </c>
      <c r="AI42" s="2">
        <v>7.5753899999999996</v>
      </c>
      <c r="AJ42" s="2">
        <v>8.8192450000000004</v>
      </c>
      <c r="AK42" s="2">
        <v>9.6493870000000008</v>
      </c>
      <c r="AL42" s="3">
        <v>1.6784760000000001</v>
      </c>
      <c r="AM42" s="3">
        <v>1.419564</v>
      </c>
      <c r="AN42" s="2">
        <v>34.338769999999997</v>
      </c>
      <c r="AO42" s="2">
        <v>33.584000000000003</v>
      </c>
      <c r="AP42" s="2">
        <v>34.545169999999999</v>
      </c>
      <c r="AQ42" s="2">
        <v>35.194899999999997</v>
      </c>
      <c r="AR42" s="2">
        <v>3.5185</v>
      </c>
      <c r="AS42" s="2">
        <v>3.2343890000000002</v>
      </c>
      <c r="AT42" s="2">
        <v>2.770502</v>
      </c>
      <c r="AU42" s="2">
        <v>2.3390230000000001</v>
      </c>
      <c r="AV42" s="1" t="s">
        <v>6</v>
      </c>
      <c r="AW42" s="3">
        <v>1.3666670000000001</v>
      </c>
      <c r="AX42" s="3">
        <v>62.871749999999999</v>
      </c>
      <c r="AY42" s="2">
        <v>9.1333979999999997</v>
      </c>
      <c r="AZ42" s="2">
        <v>7.7858510000000001</v>
      </c>
      <c r="BA42" s="2">
        <v>12.306010000000001</v>
      </c>
      <c r="BB42" s="2">
        <v>2.7832270000000001</v>
      </c>
      <c r="BC42" s="2">
        <v>2.3813719999999998</v>
      </c>
      <c r="BD42" s="3">
        <v>49.164999999999999</v>
      </c>
      <c r="BE42" s="2">
        <v>17.176860000000001</v>
      </c>
      <c r="BF42" s="3">
        <v>62.01</v>
      </c>
      <c r="BG42" s="2">
        <v>-7.0956289999999997</v>
      </c>
      <c r="BH42" s="2">
        <v>24.31513</v>
      </c>
      <c r="BI42" s="2">
        <v>34.104900000000001</v>
      </c>
      <c r="BJ42" s="2">
        <v>36.48883</v>
      </c>
      <c r="BK42" s="2">
        <v>40.02816</v>
      </c>
      <c r="BL42" s="2">
        <v>27</v>
      </c>
      <c r="BM42" s="2">
        <v>23</v>
      </c>
      <c r="BN42" s="4">
        <v>30</v>
      </c>
      <c r="BO42" s="4">
        <v>1</v>
      </c>
      <c r="BP42" s="4">
        <v>0</v>
      </c>
      <c r="BQ42" s="4">
        <v>28</v>
      </c>
      <c r="BR42" s="2">
        <v>3.4482759999999999</v>
      </c>
      <c r="BS42" s="4">
        <v>22</v>
      </c>
      <c r="BT42" s="4">
        <v>2</v>
      </c>
      <c r="BU42" s="4">
        <v>30</v>
      </c>
      <c r="BV42" s="2">
        <v>73.333340000000007</v>
      </c>
      <c r="BW42" s="2">
        <v>7.7497600000000002</v>
      </c>
      <c r="BX42" s="2">
        <v>1737.1969999999999</v>
      </c>
      <c r="BY42" s="3">
        <v>1.354679</v>
      </c>
      <c r="BZ42" s="3">
        <v>7.7980720000000003E-2</v>
      </c>
      <c r="CA42" s="2">
        <v>0.93714900000000001</v>
      </c>
      <c r="CB42" s="3">
        <v>7.7980720000000003E-2</v>
      </c>
      <c r="CC42" s="3">
        <v>2.7493810000000001</v>
      </c>
      <c r="CD42" s="3">
        <v>2.7501199999999999</v>
      </c>
      <c r="CE42" s="2">
        <v>2.688169E-2</v>
      </c>
      <c r="CF42" s="3">
        <v>13945.39</v>
      </c>
      <c r="CG42" s="3">
        <v>13815.01</v>
      </c>
      <c r="CH42" s="2">
        <v>-0.93494060000000001</v>
      </c>
      <c r="CI42" s="3">
        <v>62.691809999999997</v>
      </c>
      <c r="CJ42" s="2">
        <v>0.28703210000000001</v>
      </c>
      <c r="CK42" s="3">
        <v>56261.41</v>
      </c>
      <c r="CL42" s="3">
        <v>55576.83</v>
      </c>
      <c r="CM42" s="2">
        <v>-1.2167809999999999</v>
      </c>
      <c r="CN42" s="3">
        <v>54.242069999999998</v>
      </c>
      <c r="CO42" s="3">
        <v>53.276560000000003</v>
      </c>
      <c r="CP42" s="3">
        <v>55.488079999999997</v>
      </c>
      <c r="CQ42" s="2">
        <v>6.2090870000000002</v>
      </c>
      <c r="CR42" s="2">
        <v>8.1338519999999992</v>
      </c>
      <c r="CS42" s="2">
        <v>3.8241149999999999</v>
      </c>
      <c r="CT42" s="2">
        <v>-1.7799910000000001</v>
      </c>
      <c r="CU42" s="2">
        <v>67.073809999999995</v>
      </c>
      <c r="CV42" s="3">
        <v>6.7020239999999995E-2</v>
      </c>
      <c r="CW42" s="2">
        <v>3.831156</v>
      </c>
      <c r="CX42" s="2">
        <v>-1.00152</v>
      </c>
      <c r="CY42" s="2">
        <v>-0.9789485</v>
      </c>
      <c r="CZ42" s="2">
        <v>27.737369999999999</v>
      </c>
    </row>
    <row r="43" spans="1:104" ht="15" customHeight="1" x14ac:dyDescent="0.2">
      <c r="A43" s="1">
        <f t="shared" si="0"/>
        <v>37</v>
      </c>
      <c r="B43" s="1" t="s">
        <v>124</v>
      </c>
      <c r="C43" s="1" t="s">
        <v>123</v>
      </c>
      <c r="D43" s="1" t="s">
        <v>40</v>
      </c>
      <c r="E43" s="1" t="s">
        <v>94</v>
      </c>
      <c r="F43" s="1" t="s">
        <v>125</v>
      </c>
      <c r="G43" s="2">
        <v>231041.5</v>
      </c>
      <c r="H43" s="2">
        <v>45.2727</v>
      </c>
      <c r="I43" s="2">
        <v>104598.8</v>
      </c>
      <c r="J43" s="3">
        <v>431.05</v>
      </c>
      <c r="K43" s="3">
        <v>0</v>
      </c>
      <c r="L43" s="2">
        <v>1.39195</v>
      </c>
      <c r="M43" s="2">
        <v>1.507946</v>
      </c>
      <c r="N43" s="2">
        <v>1.648301</v>
      </c>
      <c r="O43" s="2">
        <v>1.7846</v>
      </c>
      <c r="P43" s="2">
        <v>38.28152</v>
      </c>
      <c r="Q43" s="2">
        <v>35.53586</v>
      </c>
      <c r="R43" s="2">
        <v>32.679369999999999</v>
      </c>
      <c r="S43" s="2">
        <v>30.123629999999999</v>
      </c>
      <c r="T43" s="2">
        <v>20.19041</v>
      </c>
      <c r="U43" s="2">
        <v>23.76322</v>
      </c>
      <c r="V43" s="2">
        <v>21.657910000000001</v>
      </c>
      <c r="W43" s="2">
        <v>19.790590000000002</v>
      </c>
      <c r="X43" s="2">
        <v>8.527215</v>
      </c>
      <c r="Y43" s="2">
        <v>7.7388789999999998</v>
      </c>
      <c r="Z43" s="2">
        <v>7.0203579999999999</v>
      </c>
      <c r="AA43" s="2">
        <v>6.325221</v>
      </c>
      <c r="AB43" s="2">
        <v>32.82208</v>
      </c>
      <c r="AC43" s="2">
        <v>29.45552</v>
      </c>
      <c r="AD43" s="2">
        <v>27.04203</v>
      </c>
      <c r="AE43" s="2">
        <v>24.314229999999998</v>
      </c>
      <c r="AF43" s="2">
        <v>2.7617069999999999</v>
      </c>
      <c r="AG43" s="2">
        <v>3.0575019999999999</v>
      </c>
      <c r="AH43" s="2">
        <v>3.3467310000000001</v>
      </c>
      <c r="AI43" s="2">
        <v>2.7890419999999998</v>
      </c>
      <c r="AJ43" s="2">
        <v>3.0533410000000001</v>
      </c>
      <c r="AK43" s="2">
        <v>3.2946719999999998</v>
      </c>
      <c r="AL43" s="3">
        <v>3.7474750000000001</v>
      </c>
      <c r="AM43" s="3">
        <v>3.4373680000000002</v>
      </c>
      <c r="AN43" s="2">
        <v>23.504470000000001</v>
      </c>
      <c r="AO43" s="2">
        <v>23.658380000000001</v>
      </c>
      <c r="AP43" s="2">
        <v>23.718990000000002</v>
      </c>
      <c r="AQ43" s="2">
        <v>24.13334</v>
      </c>
      <c r="AR43" s="2">
        <v>0.3372753</v>
      </c>
      <c r="AS43" s="2">
        <v>0.2328993</v>
      </c>
      <c r="AT43" s="2">
        <v>-2.9510519999999998E-2</v>
      </c>
      <c r="AU43" s="2">
        <v>-0.31271110000000002</v>
      </c>
      <c r="AV43" s="1" t="s">
        <v>88</v>
      </c>
      <c r="AW43" s="3">
        <v>1.8333330000000001</v>
      </c>
      <c r="AX43" s="3">
        <v>425</v>
      </c>
      <c r="AY43" s="2">
        <v>-1.403546</v>
      </c>
      <c r="AZ43" s="2">
        <v>21.777660000000001</v>
      </c>
      <c r="BA43" s="2">
        <v>10.11992</v>
      </c>
      <c r="BB43" s="2">
        <v>21.49098</v>
      </c>
      <c r="BC43" s="2">
        <v>29.21163</v>
      </c>
      <c r="BD43" s="3">
        <v>330</v>
      </c>
      <c r="BE43" s="2">
        <v>30.621210000000001</v>
      </c>
      <c r="BF43" s="3">
        <v>442.6</v>
      </c>
      <c r="BG43" s="2">
        <v>-2.6095869999999999</v>
      </c>
      <c r="BH43" s="2">
        <v>53.295830000000002</v>
      </c>
      <c r="BI43" s="2">
        <v>53.524079999999998</v>
      </c>
      <c r="BJ43" s="2">
        <v>53.208019999999998</v>
      </c>
      <c r="BK43" s="2">
        <v>53.442810000000001</v>
      </c>
      <c r="BL43" s="2">
        <v>23</v>
      </c>
      <c r="BM43" s="2">
        <v>20</v>
      </c>
      <c r="BN43" s="4">
        <v>24</v>
      </c>
      <c r="BO43" s="4">
        <v>1</v>
      </c>
      <c r="BP43" s="4">
        <v>1</v>
      </c>
      <c r="BQ43" s="4">
        <v>23</v>
      </c>
      <c r="BR43" s="2">
        <v>4</v>
      </c>
      <c r="BS43" s="4">
        <v>9</v>
      </c>
      <c r="BT43" s="4">
        <v>4</v>
      </c>
      <c r="BU43" s="4">
        <v>24</v>
      </c>
      <c r="BV43" s="2">
        <v>37.5</v>
      </c>
      <c r="BW43" s="2">
        <v>6.6276700000000002</v>
      </c>
      <c r="BX43" s="2">
        <v>535.99710000000005</v>
      </c>
      <c r="BY43" s="3">
        <v>0.3210556</v>
      </c>
      <c r="BZ43" s="3">
        <v>5.9898750000000001E-2</v>
      </c>
      <c r="CA43" s="2">
        <v>0.85728599999999999</v>
      </c>
      <c r="CB43" s="3">
        <v>5.9898750000000001E-2</v>
      </c>
      <c r="CC43" s="3">
        <v>12.147629999999999</v>
      </c>
      <c r="CD43" s="3">
        <v>12.07222</v>
      </c>
      <c r="CE43" s="2">
        <v>-0.62077640000000001</v>
      </c>
      <c r="CF43" s="3">
        <v>8359.09</v>
      </c>
      <c r="CG43" s="3">
        <v>8186.268</v>
      </c>
      <c r="CH43" s="2">
        <v>-2.0674709999999998</v>
      </c>
      <c r="CI43" s="3">
        <v>427.56529999999998</v>
      </c>
      <c r="CJ43" s="2">
        <v>-0.59997440000000002</v>
      </c>
      <c r="CK43" s="3">
        <v>41577.449999999997</v>
      </c>
      <c r="CL43" s="3">
        <v>41531.39</v>
      </c>
      <c r="CM43" s="2">
        <v>-0.1107752</v>
      </c>
      <c r="CN43" s="3">
        <v>406.57</v>
      </c>
      <c r="CO43" s="3">
        <v>403.51569999999998</v>
      </c>
      <c r="CP43" s="3">
        <v>415.59809999999999</v>
      </c>
      <c r="CQ43" s="2">
        <v>6.0211059999999996</v>
      </c>
      <c r="CR43" s="2">
        <v>6.8236109999999996</v>
      </c>
      <c r="CS43" s="2">
        <v>3.7179950000000002</v>
      </c>
      <c r="CT43" s="2">
        <v>-0.75123910000000005</v>
      </c>
      <c r="CU43" s="2">
        <v>132.61959999999999</v>
      </c>
      <c r="CV43" s="3">
        <v>5.7400739999999999E-2</v>
      </c>
      <c r="CW43" s="2" t="e">
        <v>#N/A</v>
      </c>
      <c r="CX43" s="2">
        <v>9.9970019999999992E-4</v>
      </c>
      <c r="CY43" s="2" t="e">
        <v>#N/A</v>
      </c>
      <c r="CZ43" s="2">
        <v>29.30303</v>
      </c>
    </row>
    <row r="44" spans="1:104" ht="15" customHeight="1" x14ac:dyDescent="0.2">
      <c r="A44" s="1">
        <f t="shared" si="0"/>
        <v>38</v>
      </c>
      <c r="B44" s="1" t="s">
        <v>127</v>
      </c>
      <c r="C44" s="1" t="s">
        <v>126</v>
      </c>
      <c r="D44" s="1" t="s">
        <v>27</v>
      </c>
      <c r="E44" s="1" t="s">
        <v>12</v>
      </c>
      <c r="F44" s="1" t="s">
        <v>13</v>
      </c>
      <c r="G44" s="2">
        <v>21944.38</v>
      </c>
      <c r="H44" s="2">
        <v>97.526200000000003</v>
      </c>
      <c r="I44" s="2">
        <v>21401.52</v>
      </c>
      <c r="J44" s="3">
        <v>106.42</v>
      </c>
      <c r="K44" s="3">
        <v>0</v>
      </c>
      <c r="L44" s="2">
        <v>8.1751550000000002</v>
      </c>
      <c r="M44" s="2">
        <v>8.2785200000000003</v>
      </c>
      <c r="N44" s="2">
        <v>8.3912800000000001</v>
      </c>
      <c r="O44" s="2">
        <v>8.4852480000000003</v>
      </c>
      <c r="P44" s="2">
        <v>3.5916299999999999</v>
      </c>
      <c r="Q44" s="2">
        <v>3.4928140000000001</v>
      </c>
      <c r="R44" s="2">
        <v>3.49491</v>
      </c>
      <c r="S44" s="2">
        <v>3.3262019999999999</v>
      </c>
      <c r="T44" s="2">
        <v>0.52496169999999998</v>
      </c>
      <c r="U44" s="2">
        <v>0.43530720000000001</v>
      </c>
      <c r="V44" s="2">
        <v>0.38491300000000001</v>
      </c>
      <c r="W44" s="2">
        <v>0.35627750000000002</v>
      </c>
      <c r="X44" s="2">
        <v>0.3225826</v>
      </c>
      <c r="Y44" s="2">
        <v>0.31175589999999997</v>
      </c>
      <c r="Z44" s="2">
        <v>0.29836289999999999</v>
      </c>
      <c r="AA44" s="2">
        <v>0.28144609999999998</v>
      </c>
      <c r="AB44" s="2">
        <v>1.785571</v>
      </c>
      <c r="AC44" s="2">
        <v>1.5606180000000001</v>
      </c>
      <c r="AD44" s="2">
        <v>1.467233</v>
      </c>
      <c r="AE44" s="2">
        <v>1.4279109999999999</v>
      </c>
      <c r="AF44" s="2">
        <v>-53.780569999999997</v>
      </c>
      <c r="AG44" s="2">
        <v>-51.72616</v>
      </c>
      <c r="AH44" s="2">
        <v>-58.4315</v>
      </c>
      <c r="AI44" s="2">
        <v>37.354869999999998</v>
      </c>
      <c r="AJ44" s="2">
        <v>42.002229999999997</v>
      </c>
      <c r="AK44" s="2">
        <v>50.290019999999998</v>
      </c>
      <c r="AL44" s="3">
        <v>0.67307280000000003</v>
      </c>
      <c r="AM44" s="3">
        <v>0.66594279999999995</v>
      </c>
      <c r="AN44" s="2">
        <v>16.75564</v>
      </c>
      <c r="AO44" s="2">
        <v>14.52464</v>
      </c>
      <c r="AP44" s="2">
        <v>14.124739999999999</v>
      </c>
      <c r="AQ44" s="2">
        <v>13.906459999999999</v>
      </c>
      <c r="AR44" s="2">
        <v>-0.91937729999999995</v>
      </c>
      <c r="AS44" s="2">
        <v>-0.81530259999999999</v>
      </c>
      <c r="AT44" s="2">
        <v>-0.88585259999999999</v>
      </c>
      <c r="AU44" s="2">
        <v>-0.89742449999999996</v>
      </c>
      <c r="AV44" s="1" t="s">
        <v>6</v>
      </c>
      <c r="AW44" s="3">
        <v>1.5434779999999999</v>
      </c>
      <c r="AX44" s="3">
        <v>135</v>
      </c>
      <c r="AY44" s="2">
        <v>26.85586</v>
      </c>
      <c r="AZ44" s="2">
        <v>8.9256360000000008</v>
      </c>
      <c r="BA44" s="2">
        <v>5.2164210000000004</v>
      </c>
      <c r="BB44" s="2">
        <v>-23.931380000000001</v>
      </c>
      <c r="BC44" s="2">
        <v>-8.5895899999999994</v>
      </c>
      <c r="BD44" s="3">
        <v>97.83</v>
      </c>
      <c r="BE44" s="2">
        <v>8.7805389999999992</v>
      </c>
      <c r="BF44" s="3">
        <v>143.19999999999999</v>
      </c>
      <c r="BG44" s="2">
        <v>-25.684360000000002</v>
      </c>
      <c r="BH44" s="2">
        <v>28.79974</v>
      </c>
      <c r="BI44" s="2">
        <v>29.290700000000001</v>
      </c>
      <c r="BJ44" s="2">
        <v>28.66677</v>
      </c>
      <c r="BK44" s="2">
        <v>26.83145</v>
      </c>
      <c r="BL44" s="2">
        <v>21</v>
      </c>
      <c r="BM44" s="2">
        <v>20</v>
      </c>
      <c r="BN44" s="4">
        <v>23</v>
      </c>
      <c r="BO44" s="4">
        <v>3</v>
      </c>
      <c r="BP44" s="4">
        <v>2</v>
      </c>
      <c r="BQ44" s="4">
        <v>20</v>
      </c>
      <c r="BR44" s="2">
        <v>12</v>
      </c>
      <c r="BS44" s="4">
        <v>13</v>
      </c>
      <c r="BT44" s="4">
        <v>2</v>
      </c>
      <c r="BU44" s="4">
        <v>23</v>
      </c>
      <c r="BV44" s="2">
        <v>56.521740000000001</v>
      </c>
      <c r="BW44" s="2">
        <v>9.8554499999999994</v>
      </c>
      <c r="BX44" s="2">
        <v>206.2054</v>
      </c>
      <c r="BY44" s="3">
        <v>1.04464</v>
      </c>
      <c r="BZ44" s="3">
        <v>0.50660130000000003</v>
      </c>
      <c r="CA44" s="2">
        <v>1.34361</v>
      </c>
      <c r="CB44" s="3">
        <v>0.50660130000000003</v>
      </c>
      <c r="CC44" s="3">
        <v>31.793299999999999</v>
      </c>
      <c r="CD44" s="3">
        <v>30.310179999999999</v>
      </c>
      <c r="CE44" s="2">
        <v>-4.6648680000000002</v>
      </c>
      <c r="CF44" s="3">
        <v>23098.67</v>
      </c>
      <c r="CG44" s="3">
        <v>22063.19</v>
      </c>
      <c r="CH44" s="2">
        <v>-4.4828710000000003</v>
      </c>
      <c r="CI44" s="3">
        <v>157.5</v>
      </c>
      <c r="CJ44" s="2">
        <v>-14.28571</v>
      </c>
      <c r="CK44" s="3">
        <v>308324.8</v>
      </c>
      <c r="CL44" s="3">
        <v>312183.40000000002</v>
      </c>
      <c r="CM44" s="2">
        <v>1.251495</v>
      </c>
      <c r="CN44" s="3">
        <v>117.71510000000001</v>
      </c>
      <c r="CO44" s="3">
        <v>106.25960000000001</v>
      </c>
      <c r="CP44" s="3">
        <v>104.9508</v>
      </c>
      <c r="CQ44" s="2">
        <v>-9.5953040000000005</v>
      </c>
      <c r="CR44" s="2">
        <v>0.1509547</v>
      </c>
      <c r="CS44" s="2">
        <v>1.3999220000000001</v>
      </c>
      <c r="CT44" s="2">
        <v>-9.7315729999999991</v>
      </c>
      <c r="CU44" s="2">
        <v>103.56699999999999</v>
      </c>
      <c r="CV44" s="3">
        <v>0.47195239999999999</v>
      </c>
      <c r="CW44" s="2">
        <v>9.7983720000000005</v>
      </c>
      <c r="CX44" s="2">
        <v>2.899232</v>
      </c>
      <c r="CY44" s="2">
        <v>-10.93121</v>
      </c>
      <c r="CZ44" s="2">
        <v>29.52525</v>
      </c>
    </row>
    <row r="45" spans="1:104" ht="15" customHeight="1" x14ac:dyDescent="0.2">
      <c r="A45" s="1">
        <f t="shared" si="0"/>
        <v>39</v>
      </c>
      <c r="B45" s="1" t="s">
        <v>129</v>
      </c>
      <c r="C45" s="1" t="s">
        <v>128</v>
      </c>
      <c r="D45" s="1" t="s">
        <v>32</v>
      </c>
      <c r="E45" s="1" t="s">
        <v>53</v>
      </c>
      <c r="F45" s="1" t="s">
        <v>130</v>
      </c>
      <c r="G45" s="2">
        <v>25517.59</v>
      </c>
      <c r="H45" s="2">
        <v>98.229399999999998</v>
      </c>
      <c r="I45" s="2">
        <v>25065.78</v>
      </c>
      <c r="J45" s="3">
        <v>26.56</v>
      </c>
      <c r="K45" s="3">
        <v>0</v>
      </c>
      <c r="L45" s="2">
        <v>3.9533130000000001</v>
      </c>
      <c r="M45" s="2">
        <v>4.0704260000000003</v>
      </c>
      <c r="N45" s="2">
        <v>4.3298189999999996</v>
      </c>
      <c r="O45" s="2">
        <v>4.631024</v>
      </c>
      <c r="P45" s="2">
        <v>10.41569</v>
      </c>
      <c r="Q45" s="2">
        <v>10.709680000000001</v>
      </c>
      <c r="R45" s="2">
        <v>10.28134</v>
      </c>
      <c r="S45" s="2">
        <v>9.4418769999999999</v>
      </c>
      <c r="T45" s="2">
        <v>5.7378270000000002</v>
      </c>
      <c r="U45" s="2">
        <v>5.6922269999999999</v>
      </c>
      <c r="V45" s="2">
        <v>5.5386449999999998</v>
      </c>
      <c r="W45" s="2">
        <v>5.3264849999999999</v>
      </c>
      <c r="X45" s="2">
        <v>1.7003839999999999</v>
      </c>
      <c r="Y45" s="2">
        <v>1.670277</v>
      </c>
      <c r="Z45" s="2">
        <v>1.5651550000000001</v>
      </c>
      <c r="AA45" s="2">
        <v>1.451954</v>
      </c>
      <c r="AB45" s="2">
        <v>5.487603</v>
      </c>
      <c r="AC45" s="2">
        <v>4.7812780000000004</v>
      </c>
      <c r="AD45" s="2">
        <v>4.8376799999999998</v>
      </c>
      <c r="AE45" s="2">
        <v>4.4389940000000001</v>
      </c>
      <c r="AF45" s="2">
        <v>6.3648170000000004</v>
      </c>
      <c r="AG45" s="2">
        <v>5.4461719999999998</v>
      </c>
      <c r="AH45" s="2">
        <v>5.5815739999999998</v>
      </c>
      <c r="AI45" s="2">
        <v>10.007759999999999</v>
      </c>
      <c r="AJ45" s="2">
        <v>8.5383270000000007</v>
      </c>
      <c r="AK45" s="2">
        <v>8.6939810000000008</v>
      </c>
      <c r="AL45" s="3">
        <v>3.4507140000000001</v>
      </c>
      <c r="AM45" s="3">
        <v>3.3389389999999999</v>
      </c>
      <c r="AN45" s="2">
        <v>8.2325490000000006</v>
      </c>
      <c r="AO45" s="2">
        <v>7.9334340000000001</v>
      </c>
      <c r="AP45" s="2">
        <v>7.9798770000000001</v>
      </c>
      <c r="AQ45" s="2">
        <v>8.0591369999999998</v>
      </c>
      <c r="AR45" s="2">
        <v>2.0132660000000002</v>
      </c>
      <c r="AS45" s="2">
        <v>2.072038</v>
      </c>
      <c r="AT45" s="2">
        <v>2.0058199999999999</v>
      </c>
      <c r="AU45" s="2">
        <v>1.9068579999999999</v>
      </c>
      <c r="AV45" s="1" t="s">
        <v>88</v>
      </c>
      <c r="AW45" s="3">
        <v>1.6315789999999999</v>
      </c>
      <c r="AX45" s="3">
        <v>32</v>
      </c>
      <c r="AY45" s="2">
        <v>20.481929999999998</v>
      </c>
      <c r="AZ45" s="2">
        <v>15.59596</v>
      </c>
      <c r="BA45" s="2">
        <v>3.098096</v>
      </c>
      <c r="BB45" s="2">
        <v>-4.5119579999999999</v>
      </c>
      <c r="BC45" s="2">
        <v>-1.0432239999999999</v>
      </c>
      <c r="BD45" s="3">
        <v>26.145</v>
      </c>
      <c r="BE45" s="2">
        <v>1.587296</v>
      </c>
      <c r="BF45" s="3">
        <v>32.51</v>
      </c>
      <c r="BG45" s="2">
        <v>-18.302060000000001</v>
      </c>
      <c r="BH45" s="2">
        <v>40.672269999999997</v>
      </c>
      <c r="BI45" s="2">
        <v>43.501669999999997</v>
      </c>
      <c r="BJ45" s="2">
        <v>44.863680000000002</v>
      </c>
      <c r="BK45" s="2">
        <v>44.261029999999998</v>
      </c>
      <c r="BL45" s="2">
        <v>16</v>
      </c>
      <c r="BM45" s="2">
        <v>16</v>
      </c>
      <c r="BN45" s="4">
        <v>19</v>
      </c>
      <c r="BO45" s="4">
        <v>0</v>
      </c>
      <c r="BP45" s="4">
        <v>1</v>
      </c>
      <c r="BQ45" s="4">
        <v>16</v>
      </c>
      <c r="BR45" s="2">
        <v>0</v>
      </c>
      <c r="BS45" s="4">
        <v>8</v>
      </c>
      <c r="BT45" s="4">
        <v>1</v>
      </c>
      <c r="BU45" s="4">
        <v>19</v>
      </c>
      <c r="BV45" s="2">
        <v>42.105260000000001</v>
      </c>
      <c r="BW45" s="2">
        <v>5.1980700000000004</v>
      </c>
      <c r="BX45" s="2">
        <v>960.75279999999998</v>
      </c>
      <c r="BY45" s="3">
        <v>2.0731809999999999</v>
      </c>
      <c r="BZ45" s="3">
        <v>0.21578720000000001</v>
      </c>
      <c r="CA45" s="2">
        <v>0.44598300000000002</v>
      </c>
      <c r="CB45" s="3">
        <v>0.21578720000000001</v>
      </c>
      <c r="CC45" s="3">
        <v>2.4983409999999999</v>
      </c>
      <c r="CD45" s="3">
        <v>2.484416</v>
      </c>
      <c r="CE45" s="2">
        <v>-0.55739280000000002</v>
      </c>
      <c r="CF45" s="3">
        <v>3593.3539999999998</v>
      </c>
      <c r="CG45" s="3">
        <v>3547.069</v>
      </c>
      <c r="CH45" s="2">
        <v>-1.288068</v>
      </c>
      <c r="CI45" s="3">
        <v>32.94444</v>
      </c>
      <c r="CJ45" s="2">
        <v>-2.8667750000000001</v>
      </c>
      <c r="CK45" s="3">
        <v>88095.2</v>
      </c>
      <c r="CL45" s="3">
        <v>88764.43</v>
      </c>
      <c r="CM45" s="2">
        <v>0.75967309999999999</v>
      </c>
      <c r="CN45" s="3">
        <v>29.841049999999999</v>
      </c>
      <c r="CO45" s="3">
        <v>27.724509999999999</v>
      </c>
      <c r="CP45" s="3">
        <v>27.249040000000001</v>
      </c>
      <c r="CQ45" s="2">
        <v>-10.995100000000001</v>
      </c>
      <c r="CR45" s="2">
        <v>-4.2002969999999999</v>
      </c>
      <c r="CS45" s="2">
        <v>-2.528667</v>
      </c>
      <c r="CT45" s="2">
        <v>-7.092714</v>
      </c>
      <c r="CU45" s="2">
        <v>56.213650000000001</v>
      </c>
      <c r="CV45" s="3">
        <v>0.22029370000000001</v>
      </c>
      <c r="CW45" s="2">
        <v>-2.936785</v>
      </c>
      <c r="CX45" s="2">
        <v>0.24833179999999999</v>
      </c>
      <c r="CY45" s="2">
        <v>-2.7551519999999998</v>
      </c>
      <c r="CZ45" s="2">
        <v>29.898990000000001</v>
      </c>
    </row>
    <row r="46" spans="1:104" ht="15" customHeight="1" x14ac:dyDescent="0.2">
      <c r="A46" s="1">
        <f t="shared" si="0"/>
        <v>40</v>
      </c>
      <c r="B46" s="1" t="s">
        <v>132</v>
      </c>
      <c r="C46" s="1" t="s">
        <v>131</v>
      </c>
      <c r="D46" s="1" t="s">
        <v>27</v>
      </c>
      <c r="E46" s="1" t="s">
        <v>12</v>
      </c>
      <c r="F46" s="1" t="s">
        <v>13</v>
      </c>
      <c r="G46" s="2">
        <v>63740.91</v>
      </c>
      <c r="H46" s="2">
        <v>80.334199999999996</v>
      </c>
      <c r="I46" s="2">
        <v>51205.75</v>
      </c>
      <c r="J46" s="3">
        <v>59.58</v>
      </c>
      <c r="K46" s="3">
        <v>0</v>
      </c>
      <c r="L46" s="2">
        <v>8.72776</v>
      </c>
      <c r="M46" s="2">
        <v>8.72776</v>
      </c>
      <c r="N46" s="2">
        <v>8.5755020000000002</v>
      </c>
      <c r="O46" s="2">
        <v>8.7697210000000005</v>
      </c>
      <c r="P46" s="2">
        <v>4.3970479999999998</v>
      </c>
      <c r="Q46" s="2">
        <v>4.5273560000000002</v>
      </c>
      <c r="R46" s="2">
        <v>5.1001539999999999</v>
      </c>
      <c r="S46" s="2">
        <v>4.9846560000000002</v>
      </c>
      <c r="T46" s="2">
        <v>1.445519</v>
      </c>
      <c r="U46" s="2">
        <v>1.377472</v>
      </c>
      <c r="V46" s="2">
        <v>1.406507</v>
      </c>
      <c r="W46" s="2">
        <v>1.275746</v>
      </c>
      <c r="X46" s="2">
        <v>0.78591219999999995</v>
      </c>
      <c r="Y46" s="2">
        <v>0.67789290000000002</v>
      </c>
      <c r="Z46" s="2">
        <v>0.62818280000000004</v>
      </c>
      <c r="AA46" s="2">
        <v>0.58699509999999999</v>
      </c>
      <c r="AB46" s="2">
        <v>3.7865890000000002</v>
      </c>
      <c r="AC46" s="2">
        <v>3.5000369999999998</v>
      </c>
      <c r="AD46" s="2">
        <v>3.6294219999999999</v>
      </c>
      <c r="AE46" s="2">
        <v>3.4996360000000002</v>
      </c>
      <c r="AF46" s="2">
        <v>27.049849999999999</v>
      </c>
      <c r="AG46" s="2">
        <v>27.544619999999998</v>
      </c>
      <c r="AH46" s="2">
        <v>32.345289999999999</v>
      </c>
      <c r="AI46" s="2">
        <v>15.171049999999999</v>
      </c>
      <c r="AJ46" s="2">
        <v>14.80034</v>
      </c>
      <c r="AK46" s="2">
        <v>15.58193</v>
      </c>
      <c r="AL46" s="3" t="e">
        <v>#N/A</v>
      </c>
      <c r="AM46" s="3" t="e">
        <v>#N/A</v>
      </c>
      <c r="AN46" s="2">
        <v>18.01662</v>
      </c>
      <c r="AO46" s="2">
        <v>17.054030000000001</v>
      </c>
      <c r="AP46" s="2">
        <v>15.677530000000001</v>
      </c>
      <c r="AQ46" s="2">
        <v>15.054779999999999</v>
      </c>
      <c r="AR46" s="2">
        <v>-0.98484899999999997</v>
      </c>
      <c r="AS46" s="2">
        <v>-1.0785499999999999</v>
      </c>
      <c r="AT46" s="2">
        <v>-1.211117</v>
      </c>
      <c r="AU46" s="2">
        <v>-1.3724749999999999</v>
      </c>
      <c r="AV46" s="1" t="s">
        <v>6</v>
      </c>
      <c r="AW46" s="3">
        <v>1.4347829999999999</v>
      </c>
      <c r="AX46" s="3">
        <v>78</v>
      </c>
      <c r="AY46" s="2">
        <v>30.916419999999999</v>
      </c>
      <c r="AZ46" s="2">
        <v>14.97326</v>
      </c>
      <c r="BA46" s="2">
        <v>-3.8801549999999998</v>
      </c>
      <c r="BB46" s="2">
        <v>-7.4844720000000002</v>
      </c>
      <c r="BC46" s="2">
        <v>-2.9641690000000001</v>
      </c>
      <c r="BD46" s="3">
        <v>55.08</v>
      </c>
      <c r="BE46" s="2">
        <v>8.1699369999999991</v>
      </c>
      <c r="BF46" s="3">
        <v>76.099999999999994</v>
      </c>
      <c r="BG46" s="2">
        <v>-21.708269999999999</v>
      </c>
      <c r="BH46" s="2">
        <v>37.963099999999997</v>
      </c>
      <c r="BI46" s="2">
        <v>40.289650000000002</v>
      </c>
      <c r="BJ46" s="2">
        <v>42.470579999999998</v>
      </c>
      <c r="BK46" s="2">
        <v>42.248809999999999</v>
      </c>
      <c r="BL46" s="2">
        <v>21</v>
      </c>
      <c r="BM46" s="2">
        <v>20</v>
      </c>
      <c r="BN46" s="4">
        <v>23</v>
      </c>
      <c r="BO46" s="4">
        <v>1</v>
      </c>
      <c r="BP46" s="4">
        <v>3</v>
      </c>
      <c r="BQ46" s="4">
        <v>18</v>
      </c>
      <c r="BR46" s="2">
        <v>4.5454549999999996</v>
      </c>
      <c r="BS46" s="4">
        <v>14</v>
      </c>
      <c r="BT46" s="4">
        <v>1</v>
      </c>
      <c r="BU46" s="4">
        <v>23</v>
      </c>
      <c r="BV46" s="2">
        <v>60.86956</v>
      </c>
      <c r="BW46" s="2">
        <v>8.5733899999999998</v>
      </c>
      <c r="BX46" s="2">
        <v>1069.837</v>
      </c>
      <c r="BY46" s="3">
        <v>2.4352870000000002</v>
      </c>
      <c r="BZ46" s="3">
        <v>0.22763149999999999</v>
      </c>
      <c r="CA46" s="2">
        <v>1.24939</v>
      </c>
      <c r="CB46" s="3">
        <v>0.22763149999999999</v>
      </c>
      <c r="CC46" s="3">
        <v>13.12262</v>
      </c>
      <c r="CD46" s="3">
        <v>12.922000000000001</v>
      </c>
      <c r="CE46" s="2">
        <v>-1.5288649999999999</v>
      </c>
      <c r="CF46" s="3">
        <v>19734.16</v>
      </c>
      <c r="CG46" s="3">
        <v>18888.849999999999</v>
      </c>
      <c r="CH46" s="2">
        <v>-4.2835000000000001</v>
      </c>
      <c r="CI46" s="3">
        <v>90.41892</v>
      </c>
      <c r="CJ46" s="2">
        <v>-13.734870000000001</v>
      </c>
      <c r="CK46" s="3">
        <v>153922</v>
      </c>
      <c r="CL46" s="3">
        <v>152416.6</v>
      </c>
      <c r="CM46" s="2">
        <v>-0.97808240000000002</v>
      </c>
      <c r="CN46" s="3">
        <v>68.083789999999993</v>
      </c>
      <c r="CO46" s="3">
        <v>61.037059999999997</v>
      </c>
      <c r="CP46" s="3">
        <v>57.664230000000003</v>
      </c>
      <c r="CQ46" s="2">
        <v>-12.490180000000001</v>
      </c>
      <c r="CR46" s="2">
        <v>-2.3871720000000001</v>
      </c>
      <c r="CS46" s="2">
        <v>3.3222909999999999</v>
      </c>
      <c r="CT46" s="2">
        <v>-10.35009</v>
      </c>
      <c r="CU46" s="2">
        <v>167.7901</v>
      </c>
      <c r="CV46" s="3">
        <v>0.26323770000000002</v>
      </c>
      <c r="CW46" s="2">
        <v>7.0002040000000001</v>
      </c>
      <c r="CX46" s="2">
        <v>6.1431439999999997E-2</v>
      </c>
      <c r="CY46" s="2">
        <v>4.7208610000000002</v>
      </c>
      <c r="CZ46" s="2">
        <v>30.30303</v>
      </c>
    </row>
    <row r="47" spans="1:104" ht="15" customHeight="1" x14ac:dyDescent="0.2">
      <c r="A47" s="1">
        <f t="shared" si="0"/>
        <v>41</v>
      </c>
      <c r="B47" s="1" t="s">
        <v>134</v>
      </c>
      <c r="C47" s="1" t="s">
        <v>133</v>
      </c>
      <c r="D47" s="1" t="s">
        <v>27</v>
      </c>
      <c r="E47" s="1" t="s">
        <v>98</v>
      </c>
      <c r="F47" s="1" t="s">
        <v>99</v>
      </c>
      <c r="G47" s="2">
        <v>53329.120000000003</v>
      </c>
      <c r="H47" s="2">
        <v>76.255799999999994</v>
      </c>
      <c r="I47" s="2">
        <v>40666.550000000003</v>
      </c>
      <c r="J47" s="3">
        <v>43.04</v>
      </c>
      <c r="K47" s="3">
        <v>0</v>
      </c>
      <c r="L47" s="2">
        <v>4.2983269999999996</v>
      </c>
      <c r="M47" s="2">
        <v>4.2983269999999996</v>
      </c>
      <c r="N47" s="2">
        <v>4.3564119999999997</v>
      </c>
      <c r="O47" s="2">
        <v>4.5306689999999996</v>
      </c>
      <c r="P47" s="2">
        <v>9.9338479999999993</v>
      </c>
      <c r="Q47" s="2">
        <v>13.53782</v>
      </c>
      <c r="R47" s="2">
        <v>12.709289999999999</v>
      </c>
      <c r="S47" s="2">
        <v>11.29659</v>
      </c>
      <c r="T47" s="2">
        <v>4.8852840000000004</v>
      </c>
      <c r="U47" s="2">
        <v>6.6170309999999999</v>
      </c>
      <c r="V47" s="2">
        <v>6.4422249999999996</v>
      </c>
      <c r="W47" s="2">
        <v>5.9568139999999996</v>
      </c>
      <c r="X47" s="2">
        <v>2.2254689999999999</v>
      </c>
      <c r="Y47" s="2">
        <v>2.1291120000000001</v>
      </c>
      <c r="Z47" s="2">
        <v>2.0146030000000001</v>
      </c>
      <c r="AA47" s="2">
        <v>1.845572</v>
      </c>
      <c r="AB47" s="2">
        <v>5.1519240000000002</v>
      </c>
      <c r="AC47" s="2">
        <v>6.520994</v>
      </c>
      <c r="AD47" s="2">
        <v>7.0814110000000001</v>
      </c>
      <c r="AE47" s="2">
        <v>5.95526</v>
      </c>
      <c r="AF47" s="2">
        <v>4.2094379999999996</v>
      </c>
      <c r="AG47" s="2">
        <v>4.4039450000000002</v>
      </c>
      <c r="AH47" s="2">
        <v>5.0072590000000003</v>
      </c>
      <c r="AI47" s="2">
        <v>5.6505609999999997</v>
      </c>
      <c r="AJ47" s="2">
        <v>5.933459</v>
      </c>
      <c r="AK47" s="2">
        <v>6.7089379999999998</v>
      </c>
      <c r="AL47" s="3" t="e">
        <v>#N/A</v>
      </c>
      <c r="AM47" s="3" t="e">
        <v>#N/A</v>
      </c>
      <c r="AN47" s="2">
        <v>13.35614</v>
      </c>
      <c r="AO47" s="2">
        <v>13.17661</v>
      </c>
      <c r="AP47" s="2">
        <v>13.33732</v>
      </c>
      <c r="AQ47" s="2">
        <v>13.74489</v>
      </c>
      <c r="AR47" s="2">
        <v>1.429319</v>
      </c>
      <c r="AS47" s="2">
        <v>1.687613</v>
      </c>
      <c r="AT47" s="2">
        <v>1.6606639999999999</v>
      </c>
      <c r="AU47" s="2">
        <v>1.5109079999999999</v>
      </c>
      <c r="AV47" s="1" t="s">
        <v>35</v>
      </c>
      <c r="AW47" s="3">
        <v>1.5</v>
      </c>
      <c r="AX47" s="3">
        <v>47.25</v>
      </c>
      <c r="AY47" s="2">
        <v>9.7815989999999999</v>
      </c>
      <c r="AZ47" s="2">
        <v>15.72714</v>
      </c>
      <c r="BA47" s="2">
        <v>-2.9105560000000001</v>
      </c>
      <c r="BB47" s="2">
        <v>13.772130000000001</v>
      </c>
      <c r="BC47" s="2">
        <v>22.34224</v>
      </c>
      <c r="BD47" s="3">
        <v>34.085000000000001</v>
      </c>
      <c r="BE47" s="2">
        <v>26.272559999999999</v>
      </c>
      <c r="BF47" s="3">
        <v>47.045000000000002</v>
      </c>
      <c r="BG47" s="2">
        <v>-8.5131230000000002</v>
      </c>
      <c r="BH47" s="2">
        <v>42.698929999999997</v>
      </c>
      <c r="BI47" s="2">
        <v>58.634300000000003</v>
      </c>
      <c r="BJ47" s="2">
        <v>55.683109999999999</v>
      </c>
      <c r="BK47" s="2">
        <v>50.803939999999997</v>
      </c>
      <c r="BL47" s="2">
        <v>14</v>
      </c>
      <c r="BM47" s="2">
        <v>13</v>
      </c>
      <c r="BN47" s="4">
        <v>17</v>
      </c>
      <c r="BO47" s="4">
        <v>2</v>
      </c>
      <c r="BP47" s="4">
        <v>0</v>
      </c>
      <c r="BQ47" s="4">
        <v>15</v>
      </c>
      <c r="BR47" s="2">
        <v>11.764710000000001</v>
      </c>
      <c r="BS47" s="4">
        <v>11</v>
      </c>
      <c r="BT47" s="4">
        <v>1</v>
      </c>
      <c r="BU47" s="4">
        <v>17</v>
      </c>
      <c r="BV47" s="2">
        <v>64.705889999999997</v>
      </c>
      <c r="BW47" s="2">
        <v>7.8058300000000003</v>
      </c>
      <c r="BX47" s="2">
        <v>1239.059</v>
      </c>
      <c r="BY47" s="3">
        <v>2.2544970000000002</v>
      </c>
      <c r="BZ47" s="3">
        <v>0.18195230000000001</v>
      </c>
      <c r="CA47" s="2">
        <v>1.20204</v>
      </c>
      <c r="CB47" s="3">
        <v>0.18195230000000001</v>
      </c>
      <c r="CC47" s="3">
        <v>3.3709180000000001</v>
      </c>
      <c r="CD47" s="3">
        <v>3.169362</v>
      </c>
      <c r="CE47" s="2">
        <v>-5.9792759999999996</v>
      </c>
      <c r="CF47" s="3">
        <v>6815.8980000000001</v>
      </c>
      <c r="CG47" s="3">
        <v>6388.5690000000004</v>
      </c>
      <c r="CH47" s="2">
        <v>-6.2695920000000003</v>
      </c>
      <c r="CI47" s="3">
        <v>51.006250000000001</v>
      </c>
      <c r="CJ47" s="2">
        <v>-7.3642909999999997</v>
      </c>
      <c r="CK47" s="3">
        <v>85795.67</v>
      </c>
      <c r="CL47" s="3">
        <v>83598.25</v>
      </c>
      <c r="CM47" s="2">
        <v>-2.561229</v>
      </c>
      <c r="CN47" s="3">
        <v>41.782670000000003</v>
      </c>
      <c r="CO47" s="3">
        <v>38.931469999999997</v>
      </c>
      <c r="CP47" s="3">
        <v>39.444229999999997</v>
      </c>
      <c r="CQ47" s="2">
        <v>3.0092240000000001</v>
      </c>
      <c r="CR47" s="2">
        <v>10.553229999999999</v>
      </c>
      <c r="CS47" s="2">
        <v>9.1160770000000007</v>
      </c>
      <c r="CT47" s="2">
        <v>-6.8238620000000001</v>
      </c>
      <c r="CU47" s="2">
        <v>89.788510000000002</v>
      </c>
      <c r="CV47" s="3">
        <v>0.16836670000000001</v>
      </c>
      <c r="CW47" s="2">
        <v>3.9161640000000002</v>
      </c>
      <c r="CX47" s="2">
        <v>-8.7870570000000008</v>
      </c>
      <c r="CY47" s="2">
        <v>-6.9399220000000001</v>
      </c>
      <c r="CZ47" s="2">
        <v>30.838380000000001</v>
      </c>
    </row>
    <row r="48" spans="1:104" ht="15" customHeight="1" x14ac:dyDescent="0.2">
      <c r="A48" s="1">
        <f t="shared" si="0"/>
        <v>42</v>
      </c>
      <c r="B48" s="1" t="s">
        <v>136</v>
      </c>
      <c r="C48" s="1" t="s">
        <v>135</v>
      </c>
      <c r="D48" s="1" t="s">
        <v>32</v>
      </c>
      <c r="E48" s="1" t="s">
        <v>44</v>
      </c>
      <c r="F48" s="1" t="s">
        <v>45</v>
      </c>
      <c r="G48" s="2">
        <v>33222.43</v>
      </c>
      <c r="H48" s="2">
        <v>95.297499999999999</v>
      </c>
      <c r="I48" s="2">
        <v>31660.15</v>
      </c>
      <c r="J48" s="3">
        <v>1071</v>
      </c>
      <c r="K48" s="3">
        <v>0</v>
      </c>
      <c r="L48" s="2">
        <v>0</v>
      </c>
      <c r="M48" s="2">
        <v>0</v>
      </c>
      <c r="N48" s="2">
        <v>0</v>
      </c>
      <c r="O48" s="2">
        <v>0</v>
      </c>
      <c r="P48" s="2">
        <v>58.943309999999997</v>
      </c>
      <c r="Q48" s="2">
        <v>53.496499999999997</v>
      </c>
      <c r="R48" s="2">
        <v>43.22034</v>
      </c>
      <c r="S48" s="2">
        <v>34.168129999999998</v>
      </c>
      <c r="T48" s="2">
        <v>47.953409999999998</v>
      </c>
      <c r="U48" s="2">
        <v>37.590130000000002</v>
      </c>
      <c r="V48" s="2">
        <v>28.878509999999999</v>
      </c>
      <c r="W48" s="2">
        <v>20.613219999999998</v>
      </c>
      <c r="X48" s="2">
        <v>13.78378</v>
      </c>
      <c r="Y48" s="2">
        <v>10.87641</v>
      </c>
      <c r="Z48" s="2">
        <v>8.6861309999999996</v>
      </c>
      <c r="AA48" s="2">
        <v>6.9096780000000004</v>
      </c>
      <c r="AB48" s="2">
        <v>16.449490000000001</v>
      </c>
      <c r="AC48" s="2">
        <v>44.305340000000001</v>
      </c>
      <c r="AD48" s="2">
        <v>35.847099999999998</v>
      </c>
      <c r="AE48" s="2">
        <v>29.17238</v>
      </c>
      <c r="AF48" s="2">
        <v>2.806921</v>
      </c>
      <c r="AG48" s="2">
        <v>4.2636180000000001</v>
      </c>
      <c r="AH48" s="2">
        <v>5.864776</v>
      </c>
      <c r="AI48" s="2">
        <v>2.231976</v>
      </c>
      <c r="AJ48" s="2">
        <v>3.304208</v>
      </c>
      <c r="AK48" s="2">
        <v>4.3924240000000001</v>
      </c>
      <c r="AL48" s="3">
        <v>2.6978360000000001</v>
      </c>
      <c r="AM48" s="3">
        <v>2.164507</v>
      </c>
      <c r="AN48" s="2">
        <v>56.023069999999997</v>
      </c>
      <c r="AO48" s="2">
        <v>43.488610000000001</v>
      </c>
      <c r="AP48" s="2">
        <v>44.900269999999999</v>
      </c>
      <c r="AQ48" s="2">
        <v>49.06982</v>
      </c>
      <c r="AR48" s="2">
        <v>-6.8392150000000003</v>
      </c>
      <c r="AS48" s="2">
        <v>-9.6830180000000006</v>
      </c>
      <c r="AT48" s="2">
        <v>-8.3851659999999999</v>
      </c>
      <c r="AU48" s="2">
        <v>-6.9096060000000001</v>
      </c>
      <c r="AV48" s="1" t="s">
        <v>88</v>
      </c>
      <c r="AW48" s="3">
        <v>1.6969700000000001</v>
      </c>
      <c r="AX48" s="3">
        <v>925</v>
      </c>
      <c r="AY48" s="2">
        <v>-13.63212</v>
      </c>
      <c r="AZ48" s="2">
        <v>20.33107</v>
      </c>
      <c r="BA48" s="2">
        <v>21.208400000000001</v>
      </c>
      <c r="BB48" s="2">
        <v>-26.83427</v>
      </c>
      <c r="BC48" s="2">
        <v>-16.873650000000001</v>
      </c>
      <c r="BD48" s="3">
        <v>602.79999999999995</v>
      </c>
      <c r="BE48" s="2">
        <v>77.670879999999997</v>
      </c>
      <c r="BF48" s="3">
        <v>1699.2</v>
      </c>
      <c r="BG48" s="2">
        <v>-36.97034</v>
      </c>
      <c r="BH48" s="2">
        <v>0</v>
      </c>
      <c r="BI48" s="2">
        <v>0</v>
      </c>
      <c r="BJ48" s="2">
        <v>0</v>
      </c>
      <c r="BK48" s="2">
        <v>0</v>
      </c>
      <c r="BL48" s="2">
        <v>30</v>
      </c>
      <c r="BM48" s="2">
        <v>29</v>
      </c>
      <c r="BN48" s="4">
        <v>33</v>
      </c>
      <c r="BO48" s="4">
        <v>2</v>
      </c>
      <c r="BP48" s="4">
        <v>6</v>
      </c>
      <c r="BQ48" s="4">
        <v>26</v>
      </c>
      <c r="BR48" s="2">
        <v>5.8823530000000002</v>
      </c>
      <c r="BS48" s="4">
        <v>12</v>
      </c>
      <c r="BT48" s="4">
        <v>1</v>
      </c>
      <c r="BU48" s="4">
        <v>33</v>
      </c>
      <c r="BV48" s="2">
        <v>36.363639999999997</v>
      </c>
      <c r="BW48" s="2">
        <v>14.172599999999999</v>
      </c>
      <c r="BX48" s="2">
        <v>31.020009999999999</v>
      </c>
      <c r="BY48" s="3">
        <v>9.8558220000000002E-2</v>
      </c>
      <c r="BZ48" s="3">
        <v>0.31772460000000002</v>
      </c>
      <c r="CA48" s="2">
        <v>1.9092100000000001</v>
      </c>
      <c r="CB48" s="3">
        <v>0.31772460000000002</v>
      </c>
      <c r="CC48" s="3">
        <v>20.053660000000001</v>
      </c>
      <c r="CD48" s="3">
        <v>19.965440000000001</v>
      </c>
      <c r="CE48" s="2">
        <v>-0.43992399999999998</v>
      </c>
      <c r="CF48" s="3">
        <v>627.76319999999998</v>
      </c>
      <c r="CG48" s="3">
        <v>620.68280000000004</v>
      </c>
      <c r="CH48" s="2">
        <v>-1.1278870000000001</v>
      </c>
      <c r="CI48" s="3">
        <v>1111.9359999999999</v>
      </c>
      <c r="CJ48" s="2">
        <v>-16.81175</v>
      </c>
      <c r="CK48" s="3">
        <v>1636.67</v>
      </c>
      <c r="CL48" s="3">
        <v>1626.6990000000001</v>
      </c>
      <c r="CM48" s="2">
        <v>-0.60923700000000003</v>
      </c>
      <c r="CN48" s="3">
        <v>1219.8689999999999</v>
      </c>
      <c r="CO48" s="3">
        <v>796.69399999999996</v>
      </c>
      <c r="CP48" s="3">
        <v>894.827</v>
      </c>
      <c r="CQ48" s="2">
        <v>-12.20365</v>
      </c>
      <c r="CR48" s="2">
        <v>34.430529999999997</v>
      </c>
      <c r="CS48" s="2">
        <v>19.687940000000001</v>
      </c>
      <c r="CT48" s="2">
        <v>-34.690170000000002</v>
      </c>
      <c r="CU48" s="2">
        <v>105.90649999999999</v>
      </c>
      <c r="CV48" s="3">
        <v>0.31878020000000001</v>
      </c>
      <c r="CW48" s="2" t="e">
        <v>#N/A</v>
      </c>
      <c r="CX48" s="2">
        <v>-9.6618350000000006E-2</v>
      </c>
      <c r="CY48" s="2" t="e">
        <v>#N/A</v>
      </c>
      <c r="CZ48" s="2">
        <v>30.959599999999998</v>
      </c>
    </row>
    <row r="49" spans="1:104" ht="15" customHeight="1" x14ac:dyDescent="0.2">
      <c r="A49" s="1">
        <f t="shared" si="0"/>
        <v>43</v>
      </c>
      <c r="B49" s="1" t="s">
        <v>138</v>
      </c>
      <c r="C49" s="1" t="s">
        <v>137</v>
      </c>
      <c r="D49" s="1" t="s">
        <v>40</v>
      </c>
      <c r="E49" s="1" t="s">
        <v>94</v>
      </c>
      <c r="F49" s="1" t="s">
        <v>95</v>
      </c>
      <c r="G49" s="2">
        <v>352789.4</v>
      </c>
      <c r="H49" s="2">
        <v>51.313200000000002</v>
      </c>
      <c r="I49" s="2">
        <v>181027.5</v>
      </c>
      <c r="J49" s="3">
        <v>702.7</v>
      </c>
      <c r="K49" s="3">
        <v>0</v>
      </c>
      <c r="L49" s="2">
        <v>1.7076990000000001</v>
      </c>
      <c r="M49" s="2">
        <v>1.963854</v>
      </c>
      <c r="N49" s="2">
        <v>2.1332</v>
      </c>
      <c r="O49" s="2">
        <v>2.288316</v>
      </c>
      <c r="P49" s="2">
        <v>25.069569999999999</v>
      </c>
      <c r="Q49" s="2">
        <v>22.258469999999999</v>
      </c>
      <c r="R49" s="2">
        <v>20.480910000000002</v>
      </c>
      <c r="S49" s="2">
        <v>18.935780000000001</v>
      </c>
      <c r="T49" s="2">
        <v>13.13603</v>
      </c>
      <c r="U49" s="2">
        <v>12.45734</v>
      </c>
      <c r="V49" s="2">
        <v>11.72193</v>
      </c>
      <c r="W49" s="2">
        <v>10.430910000000001</v>
      </c>
      <c r="X49" s="2">
        <v>6.4047770000000002</v>
      </c>
      <c r="Y49" s="2">
        <v>5.4519359999999999</v>
      </c>
      <c r="Z49" s="2">
        <v>4.7112059999999998</v>
      </c>
      <c r="AA49" s="2">
        <v>4.1145300000000002</v>
      </c>
      <c r="AB49" s="2">
        <v>19.799939999999999</v>
      </c>
      <c r="AC49" s="2">
        <v>16.044139999999999</v>
      </c>
      <c r="AD49" s="2">
        <v>14.95106</v>
      </c>
      <c r="AE49" s="2">
        <v>13.944380000000001</v>
      </c>
      <c r="AF49" s="2">
        <v>3.8754490000000001</v>
      </c>
      <c r="AG49" s="2">
        <v>4.8701460000000001</v>
      </c>
      <c r="AH49" s="2">
        <v>5.1812659999999999</v>
      </c>
      <c r="AI49" s="2">
        <v>3.9436249999999999</v>
      </c>
      <c r="AJ49" s="2">
        <v>4.931921</v>
      </c>
      <c r="AK49" s="2">
        <v>5.040896</v>
      </c>
      <c r="AL49" s="3">
        <v>1.741158</v>
      </c>
      <c r="AM49" s="3">
        <v>1.6337630000000001</v>
      </c>
      <c r="AN49" s="2">
        <v>33.87894</v>
      </c>
      <c r="AO49" s="2">
        <v>33.426929999999999</v>
      </c>
      <c r="AP49" s="2">
        <v>32.88552</v>
      </c>
      <c r="AQ49" s="2">
        <v>33.016680000000001</v>
      </c>
      <c r="AR49" s="2">
        <v>0.38139610000000002</v>
      </c>
      <c r="AS49" s="2">
        <v>0.21535670000000001</v>
      </c>
      <c r="AT49" s="2">
        <v>0.14682580000000001</v>
      </c>
      <c r="AU49" s="2">
        <v>-0.2904602</v>
      </c>
      <c r="AV49" s="1" t="s">
        <v>6</v>
      </c>
      <c r="AW49" s="3">
        <v>1.2166669999999999</v>
      </c>
      <c r="AX49" s="3">
        <v>860</v>
      </c>
      <c r="AY49" s="2">
        <v>22.385079999999999</v>
      </c>
      <c r="AZ49" s="2">
        <v>24.493749999999999</v>
      </c>
      <c r="BA49" s="2">
        <v>13.326449999999999</v>
      </c>
      <c r="BB49" s="2">
        <v>-4.692793</v>
      </c>
      <c r="BC49" s="2">
        <v>3.3534290000000002</v>
      </c>
      <c r="BD49" s="3">
        <v>655</v>
      </c>
      <c r="BE49" s="2">
        <v>7.2824479999999996</v>
      </c>
      <c r="BF49" s="3">
        <v>904.6</v>
      </c>
      <c r="BG49" s="2">
        <v>-22.31925</v>
      </c>
      <c r="BH49" s="2">
        <v>43.07884</v>
      </c>
      <c r="BI49" s="2">
        <v>43.347499999999997</v>
      </c>
      <c r="BJ49" s="2">
        <v>43.647550000000003</v>
      </c>
      <c r="BK49" s="2">
        <v>44.1145</v>
      </c>
      <c r="BL49" s="2">
        <v>29</v>
      </c>
      <c r="BM49" s="2">
        <v>28</v>
      </c>
      <c r="BN49" s="4">
        <v>30</v>
      </c>
      <c r="BO49" s="4">
        <v>1</v>
      </c>
      <c r="BP49" s="4">
        <v>3</v>
      </c>
      <c r="BQ49" s="4">
        <v>27</v>
      </c>
      <c r="BR49" s="2">
        <v>3.225806</v>
      </c>
      <c r="BS49" s="4">
        <v>24</v>
      </c>
      <c r="BT49" s="4">
        <v>0</v>
      </c>
      <c r="BU49" s="4">
        <v>30</v>
      </c>
      <c r="BV49" s="2">
        <v>80</v>
      </c>
      <c r="BW49" s="2">
        <v>7.7433300000000003</v>
      </c>
      <c r="BX49" s="2">
        <v>502.04840000000002</v>
      </c>
      <c r="BY49" s="3">
        <v>0.36304639999999999</v>
      </c>
      <c r="BZ49" s="3">
        <v>7.231303E-2</v>
      </c>
      <c r="CA49" s="2">
        <v>1.19268</v>
      </c>
      <c r="CB49" s="3">
        <v>7.231303E-2</v>
      </c>
      <c r="CC49" s="3">
        <v>33.088050000000003</v>
      </c>
      <c r="CD49" s="3">
        <v>31.796489999999999</v>
      </c>
      <c r="CE49" s="2">
        <v>-3.9033950000000002</v>
      </c>
      <c r="CF49" s="3">
        <v>23859.71</v>
      </c>
      <c r="CG49" s="3">
        <v>22835.759999999998</v>
      </c>
      <c r="CH49" s="2">
        <v>-4.2915229999999998</v>
      </c>
      <c r="CI49" s="3">
        <v>952.58130000000006</v>
      </c>
      <c r="CJ49" s="2">
        <v>-9.7189899999999998</v>
      </c>
      <c r="CK49" s="3">
        <v>88007.52</v>
      </c>
      <c r="CL49" s="3">
        <v>86173.37</v>
      </c>
      <c r="CM49" s="2">
        <v>-2.0840879999999999</v>
      </c>
      <c r="CN49" s="3">
        <v>794.20140000000004</v>
      </c>
      <c r="CO49" s="3">
        <v>696.649</v>
      </c>
      <c r="CP49" s="3">
        <v>696.6884</v>
      </c>
      <c r="CQ49" s="2">
        <v>-11.521179999999999</v>
      </c>
      <c r="CR49" s="2">
        <v>0.86859459999999999</v>
      </c>
      <c r="CS49" s="2">
        <v>0.86288450000000005</v>
      </c>
      <c r="CT49" s="2">
        <v>-12.28308</v>
      </c>
      <c r="CU49" s="2">
        <v>290.7525</v>
      </c>
      <c r="CV49" s="3">
        <v>8.2415310000000006E-2</v>
      </c>
      <c r="CW49" s="2" t="e">
        <v>#N/A</v>
      </c>
      <c r="CX49" s="2">
        <v>-2.9449369999999999</v>
      </c>
      <c r="CY49" s="2" t="e">
        <v>#N/A</v>
      </c>
      <c r="CZ49" s="2">
        <v>30.989899999999999</v>
      </c>
    </row>
    <row r="50" spans="1:104" ht="15" customHeight="1" x14ac:dyDescent="0.2">
      <c r="A50" s="1">
        <f t="shared" si="0"/>
        <v>44</v>
      </c>
      <c r="B50" s="1" t="s">
        <v>140</v>
      </c>
      <c r="C50" s="1" t="s">
        <v>139</v>
      </c>
      <c r="D50" s="1" t="s">
        <v>27</v>
      </c>
      <c r="E50" s="1" t="s">
        <v>108</v>
      </c>
      <c r="F50" s="1" t="s">
        <v>109</v>
      </c>
      <c r="G50" s="2">
        <v>30808.82</v>
      </c>
      <c r="H50" s="2">
        <v>99.9983</v>
      </c>
      <c r="I50" s="2">
        <v>30808.29</v>
      </c>
      <c r="J50" s="3">
        <v>31.36</v>
      </c>
      <c r="K50" s="3">
        <v>0</v>
      </c>
      <c r="L50" s="2">
        <v>7.6530610000000001</v>
      </c>
      <c r="M50" s="2">
        <v>7.5282010000000001</v>
      </c>
      <c r="N50" s="2">
        <v>7.4298460000000004</v>
      </c>
      <c r="O50" s="2">
        <v>7.6530610000000001</v>
      </c>
      <c r="P50" s="2">
        <v>3.9496220000000002</v>
      </c>
      <c r="Q50" s="2">
        <v>5.1241830000000004</v>
      </c>
      <c r="R50" s="2">
        <v>5.1074919999999997</v>
      </c>
      <c r="S50" s="2">
        <v>4.7016489999999997</v>
      </c>
      <c r="T50" s="2">
        <v>5.8672870000000001</v>
      </c>
      <c r="U50" s="2">
        <v>6.016057</v>
      </c>
      <c r="V50" s="2">
        <v>5.6755120000000003</v>
      </c>
      <c r="W50" s="2">
        <v>5.162674</v>
      </c>
      <c r="X50" s="2">
        <v>0.79452750000000005</v>
      </c>
      <c r="Y50" s="2">
        <v>0.84460000000000002</v>
      </c>
      <c r="Z50" s="2">
        <v>0.79796440000000002</v>
      </c>
      <c r="AA50" s="2">
        <v>0.76712329999999995</v>
      </c>
      <c r="AB50" s="2">
        <v>4.343534</v>
      </c>
      <c r="AC50" s="2">
        <v>6.0951110000000002</v>
      </c>
      <c r="AD50" s="2">
        <v>3.6254339999999998</v>
      </c>
      <c r="AE50" s="2">
        <v>3.4117739999999999</v>
      </c>
      <c r="AF50" s="2">
        <v>-0.47760160000000002</v>
      </c>
      <c r="AG50" s="2">
        <v>6.8365819999999999</v>
      </c>
      <c r="AH50" s="2">
        <v>8.1168999999999993</v>
      </c>
      <c r="AI50" s="2">
        <v>-1.0372729999999999</v>
      </c>
      <c r="AJ50" s="2">
        <v>14.407260000000001</v>
      </c>
      <c r="AK50" s="2">
        <v>16.349769999999999</v>
      </c>
      <c r="AL50" s="3" t="e">
        <v>#N/A</v>
      </c>
      <c r="AM50" s="3" t="e">
        <v>#N/A</v>
      </c>
      <c r="AN50" s="2">
        <v>26.632370000000002</v>
      </c>
      <c r="AO50" s="2">
        <v>23.35266</v>
      </c>
      <c r="AP50" s="2">
        <v>23.47992</v>
      </c>
      <c r="AQ50" s="2">
        <v>24.144010000000002</v>
      </c>
      <c r="AR50" s="2">
        <v>2.3539560000000002</v>
      </c>
      <c r="AS50" s="2">
        <v>3.2460270000000002</v>
      </c>
      <c r="AT50" s="2">
        <v>2.982348</v>
      </c>
      <c r="AU50" s="2">
        <v>2.599647</v>
      </c>
      <c r="AV50" s="1" t="s">
        <v>88</v>
      </c>
      <c r="AW50" s="3">
        <v>1.6304350000000001</v>
      </c>
      <c r="AX50" s="3">
        <v>49</v>
      </c>
      <c r="AY50" s="2">
        <v>56.25</v>
      </c>
      <c r="AZ50" s="2">
        <v>16.48263</v>
      </c>
      <c r="BA50" s="2">
        <v>0.4</v>
      </c>
      <c r="BB50" s="2">
        <v>-43.373060000000002</v>
      </c>
      <c r="BC50" s="2">
        <v>-35.106050000000003</v>
      </c>
      <c r="BD50" s="3">
        <v>30.22</v>
      </c>
      <c r="BE50" s="2">
        <v>3.7723420000000001</v>
      </c>
      <c r="BF50" s="3">
        <v>65.66</v>
      </c>
      <c r="BG50" s="2">
        <v>-52.238810000000001</v>
      </c>
      <c r="BH50" s="2">
        <v>30.046949999999999</v>
      </c>
      <c r="BI50" s="2">
        <v>35.322710000000001</v>
      </c>
      <c r="BJ50" s="2">
        <v>32.462359999999997</v>
      </c>
      <c r="BK50" s="2">
        <v>30.251660000000001</v>
      </c>
      <c r="BL50" s="2">
        <v>18</v>
      </c>
      <c r="BM50" s="2">
        <v>17</v>
      </c>
      <c r="BN50" s="4">
        <v>23</v>
      </c>
      <c r="BO50" s="4">
        <v>1</v>
      </c>
      <c r="BP50" s="4">
        <v>1</v>
      </c>
      <c r="BQ50" s="4">
        <v>18</v>
      </c>
      <c r="BR50" s="2">
        <v>5</v>
      </c>
      <c r="BS50" s="4">
        <v>9</v>
      </c>
      <c r="BT50" s="4">
        <v>0</v>
      </c>
      <c r="BU50" s="4">
        <v>23</v>
      </c>
      <c r="BV50" s="2">
        <v>39.13044</v>
      </c>
      <c r="BW50" s="2">
        <v>8.9320000000000004</v>
      </c>
      <c r="BX50" s="2">
        <v>982.42409999999995</v>
      </c>
      <c r="BY50" s="3">
        <v>2.547615</v>
      </c>
      <c r="BZ50" s="3">
        <v>0.25931920000000003</v>
      </c>
      <c r="CA50" s="2">
        <v>1.1738299999999999</v>
      </c>
      <c r="CB50" s="3">
        <v>0.25931920000000003</v>
      </c>
      <c r="CC50" s="3">
        <v>6.2248020000000004</v>
      </c>
      <c r="CD50" s="3">
        <v>6.4060750000000004</v>
      </c>
      <c r="CE50" s="2">
        <v>2.9121039999999998</v>
      </c>
      <c r="CF50" s="3">
        <v>8980.0400000000009</v>
      </c>
      <c r="CG50" s="3">
        <v>8323.0020000000004</v>
      </c>
      <c r="CH50" s="2">
        <v>-7.316649</v>
      </c>
      <c r="CI50" s="3">
        <v>66</v>
      </c>
      <c r="CJ50" s="2">
        <v>-25.757580000000001</v>
      </c>
      <c r="CK50" s="3">
        <v>48255.45</v>
      </c>
      <c r="CL50" s="3">
        <v>47946.87</v>
      </c>
      <c r="CM50" s="2">
        <v>-0.63946250000000004</v>
      </c>
      <c r="CN50" s="3">
        <v>50.68732</v>
      </c>
      <c r="CO50" s="3">
        <v>40.98265</v>
      </c>
      <c r="CP50" s="3">
        <v>38.00423</v>
      </c>
      <c r="CQ50" s="2">
        <v>-38.130479999999999</v>
      </c>
      <c r="CR50" s="2">
        <v>-23.47982</v>
      </c>
      <c r="CS50" s="2">
        <v>-17.482859999999999</v>
      </c>
      <c r="CT50" s="2">
        <v>-19.146129999999999</v>
      </c>
      <c r="CU50" s="2">
        <v>145.7013</v>
      </c>
      <c r="CV50" s="3">
        <v>0.47292070000000003</v>
      </c>
      <c r="CW50" s="2">
        <v>-49.966439999999999</v>
      </c>
      <c r="CX50" s="2">
        <v>-2.542821</v>
      </c>
      <c r="CY50" s="2">
        <v>-23.564710000000002</v>
      </c>
      <c r="CZ50" s="2">
        <v>31.292929999999998</v>
      </c>
    </row>
    <row r="51" spans="1:104" ht="15" customHeight="1" x14ac:dyDescent="0.2">
      <c r="A51" s="1">
        <f t="shared" si="0"/>
        <v>45</v>
      </c>
      <c r="B51" s="1" t="s">
        <v>142</v>
      </c>
      <c r="C51" s="1" t="s">
        <v>141</v>
      </c>
      <c r="D51" s="1" t="s">
        <v>40</v>
      </c>
      <c r="E51" s="1" t="s">
        <v>94</v>
      </c>
      <c r="F51" s="1" t="s">
        <v>95</v>
      </c>
      <c r="G51" s="2">
        <v>201025.3</v>
      </c>
      <c r="H51" s="2">
        <v>24.4194</v>
      </c>
      <c r="I51" s="2">
        <v>49089.16</v>
      </c>
      <c r="J51" s="3">
        <v>1904.2</v>
      </c>
      <c r="K51" s="3">
        <v>0</v>
      </c>
      <c r="L51" s="2">
        <v>0.68270140000000001</v>
      </c>
      <c r="M51" s="2">
        <v>0.79876069999999999</v>
      </c>
      <c r="N51" s="2">
        <v>0.90011549999999996</v>
      </c>
      <c r="O51" s="2">
        <v>0.99385570000000001</v>
      </c>
      <c r="P51" s="2">
        <v>59.339359999999999</v>
      </c>
      <c r="Q51" s="2">
        <v>49.280540000000002</v>
      </c>
      <c r="R51" s="2">
        <v>44.72052</v>
      </c>
      <c r="S51" s="2">
        <v>40.346870000000003</v>
      </c>
      <c r="T51" s="2">
        <v>27.02862</v>
      </c>
      <c r="U51" s="2">
        <v>30.69566</v>
      </c>
      <c r="V51" s="2">
        <v>27.351320000000001</v>
      </c>
      <c r="W51" s="2">
        <v>24.140969999999999</v>
      </c>
      <c r="X51" s="2">
        <v>16.034020000000002</v>
      </c>
      <c r="Y51" s="2">
        <v>13.219340000000001</v>
      </c>
      <c r="Z51" s="2">
        <v>11.16269</v>
      </c>
      <c r="AA51" s="2">
        <v>9.3756760000000003</v>
      </c>
      <c r="AB51" s="2">
        <v>48.522959999999998</v>
      </c>
      <c r="AC51" s="2">
        <v>43.445129999999999</v>
      </c>
      <c r="AD51" s="2">
        <v>38.628140000000002</v>
      </c>
      <c r="AE51" s="2">
        <v>34.786999999999999</v>
      </c>
      <c r="AF51" s="2">
        <v>1.8925449999999999</v>
      </c>
      <c r="AG51" s="2">
        <v>2.190013</v>
      </c>
      <c r="AH51" s="2">
        <v>2.4717720000000001</v>
      </c>
      <c r="AI51" s="2">
        <v>1.7893840000000001</v>
      </c>
      <c r="AJ51" s="2">
        <v>2.0458379999999998</v>
      </c>
      <c r="AK51" s="2">
        <v>2.2773050000000001</v>
      </c>
      <c r="AL51" s="3">
        <v>3.6824029999999999</v>
      </c>
      <c r="AM51" s="3">
        <v>3.3171740000000001</v>
      </c>
      <c r="AN51" s="2">
        <v>45.716259999999998</v>
      </c>
      <c r="AO51" s="2">
        <v>46.276350000000001</v>
      </c>
      <c r="AP51" s="2">
        <v>46.08135</v>
      </c>
      <c r="AQ51" s="2">
        <v>46.780470000000001</v>
      </c>
      <c r="AR51" s="2">
        <v>-1.732278</v>
      </c>
      <c r="AS51" s="2">
        <v>-1.7696559999999999</v>
      </c>
      <c r="AT51" s="2">
        <v>-1.927508</v>
      </c>
      <c r="AU51" s="2">
        <v>-2.0614880000000002</v>
      </c>
      <c r="AV51" s="1" t="s">
        <v>88</v>
      </c>
      <c r="AW51" s="3">
        <v>1.7749999999999999</v>
      </c>
      <c r="AX51" s="3">
        <v>1950</v>
      </c>
      <c r="AY51" s="2">
        <v>2.405214</v>
      </c>
      <c r="AZ51" s="2">
        <v>26.824660000000002</v>
      </c>
      <c r="BA51" s="2">
        <v>13.42282</v>
      </c>
      <c r="BB51" s="2">
        <v>23.44894</v>
      </c>
      <c r="BC51" s="2">
        <v>31.77854</v>
      </c>
      <c r="BD51" s="3">
        <v>1432</v>
      </c>
      <c r="BE51" s="2">
        <v>32.974850000000004</v>
      </c>
      <c r="BF51" s="3">
        <v>2050.5</v>
      </c>
      <c r="BG51" s="2">
        <v>-7.134849</v>
      </c>
      <c r="BH51" s="2">
        <v>40.544060000000002</v>
      </c>
      <c r="BI51" s="2">
        <v>38.920630000000003</v>
      </c>
      <c r="BJ51" s="2">
        <v>39.454659999999997</v>
      </c>
      <c r="BK51" s="2">
        <v>39.410319999999999</v>
      </c>
      <c r="BL51" s="2">
        <v>19</v>
      </c>
      <c r="BM51" s="2">
        <v>18</v>
      </c>
      <c r="BN51" s="4">
        <v>20</v>
      </c>
      <c r="BO51" s="4">
        <v>1</v>
      </c>
      <c r="BP51" s="4">
        <v>1</v>
      </c>
      <c r="BQ51" s="4">
        <v>18</v>
      </c>
      <c r="BR51" s="2">
        <v>5</v>
      </c>
      <c r="BS51" s="4">
        <v>7</v>
      </c>
      <c r="BT51" s="4">
        <v>2</v>
      </c>
      <c r="BU51" s="4">
        <v>20</v>
      </c>
      <c r="BV51" s="2">
        <v>35</v>
      </c>
      <c r="BW51" s="2">
        <v>9.2343499999999992</v>
      </c>
      <c r="BX51" s="2">
        <v>105.5694</v>
      </c>
      <c r="BY51" s="3">
        <v>5.8365109999999998E-2</v>
      </c>
      <c r="BZ51" s="3">
        <v>5.5286019999999998E-2</v>
      </c>
      <c r="CA51" s="2">
        <v>0.880857</v>
      </c>
      <c r="CB51" s="3">
        <v>5.5286019999999998E-2</v>
      </c>
      <c r="CC51" s="3">
        <v>38.721679999999999</v>
      </c>
      <c r="CD51" s="3">
        <v>38.524540000000002</v>
      </c>
      <c r="CE51" s="2">
        <v>-0.509131</v>
      </c>
      <c r="CF51" s="3">
        <v>5588.1040000000003</v>
      </c>
      <c r="CG51" s="3">
        <v>5536.1629999999996</v>
      </c>
      <c r="CH51" s="2">
        <v>-0.92949269999999995</v>
      </c>
      <c r="CI51" s="3">
        <v>2044.1690000000001</v>
      </c>
      <c r="CJ51" s="2">
        <v>-4.6067359999999997</v>
      </c>
      <c r="CK51" s="3">
        <v>13473.75</v>
      </c>
      <c r="CL51" s="3">
        <v>13390.31</v>
      </c>
      <c r="CM51" s="2">
        <v>-0.61928629999999996</v>
      </c>
      <c r="CN51" s="3">
        <v>1870.335</v>
      </c>
      <c r="CO51" s="3">
        <v>1797.5650000000001</v>
      </c>
      <c r="CP51" s="3">
        <v>1868.962</v>
      </c>
      <c r="CQ51" s="2">
        <v>1.810622</v>
      </c>
      <c r="CR51" s="2">
        <v>5.9321999999999999</v>
      </c>
      <c r="CS51" s="2">
        <v>1.8854500000000001</v>
      </c>
      <c r="CT51" s="2">
        <v>-3.890771</v>
      </c>
      <c r="CU51" s="2">
        <v>101.02970000000001</v>
      </c>
      <c r="CV51" s="3">
        <v>5.0257200000000002E-2</v>
      </c>
      <c r="CW51" s="2" t="e">
        <v>#N/A</v>
      </c>
      <c r="CX51" s="2">
        <v>1.5941069999999999</v>
      </c>
      <c r="CY51" s="2" t="e">
        <v>#N/A</v>
      </c>
      <c r="CZ51" s="2">
        <v>32.434350000000002</v>
      </c>
    </row>
    <row r="52" spans="1:104" ht="15" customHeight="1" x14ac:dyDescent="0.2">
      <c r="A52" s="1">
        <f t="shared" si="0"/>
        <v>46</v>
      </c>
      <c r="B52" s="1" t="s">
        <v>144</v>
      </c>
      <c r="C52" s="1" t="s">
        <v>143</v>
      </c>
      <c r="D52" s="1" t="s">
        <v>145</v>
      </c>
      <c r="E52" s="1" t="s">
        <v>146</v>
      </c>
      <c r="F52" s="1" t="s">
        <v>147</v>
      </c>
      <c r="G52" s="2">
        <v>25323.87</v>
      </c>
      <c r="H52" s="2" t="e">
        <v>#N/A</v>
      </c>
      <c r="I52" s="2" t="e">
        <v>#N/A</v>
      </c>
      <c r="J52" s="3">
        <v>143.25</v>
      </c>
      <c r="K52" s="3">
        <v>0</v>
      </c>
      <c r="L52" s="2">
        <v>0</v>
      </c>
      <c r="M52" s="2">
        <v>0</v>
      </c>
      <c r="N52" s="2">
        <v>1.207355</v>
      </c>
      <c r="O52" s="2">
        <v>1.671421</v>
      </c>
      <c r="P52" s="2">
        <v>67.272440000000003</v>
      </c>
      <c r="Q52" s="2">
        <v>29.604209999999998</v>
      </c>
      <c r="R52" s="2">
        <v>23.932649999999999</v>
      </c>
      <c r="S52" s="2">
        <v>17.423770000000001</v>
      </c>
      <c r="T52" s="2">
        <v>23.5855</v>
      </c>
      <c r="U52" s="2">
        <v>16.79148</v>
      </c>
      <c r="V52" s="2">
        <v>12.84338</v>
      </c>
      <c r="W52" s="2">
        <v>9.9813639999999992</v>
      </c>
      <c r="X52" s="2">
        <v>2.176596</v>
      </c>
      <c r="Y52" s="2">
        <v>2.100298</v>
      </c>
      <c r="Z52" s="2">
        <v>2.0667740000000001</v>
      </c>
      <c r="AA52" s="2">
        <v>1.983508</v>
      </c>
      <c r="AB52" s="2">
        <v>24.330870000000001</v>
      </c>
      <c r="AC52" s="2">
        <v>18.454910000000002</v>
      </c>
      <c r="AD52" s="2">
        <v>15.76031</v>
      </c>
      <c r="AE52" s="2">
        <v>12.863849999999999</v>
      </c>
      <c r="AF52" s="2">
        <v>2.4606560000000002</v>
      </c>
      <c r="AG52" s="2">
        <v>4.0470750000000004</v>
      </c>
      <c r="AH52" s="2">
        <v>5.5985760000000004</v>
      </c>
      <c r="AI52" s="2">
        <v>2.954609</v>
      </c>
      <c r="AJ52" s="2">
        <v>4.7113579999999997</v>
      </c>
      <c r="AK52" s="2">
        <v>6.2527340000000002</v>
      </c>
      <c r="AL52" s="3">
        <v>0.82064749999999997</v>
      </c>
      <c r="AM52" s="3">
        <v>0.67560390000000003</v>
      </c>
      <c r="AN52" s="2">
        <v>13.583780000000001</v>
      </c>
      <c r="AO52" s="2">
        <v>16.547809999999998</v>
      </c>
      <c r="AP52" s="2">
        <v>18.89659</v>
      </c>
      <c r="AQ52" s="2">
        <v>21.152439999999999</v>
      </c>
      <c r="AR52" s="2">
        <v>4.5639989999999999</v>
      </c>
      <c r="AS52" s="2">
        <v>2.7939799999999999</v>
      </c>
      <c r="AT52" s="2">
        <v>1.8020640000000001</v>
      </c>
      <c r="AU52" s="2">
        <v>1.038958</v>
      </c>
      <c r="AV52" s="1" t="s">
        <v>6</v>
      </c>
      <c r="AW52" s="3">
        <v>1.24</v>
      </c>
      <c r="AX52" s="3">
        <v>186.4111</v>
      </c>
      <c r="AY52" s="2">
        <v>30.12989</v>
      </c>
      <c r="AZ52" s="2">
        <v>7.0945919999999996</v>
      </c>
      <c r="BA52" s="2">
        <v>35.169409999999999</v>
      </c>
      <c r="BB52" s="2">
        <v>1.776195</v>
      </c>
      <c r="BC52" s="2">
        <v>12.0892</v>
      </c>
      <c r="BD52" s="3">
        <v>126.85</v>
      </c>
      <c r="BE52" s="2">
        <v>12.928649999999999</v>
      </c>
      <c r="BF52" s="3">
        <v>192.75</v>
      </c>
      <c r="BG52" s="2">
        <v>-25.68093</v>
      </c>
      <c r="BH52" s="2">
        <v>3.1932779999999998</v>
      </c>
      <c r="BI52" s="2">
        <v>3.0435910000000002</v>
      </c>
      <c r="BJ52" s="2">
        <v>23.658370000000001</v>
      </c>
      <c r="BK52" s="2">
        <v>25.494700000000002</v>
      </c>
      <c r="BL52" s="2">
        <v>19</v>
      </c>
      <c r="BM52" s="2">
        <v>14</v>
      </c>
      <c r="BN52" s="4">
        <v>25</v>
      </c>
      <c r="BO52" s="4">
        <v>1</v>
      </c>
      <c r="BP52" s="4">
        <v>0</v>
      </c>
      <c r="BQ52" s="4">
        <v>24</v>
      </c>
      <c r="BR52" s="2">
        <v>4</v>
      </c>
      <c r="BS52" s="4">
        <v>19</v>
      </c>
      <c r="BT52" s="4">
        <v>0</v>
      </c>
      <c r="BU52" s="4">
        <v>25</v>
      </c>
      <c r="BV52" s="2">
        <v>76</v>
      </c>
      <c r="BW52" s="2">
        <v>11.407299999999999</v>
      </c>
      <c r="BX52" s="2">
        <v>176.7809</v>
      </c>
      <c r="BY52" s="3">
        <v>0.19938620000000001</v>
      </c>
      <c r="BZ52" s="3">
        <v>0.1127872</v>
      </c>
      <c r="CA52" s="2">
        <v>1.2688299999999999</v>
      </c>
      <c r="CB52" s="3">
        <v>0.1127872</v>
      </c>
      <c r="CC52" s="3">
        <v>4.9388050000000003</v>
      </c>
      <c r="CD52" s="3">
        <v>4.81982</v>
      </c>
      <c r="CE52" s="2">
        <v>-2.4091779999999998</v>
      </c>
      <c r="CF52" s="3">
        <v>1333.307</v>
      </c>
      <c r="CG52" s="3">
        <v>1292.799</v>
      </c>
      <c r="CH52" s="2">
        <v>-3.038138</v>
      </c>
      <c r="CI52" s="3">
        <v>205.22219999999999</v>
      </c>
      <c r="CJ52" s="2">
        <v>-9.1662230000000005</v>
      </c>
      <c r="CK52" s="3">
        <v>11165.59</v>
      </c>
      <c r="CL52" s="3">
        <v>11015.55</v>
      </c>
      <c r="CM52" s="2">
        <v>-1.3437030000000001</v>
      </c>
      <c r="CN52" s="3">
        <v>166.94229999999999</v>
      </c>
      <c r="CO52" s="3">
        <v>150.54509999999999</v>
      </c>
      <c r="CP52" s="3">
        <v>147.47890000000001</v>
      </c>
      <c r="CQ52" s="2">
        <v>-14.191890000000001</v>
      </c>
      <c r="CR52" s="2">
        <v>-4.8457920000000003</v>
      </c>
      <c r="CS52" s="2">
        <v>-2.8674300000000001</v>
      </c>
      <c r="CT52" s="2">
        <v>-9.8220530000000004</v>
      </c>
      <c r="CU52" s="2">
        <v>27.261299999999999</v>
      </c>
      <c r="CV52" s="3">
        <v>0.1076506</v>
      </c>
      <c r="CW52" s="2" t="e">
        <v>#N/A</v>
      </c>
      <c r="CX52" s="2">
        <v>-6.8984670000000001</v>
      </c>
      <c r="CY52" s="2" t="e">
        <v>#N/A</v>
      </c>
      <c r="CZ52" s="2">
        <v>34.157890000000002</v>
      </c>
    </row>
    <row r="53" spans="1:104" ht="15" customHeight="1" x14ac:dyDescent="0.2">
      <c r="A53" s="1">
        <f t="shared" si="0"/>
        <v>47</v>
      </c>
      <c r="B53" s="1" t="s">
        <v>149</v>
      </c>
      <c r="C53" s="1" t="s">
        <v>148</v>
      </c>
      <c r="D53" s="1" t="s">
        <v>150</v>
      </c>
      <c r="E53" s="1" t="s">
        <v>60</v>
      </c>
      <c r="F53" s="1" t="s">
        <v>151</v>
      </c>
      <c r="G53" s="2">
        <v>18316.2</v>
      </c>
      <c r="H53" s="2">
        <v>91.126499999999993</v>
      </c>
      <c r="I53" s="2">
        <v>16690.91</v>
      </c>
      <c r="J53" s="3">
        <v>3.218</v>
      </c>
      <c r="K53" s="3">
        <v>0</v>
      </c>
      <c r="L53" s="2">
        <v>3.7290239999999999</v>
      </c>
      <c r="M53" s="2">
        <v>3.8843999999999999</v>
      </c>
      <c r="N53" s="2">
        <v>4.6612809999999998</v>
      </c>
      <c r="O53" s="2">
        <v>5.2827840000000004</v>
      </c>
      <c r="P53" s="2">
        <v>7.3136359999999998</v>
      </c>
      <c r="Q53" s="2">
        <v>9.4647050000000004</v>
      </c>
      <c r="R53" s="2">
        <v>8.4684209999999993</v>
      </c>
      <c r="S53" s="2">
        <v>7.985112</v>
      </c>
      <c r="T53" s="2">
        <v>5.2901509999999998</v>
      </c>
      <c r="U53" s="2">
        <v>4.1357290000000004</v>
      </c>
      <c r="V53" s="2">
        <v>3.6563430000000001</v>
      </c>
      <c r="W53" s="2">
        <v>3.1309209999999998</v>
      </c>
      <c r="X53" s="2">
        <v>0.84907650000000001</v>
      </c>
      <c r="Y53" s="2">
        <v>0.82052360000000002</v>
      </c>
      <c r="Z53" s="2">
        <v>0.7886242</v>
      </c>
      <c r="AA53" s="2">
        <v>0.74837200000000004</v>
      </c>
      <c r="AB53" s="2">
        <v>12.2569</v>
      </c>
      <c r="AC53" s="2">
        <v>11.591010000000001</v>
      </c>
      <c r="AD53" s="2">
        <v>6.8468080000000002</v>
      </c>
      <c r="AE53" s="2">
        <v>6.3098039999999997</v>
      </c>
      <c r="AF53" s="2">
        <v>4.63992</v>
      </c>
      <c r="AG53" s="2">
        <v>12.653729999999999</v>
      </c>
      <c r="AH53" s="2">
        <v>15.674099999999999</v>
      </c>
      <c r="AI53" s="2">
        <v>3.6448659999999999</v>
      </c>
      <c r="AJ53" s="2">
        <v>9.3293649999999992</v>
      </c>
      <c r="AK53" s="2">
        <v>10.530279999999999</v>
      </c>
      <c r="AL53" s="3">
        <v>3.4984700000000002</v>
      </c>
      <c r="AM53" s="3">
        <v>3.1565210000000001</v>
      </c>
      <c r="AN53" s="2">
        <v>15.40484</v>
      </c>
      <c r="AO53" s="2">
        <v>15.0337</v>
      </c>
      <c r="AP53" s="2">
        <v>16.004519999999999</v>
      </c>
      <c r="AQ53" s="2">
        <v>16.474209999999999</v>
      </c>
      <c r="AR53" s="2">
        <v>-1.060586</v>
      </c>
      <c r="AS53" s="2">
        <v>-1.12906</v>
      </c>
      <c r="AT53" s="2">
        <v>-1.302878</v>
      </c>
      <c r="AU53" s="2">
        <v>-1.5293909999999999</v>
      </c>
      <c r="AV53" s="1" t="s">
        <v>6</v>
      </c>
      <c r="AW53" s="3">
        <v>1.465517</v>
      </c>
      <c r="AX53" s="3">
        <v>4.0999999999999996</v>
      </c>
      <c r="AY53" s="2">
        <v>27.408329999999999</v>
      </c>
      <c r="AZ53" s="2">
        <v>8.6692990000000005</v>
      </c>
      <c r="BA53" s="2">
        <v>-0.90758150000000004</v>
      </c>
      <c r="BB53" s="2">
        <v>-30.840319999999998</v>
      </c>
      <c r="BC53" s="2">
        <v>-25.629770000000001</v>
      </c>
      <c r="BD53" s="3">
        <v>2.9135</v>
      </c>
      <c r="BE53" s="2">
        <v>10.45134</v>
      </c>
      <c r="BF53" s="3">
        <v>4.8795000000000002</v>
      </c>
      <c r="BG53" s="2">
        <v>-34.050620000000002</v>
      </c>
      <c r="BH53" s="2">
        <v>25.131989999999998</v>
      </c>
      <c r="BI53" s="2">
        <v>39.85371</v>
      </c>
      <c r="BJ53" s="2">
        <v>40.834040000000002</v>
      </c>
      <c r="BK53" s="2">
        <v>43.833300000000001</v>
      </c>
      <c r="BL53" s="2">
        <v>27</v>
      </c>
      <c r="BM53" s="2">
        <v>24</v>
      </c>
      <c r="BN53" s="4">
        <v>29</v>
      </c>
      <c r="BO53" s="4">
        <v>1</v>
      </c>
      <c r="BP53" s="4">
        <v>3</v>
      </c>
      <c r="BQ53" s="4">
        <v>24</v>
      </c>
      <c r="BR53" s="2">
        <v>3.5714290000000002</v>
      </c>
      <c r="BS53" s="4">
        <v>17</v>
      </c>
      <c r="BT53" s="4">
        <v>1</v>
      </c>
      <c r="BU53" s="4">
        <v>29</v>
      </c>
      <c r="BV53" s="2">
        <v>58.620690000000003</v>
      </c>
      <c r="BW53" s="2">
        <v>9.3269900000000003</v>
      </c>
      <c r="BX53" s="2">
        <v>5691.7969999999996</v>
      </c>
      <c r="BY53" s="3">
        <v>12.401109999999999</v>
      </c>
      <c r="BZ53" s="3">
        <v>0.21787690000000001</v>
      </c>
      <c r="CA53" s="2">
        <v>1.3334299999999999</v>
      </c>
      <c r="CB53" s="3">
        <v>0.21787690000000001</v>
      </c>
      <c r="CC53" s="3">
        <v>0.36549999999999999</v>
      </c>
      <c r="CD53" s="3">
        <v>0.3394064</v>
      </c>
      <c r="CE53" s="2">
        <v>-7.1391530000000003</v>
      </c>
      <c r="CF53" s="3">
        <v>2858.1880000000001</v>
      </c>
      <c r="CG53" s="3">
        <v>2656.4749999999999</v>
      </c>
      <c r="CH53" s="2">
        <v>-7.0573509999999997</v>
      </c>
      <c r="CI53" s="3">
        <v>4.9884259999999996</v>
      </c>
      <c r="CJ53" s="2">
        <v>-17.809740000000001</v>
      </c>
      <c r="CK53" s="3">
        <v>24140.26</v>
      </c>
      <c r="CL53" s="3">
        <v>23181.67</v>
      </c>
      <c r="CM53" s="2">
        <v>-3.9709270000000001</v>
      </c>
      <c r="CN53" s="3">
        <v>3.752256</v>
      </c>
      <c r="CO53" s="3">
        <v>3.2965399999999998</v>
      </c>
      <c r="CP53" s="3">
        <v>3.2181540000000002</v>
      </c>
      <c r="CQ53" s="2">
        <v>-14.23827</v>
      </c>
      <c r="CR53" s="2">
        <v>-2.3824869999999998</v>
      </c>
      <c r="CS53" s="2">
        <v>-4.7802929999999997E-3</v>
      </c>
      <c r="CT53" s="2">
        <v>-12.14514</v>
      </c>
      <c r="CU53" s="2">
        <v>43.541260000000001</v>
      </c>
      <c r="CV53" s="3">
        <v>0.23771990000000001</v>
      </c>
      <c r="CW53" s="2">
        <v>-31.23075</v>
      </c>
      <c r="CX53" s="2">
        <v>-11.935829999999999</v>
      </c>
      <c r="CY53" s="2">
        <v>-21.76943</v>
      </c>
      <c r="CZ53" s="2">
        <v>35.575760000000002</v>
      </c>
    </row>
    <row r="54" spans="1:104" ht="15" customHeight="1" x14ac:dyDescent="0.2">
      <c r="A54" s="1">
        <f t="shared" si="0"/>
        <v>48</v>
      </c>
      <c r="B54" s="1" t="s">
        <v>153</v>
      </c>
      <c r="C54" s="1" t="s">
        <v>152</v>
      </c>
      <c r="D54" s="1" t="s">
        <v>40</v>
      </c>
      <c r="E54" s="1" t="s">
        <v>94</v>
      </c>
      <c r="F54" s="1" t="s">
        <v>122</v>
      </c>
      <c r="G54" s="2">
        <v>40530.410000000003</v>
      </c>
      <c r="H54" s="2">
        <v>77.566800000000001</v>
      </c>
      <c r="I54" s="2">
        <v>31438.14</v>
      </c>
      <c r="J54" s="3">
        <v>158.55000000000001</v>
      </c>
      <c r="K54" s="3">
        <v>0</v>
      </c>
      <c r="L54" s="2">
        <v>2.9643640000000002</v>
      </c>
      <c r="M54" s="2">
        <v>2.9665469999999998</v>
      </c>
      <c r="N54" s="2">
        <v>3.1661929999999998</v>
      </c>
      <c r="O54" s="2">
        <v>3.4720909999999998</v>
      </c>
      <c r="P54" s="2">
        <v>17.403949999999998</v>
      </c>
      <c r="Q54" s="2">
        <v>17.327870000000001</v>
      </c>
      <c r="R54" s="2">
        <v>15.81546</v>
      </c>
      <c r="S54" s="2">
        <v>14.646649999999999</v>
      </c>
      <c r="T54" s="2">
        <v>13.49174</v>
      </c>
      <c r="U54" s="2">
        <v>13.19444</v>
      </c>
      <c r="V54" s="2">
        <v>12.127000000000001</v>
      </c>
      <c r="W54" s="2">
        <v>11.23822</v>
      </c>
      <c r="X54" s="2">
        <v>2.5830890000000002</v>
      </c>
      <c r="Y54" s="2">
        <v>2.4734790000000002</v>
      </c>
      <c r="Z54" s="2">
        <v>2.3510779999999998</v>
      </c>
      <c r="AA54" s="2">
        <v>2.234915</v>
      </c>
      <c r="AB54" s="2">
        <v>16.53285</v>
      </c>
      <c r="AC54" s="2">
        <v>14.68056</v>
      </c>
      <c r="AD54" s="2">
        <v>13.70354</v>
      </c>
      <c r="AE54" s="2">
        <v>12.578340000000001</v>
      </c>
      <c r="AF54" s="2">
        <v>2.628123</v>
      </c>
      <c r="AG54" s="2">
        <v>3.2867459999999999</v>
      </c>
      <c r="AH54" s="2">
        <v>4.0340049999999996</v>
      </c>
      <c r="AI54" s="2">
        <v>3.308548</v>
      </c>
      <c r="AJ54" s="2">
        <v>4.1014900000000001</v>
      </c>
      <c r="AK54" s="2">
        <v>4.9626260000000002</v>
      </c>
      <c r="AL54" s="3">
        <v>2.5081739999999999</v>
      </c>
      <c r="AM54" s="3">
        <v>2.2947449999999998</v>
      </c>
      <c r="AN54" s="2">
        <v>31.02084</v>
      </c>
      <c r="AO54" s="2">
        <v>31.23461</v>
      </c>
      <c r="AP54" s="2">
        <v>31.820620000000002</v>
      </c>
      <c r="AQ54" s="2">
        <v>32.121420000000001</v>
      </c>
      <c r="AR54" s="2">
        <v>2.726693</v>
      </c>
      <c r="AS54" s="2">
        <v>2.7135289999999999</v>
      </c>
      <c r="AT54" s="2">
        <v>2.4089800000000001</v>
      </c>
      <c r="AU54" s="2">
        <v>2.1029279999999999</v>
      </c>
      <c r="AV54" s="1" t="s">
        <v>88</v>
      </c>
      <c r="AW54" s="3">
        <v>1.6904760000000001</v>
      </c>
      <c r="AX54" s="3">
        <v>188</v>
      </c>
      <c r="AY54" s="2">
        <v>18.574580000000001</v>
      </c>
      <c r="AZ54" s="2">
        <v>14.274570000000001</v>
      </c>
      <c r="BA54" s="2">
        <v>5.9274240000000002</v>
      </c>
      <c r="BB54" s="2">
        <v>-16.088909999999998</v>
      </c>
      <c r="BC54" s="2">
        <v>-13.71428</v>
      </c>
      <c r="BD54" s="3">
        <v>154.65</v>
      </c>
      <c r="BE54" s="2">
        <v>2.5218250000000002</v>
      </c>
      <c r="BF54" s="3">
        <v>218</v>
      </c>
      <c r="BG54" s="2">
        <v>-27.27064</v>
      </c>
      <c r="BH54" s="2">
        <v>51.20993</v>
      </c>
      <c r="BI54" s="2">
        <v>51.54795</v>
      </c>
      <c r="BJ54" s="2">
        <v>50.59449</v>
      </c>
      <c r="BK54" s="2">
        <v>50.75723</v>
      </c>
      <c r="BL54" s="2">
        <v>20</v>
      </c>
      <c r="BM54" s="2">
        <v>18</v>
      </c>
      <c r="BN54" s="4">
        <v>21</v>
      </c>
      <c r="BO54" s="4">
        <v>0</v>
      </c>
      <c r="BP54" s="4">
        <v>2</v>
      </c>
      <c r="BQ54" s="4">
        <v>20</v>
      </c>
      <c r="BR54" s="2">
        <v>0</v>
      </c>
      <c r="BS54" s="4">
        <v>9</v>
      </c>
      <c r="BT54" s="4">
        <v>2</v>
      </c>
      <c r="BU54" s="4">
        <v>21</v>
      </c>
      <c r="BV54" s="2">
        <v>42.857140000000001</v>
      </c>
      <c r="BW54" s="2">
        <v>5.8701400000000001</v>
      </c>
      <c r="BX54" s="2">
        <v>255.6317</v>
      </c>
      <c r="BY54" s="3">
        <v>0.41224070000000002</v>
      </c>
      <c r="BZ54" s="3">
        <v>0.1612635</v>
      </c>
      <c r="CA54" s="2">
        <v>0.55654300000000001</v>
      </c>
      <c r="CB54" s="3">
        <v>0.1612635</v>
      </c>
      <c r="CC54" s="3">
        <v>9.9006690000000006</v>
      </c>
      <c r="CD54" s="3">
        <v>9.1102399999999992</v>
      </c>
      <c r="CE54" s="2">
        <v>-7.9835950000000002</v>
      </c>
      <c r="CF54" s="3">
        <v>3627.5680000000002</v>
      </c>
      <c r="CG54" s="3">
        <v>3405.4789999999998</v>
      </c>
      <c r="CH54" s="2">
        <v>-6.122261</v>
      </c>
      <c r="CI54" s="3">
        <v>220.33330000000001</v>
      </c>
      <c r="CJ54" s="2">
        <v>-14.67474</v>
      </c>
      <c r="CK54" s="3">
        <v>12562.76</v>
      </c>
      <c r="CL54" s="3">
        <v>12429.37</v>
      </c>
      <c r="CM54" s="2">
        <v>-1.061809</v>
      </c>
      <c r="CN54" s="3">
        <v>191.15969999999999</v>
      </c>
      <c r="CO54" s="3">
        <v>164.18430000000001</v>
      </c>
      <c r="CP54" s="3">
        <v>166.8039</v>
      </c>
      <c r="CQ54" s="2">
        <v>-17.058900000000001</v>
      </c>
      <c r="CR54" s="2">
        <v>-3.4316900000000001</v>
      </c>
      <c r="CS54" s="2">
        <v>-4.9482400000000002</v>
      </c>
      <c r="CT54" s="2">
        <v>-14.111470000000001</v>
      </c>
      <c r="CU54" s="2">
        <v>84.583100000000002</v>
      </c>
      <c r="CV54" s="3">
        <v>0.2086905</v>
      </c>
      <c r="CW54" s="2" t="e">
        <v>#N/A</v>
      </c>
      <c r="CX54" s="2">
        <v>-0.86130640000000003</v>
      </c>
      <c r="CY54" s="2" t="e">
        <v>#N/A</v>
      </c>
      <c r="CZ54" s="2">
        <v>35.868690000000001</v>
      </c>
    </row>
    <row r="55" spans="1:104" ht="15" customHeight="1" x14ac:dyDescent="0.2">
      <c r="A55" s="1">
        <f t="shared" si="0"/>
        <v>49</v>
      </c>
      <c r="B55" s="1" t="s">
        <v>155</v>
      </c>
      <c r="C55" s="1" t="s">
        <v>154</v>
      </c>
      <c r="D55" s="1" t="s">
        <v>27</v>
      </c>
      <c r="E55" s="1" t="s">
        <v>78</v>
      </c>
      <c r="F55" s="1" t="s">
        <v>156</v>
      </c>
      <c r="G55" s="2">
        <v>38154.199999999997</v>
      </c>
      <c r="H55" s="2">
        <v>100</v>
      </c>
      <c r="I55" s="2">
        <v>38154.199999999997</v>
      </c>
      <c r="J55" s="3">
        <v>42.685000000000002</v>
      </c>
      <c r="K55" s="3">
        <v>0</v>
      </c>
      <c r="L55" s="2">
        <v>7.9653270000000003</v>
      </c>
      <c r="M55" s="2">
        <v>7.9653270000000003</v>
      </c>
      <c r="N55" s="2">
        <v>7.9653270000000003</v>
      </c>
      <c r="O55" s="2">
        <v>7.9653270000000003</v>
      </c>
      <c r="P55" s="2">
        <v>6.1329029999999998</v>
      </c>
      <c r="Q55" s="2">
        <v>12.757020000000001</v>
      </c>
      <c r="R55" s="2">
        <v>10.65793</v>
      </c>
      <c r="S55" s="2">
        <v>8.7469260000000002</v>
      </c>
      <c r="T55" s="2">
        <v>5.3793189999999997</v>
      </c>
      <c r="U55" s="2">
        <v>7.0828899999999999</v>
      </c>
      <c r="V55" s="2">
        <v>6.6657890000000002</v>
      </c>
      <c r="W55" s="2">
        <v>6.0637470000000002</v>
      </c>
      <c r="X55" s="2">
        <v>0.97266750000000002</v>
      </c>
      <c r="Y55" s="2">
        <v>0.97778039999999999</v>
      </c>
      <c r="Z55" s="2">
        <v>0.97554560000000001</v>
      </c>
      <c r="AA55" s="2">
        <v>0.95942910000000003</v>
      </c>
      <c r="AB55" s="2">
        <v>4.993868</v>
      </c>
      <c r="AC55" s="2">
        <v>5.552975</v>
      </c>
      <c r="AD55" s="2">
        <v>5.6196380000000001</v>
      </c>
      <c r="AE55" s="2">
        <v>5.2513589999999999</v>
      </c>
      <c r="AF55" s="2">
        <v>5.3714849999999998</v>
      </c>
      <c r="AG55" s="2">
        <v>2.4941849999999999</v>
      </c>
      <c r="AH55" s="2">
        <v>3.8009740000000001</v>
      </c>
      <c r="AI55" s="2">
        <v>7.8037330000000003</v>
      </c>
      <c r="AJ55" s="2">
        <v>3.7248600000000001</v>
      </c>
      <c r="AK55" s="2">
        <v>5.7913040000000002</v>
      </c>
      <c r="AL55" s="3" t="e">
        <v>#N/A</v>
      </c>
      <c r="AM55" s="3" t="e">
        <v>#N/A</v>
      </c>
      <c r="AN55" s="2">
        <v>12.324260000000001</v>
      </c>
      <c r="AO55" s="2">
        <v>11.152139999999999</v>
      </c>
      <c r="AP55" s="2">
        <v>11.737920000000001</v>
      </c>
      <c r="AQ55" s="2">
        <v>12.78335</v>
      </c>
      <c r="AR55" s="2">
        <v>1.52647</v>
      </c>
      <c r="AS55" s="2">
        <v>2.2075770000000001</v>
      </c>
      <c r="AT55" s="2">
        <v>2.2023429999999999</v>
      </c>
      <c r="AU55" s="2">
        <v>2.0839620000000001</v>
      </c>
      <c r="AV55" s="1" t="s">
        <v>88</v>
      </c>
      <c r="AW55" s="3">
        <v>1.9090910000000001</v>
      </c>
      <c r="AX55" s="3">
        <v>46</v>
      </c>
      <c r="AY55" s="2">
        <v>7.7661870000000004</v>
      </c>
      <c r="AZ55" s="2">
        <v>7.6646429999999999</v>
      </c>
      <c r="BA55" s="2">
        <v>-8.1</v>
      </c>
      <c r="BB55" s="2">
        <v>-12.0169</v>
      </c>
      <c r="BC55" s="2">
        <v>-7.9866289999999998</v>
      </c>
      <c r="BD55" s="3">
        <v>40.25</v>
      </c>
      <c r="BE55" s="2">
        <v>6.0496930000000004</v>
      </c>
      <c r="BF55" s="3">
        <v>54.04</v>
      </c>
      <c r="BG55" s="2">
        <v>-21.01221</v>
      </c>
      <c r="BH55" s="2">
        <v>49.010219999999997</v>
      </c>
      <c r="BI55" s="2">
        <v>102.5539</v>
      </c>
      <c r="BJ55" s="2">
        <v>82.293409999999994</v>
      </c>
      <c r="BK55" s="2">
        <v>70.364519999999999</v>
      </c>
      <c r="BL55" s="2">
        <v>20</v>
      </c>
      <c r="BM55" s="2">
        <v>20</v>
      </c>
      <c r="BN55" s="4">
        <v>22</v>
      </c>
      <c r="BO55" s="4">
        <v>0</v>
      </c>
      <c r="BP55" s="4">
        <v>1</v>
      </c>
      <c r="BQ55" s="4">
        <v>19</v>
      </c>
      <c r="BR55" s="2">
        <v>0</v>
      </c>
      <c r="BS55" s="4">
        <v>6</v>
      </c>
      <c r="BT55" s="4">
        <v>4</v>
      </c>
      <c r="BU55" s="4">
        <v>22</v>
      </c>
      <c r="BV55" s="2">
        <v>27.272729999999999</v>
      </c>
      <c r="BW55" s="2">
        <v>8.8137299999999996</v>
      </c>
      <c r="BX55" s="2">
        <v>893.85490000000004</v>
      </c>
      <c r="BY55" s="3">
        <v>2.4543810000000001</v>
      </c>
      <c r="BZ55" s="3">
        <v>0.27458379999999999</v>
      </c>
      <c r="CA55" s="2">
        <v>1.35595</v>
      </c>
      <c r="CB55" s="3">
        <v>0.27458379999999999</v>
      </c>
      <c r="CC55" s="3">
        <v>3.876852</v>
      </c>
      <c r="CD55" s="3">
        <v>3.3075640000000002</v>
      </c>
      <c r="CE55" s="2">
        <v>-14.6843</v>
      </c>
      <c r="CF55" s="3">
        <v>4254.4049999999997</v>
      </c>
      <c r="CG55" s="3">
        <v>3939.67</v>
      </c>
      <c r="CH55" s="2">
        <v>-7.3978659999999996</v>
      </c>
      <c r="CI55" s="3">
        <v>50.509529999999998</v>
      </c>
      <c r="CJ55" s="2">
        <v>-8.9280659999999994</v>
      </c>
      <c r="CK55" s="3">
        <v>74898.12</v>
      </c>
      <c r="CL55" s="3">
        <v>70690.899999999994</v>
      </c>
      <c r="CM55" s="2">
        <v>-5.617267</v>
      </c>
      <c r="CN55" s="3">
        <v>45.664200000000001</v>
      </c>
      <c r="CO55" s="3">
        <v>42.731580000000001</v>
      </c>
      <c r="CP55" s="3">
        <v>43.450769999999999</v>
      </c>
      <c r="CQ55" s="2">
        <v>-6.524146</v>
      </c>
      <c r="CR55" s="2">
        <v>-0.108999</v>
      </c>
      <c r="CS55" s="2">
        <v>-1.762384</v>
      </c>
      <c r="CT55" s="2">
        <v>-6.4221440000000003</v>
      </c>
      <c r="CU55" s="2">
        <v>100.0429</v>
      </c>
      <c r="CV55" s="3">
        <v>0.26220670000000001</v>
      </c>
      <c r="CW55" s="2">
        <v>-4.7489049999999997</v>
      </c>
      <c r="CX55" s="2">
        <v>-10.75234</v>
      </c>
      <c r="CY55" s="2">
        <v>12.02338</v>
      </c>
      <c r="CZ55" s="2">
        <v>37.333329999999997</v>
      </c>
    </row>
    <row r="56" spans="1:104" ht="15" customHeight="1" x14ac:dyDescent="0.2">
      <c r="A56" s="1">
        <f t="shared" si="0"/>
        <v>50</v>
      </c>
      <c r="B56" s="1" t="s">
        <v>158</v>
      </c>
      <c r="C56" s="1" t="s">
        <v>157</v>
      </c>
      <c r="D56" s="1" t="s">
        <v>40</v>
      </c>
      <c r="E56" s="1" t="s">
        <v>94</v>
      </c>
      <c r="F56" s="1" t="s">
        <v>159</v>
      </c>
      <c r="G56" s="2">
        <v>48590.76</v>
      </c>
      <c r="H56" s="2">
        <v>56.5032</v>
      </c>
      <c r="I56" s="2">
        <v>27455.34</v>
      </c>
      <c r="J56" s="3">
        <v>393.7</v>
      </c>
      <c r="K56" s="3">
        <v>0</v>
      </c>
      <c r="L56" s="2">
        <v>3.5560070000000001</v>
      </c>
      <c r="M56" s="2">
        <v>3.2689859999999999</v>
      </c>
      <c r="N56" s="2">
        <v>3.5255269999999999</v>
      </c>
      <c r="O56" s="2">
        <v>3.946253</v>
      </c>
      <c r="P56" s="2">
        <v>12.94214</v>
      </c>
      <c r="Q56" s="2">
        <v>14.761900000000001</v>
      </c>
      <c r="R56" s="2">
        <v>13.896929999999999</v>
      </c>
      <c r="S56" s="2">
        <v>12.48058</v>
      </c>
      <c r="T56" s="2">
        <v>8.4495740000000001</v>
      </c>
      <c r="U56" s="2">
        <v>8.3140839999999994</v>
      </c>
      <c r="V56" s="2">
        <v>7.7244149999999996</v>
      </c>
      <c r="W56" s="2">
        <v>6.8443509999999996</v>
      </c>
      <c r="X56" s="2">
        <v>3.4678059999999999</v>
      </c>
      <c r="Y56" s="2">
        <v>3.1434389999999999</v>
      </c>
      <c r="Z56" s="2">
        <v>2.81365</v>
      </c>
      <c r="AA56" s="2">
        <v>2.502542</v>
      </c>
      <c r="AB56" s="2">
        <v>11.334210000000001</v>
      </c>
      <c r="AC56" s="2">
        <v>9.8872739999999997</v>
      </c>
      <c r="AD56" s="2">
        <v>9.0076079999999994</v>
      </c>
      <c r="AE56" s="2">
        <v>8.6651100000000003</v>
      </c>
      <c r="AF56" s="2">
        <v>4.6748770000000004</v>
      </c>
      <c r="AG56" s="2">
        <v>6.5415140000000003</v>
      </c>
      <c r="AH56" s="2">
        <v>7.787655</v>
      </c>
      <c r="AI56" s="2">
        <v>5.3576699999999997</v>
      </c>
      <c r="AJ56" s="2">
        <v>7.3531089999999999</v>
      </c>
      <c r="AK56" s="2">
        <v>8.5397230000000004</v>
      </c>
      <c r="AL56" s="3">
        <v>4.8856149999999996</v>
      </c>
      <c r="AM56" s="3">
        <v>4.6373790000000001</v>
      </c>
      <c r="AN56" s="2">
        <v>35.649349999999998</v>
      </c>
      <c r="AO56" s="2">
        <v>34.002310000000001</v>
      </c>
      <c r="AP56" s="2">
        <v>33.873049999999999</v>
      </c>
      <c r="AQ56" s="2">
        <v>34.772320000000001</v>
      </c>
      <c r="AR56" s="2">
        <v>0.31784980000000002</v>
      </c>
      <c r="AS56" s="2">
        <v>1.0595650000000001</v>
      </c>
      <c r="AT56" s="2">
        <v>0.85257669999999997</v>
      </c>
      <c r="AU56" s="2">
        <v>0.60276169999999996</v>
      </c>
      <c r="AV56" s="1" t="s">
        <v>88</v>
      </c>
      <c r="AW56" s="3">
        <v>1.642857</v>
      </c>
      <c r="AX56" s="3">
        <v>477.5</v>
      </c>
      <c r="AY56" s="2">
        <v>21.285240000000002</v>
      </c>
      <c r="AZ56" s="2">
        <v>21.294260000000001</v>
      </c>
      <c r="BA56" s="2">
        <v>3.1357919999999999</v>
      </c>
      <c r="BB56" s="2">
        <v>-30.613330000000001</v>
      </c>
      <c r="BC56" s="2">
        <v>-17.202940000000002</v>
      </c>
      <c r="BD56" s="3">
        <v>376.7</v>
      </c>
      <c r="BE56" s="2">
        <v>4.5128700000000004</v>
      </c>
      <c r="BF56" s="3">
        <v>603.6</v>
      </c>
      <c r="BG56" s="2">
        <v>-34.774679999999996</v>
      </c>
      <c r="BH56" s="2">
        <v>45.610570000000003</v>
      </c>
      <c r="BI56" s="2">
        <v>50.385910000000003</v>
      </c>
      <c r="BJ56" s="2">
        <v>50.200060000000001</v>
      </c>
      <c r="BK56" s="2">
        <v>49.560079999999999</v>
      </c>
      <c r="BL56" s="2">
        <v>25</v>
      </c>
      <c r="BM56" s="2">
        <v>24</v>
      </c>
      <c r="BN56" s="4">
        <v>28</v>
      </c>
      <c r="BO56" s="4">
        <v>2</v>
      </c>
      <c r="BP56" s="4">
        <v>4</v>
      </c>
      <c r="BQ56" s="4">
        <v>21</v>
      </c>
      <c r="BR56" s="2">
        <v>7.4074070000000001</v>
      </c>
      <c r="BS56" s="4">
        <v>11</v>
      </c>
      <c r="BT56" s="4">
        <v>1</v>
      </c>
      <c r="BU56" s="4">
        <v>28</v>
      </c>
      <c r="BV56" s="2">
        <v>39.285710000000002</v>
      </c>
      <c r="BW56" s="2">
        <v>10.042199999999999</v>
      </c>
      <c r="BX56" s="2">
        <v>123.4208</v>
      </c>
      <c r="BY56" s="3">
        <v>0.193217</v>
      </c>
      <c r="BZ56" s="3">
        <v>0.15655140000000001</v>
      </c>
      <c r="CA56" s="2">
        <v>1.3491500000000001</v>
      </c>
      <c r="CB56" s="3">
        <v>0.15655140000000001</v>
      </c>
      <c r="CC56" s="3">
        <v>29.904389999999999</v>
      </c>
      <c r="CD56" s="3">
        <v>26.660959999999999</v>
      </c>
      <c r="CE56" s="2">
        <v>-10.845980000000001</v>
      </c>
      <c r="CF56" s="3">
        <v>5572.4350000000004</v>
      </c>
      <c r="CG56" s="3">
        <v>5044.9709999999995</v>
      </c>
      <c r="CH56" s="2">
        <v>-9.4655930000000001</v>
      </c>
      <c r="CI56" s="3">
        <v>617.52</v>
      </c>
      <c r="CJ56" s="2">
        <v>-22.674569999999999</v>
      </c>
      <c r="CK56" s="3">
        <v>20714.93</v>
      </c>
      <c r="CL56" s="3">
        <v>19804.400000000001</v>
      </c>
      <c r="CM56" s="2">
        <v>-4.3955209999999996</v>
      </c>
      <c r="CN56" s="3">
        <v>498.5249</v>
      </c>
      <c r="CO56" s="3">
        <v>409.44499999999999</v>
      </c>
      <c r="CP56" s="3">
        <v>397.63080000000002</v>
      </c>
      <c r="CQ56" s="2">
        <v>-21.027010000000001</v>
      </c>
      <c r="CR56" s="2">
        <v>-3.845453</v>
      </c>
      <c r="CS56" s="2">
        <v>-0.98854900000000001</v>
      </c>
      <c r="CT56" s="2">
        <v>-17.868690000000001</v>
      </c>
      <c r="CU56" s="2">
        <v>84.007069999999999</v>
      </c>
      <c r="CV56" s="3">
        <v>0.17288690000000001</v>
      </c>
      <c r="CW56" s="2" t="e">
        <v>#N/A</v>
      </c>
      <c r="CX56" s="2">
        <v>-0.75273939999999995</v>
      </c>
      <c r="CY56" s="2" t="e">
        <v>#N/A</v>
      </c>
      <c r="CZ56" s="2">
        <v>38.424239999999998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2023-12-01T06:02:29Z</dcterms:created>
  <dcterms:modified xsi:type="dcterms:W3CDTF">2023-12-01T06:02:55Z</dcterms:modified>
  <cp:category/>
</cp:coreProperties>
</file>