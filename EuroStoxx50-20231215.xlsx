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C7FC8FF8-7153-4823-884D-ED8B9F81960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</calcChain>
</file>

<file path=xl/sharedStrings.xml><?xml version="1.0" encoding="utf-8"?>
<sst xmlns="http://schemas.openxmlformats.org/spreadsheetml/2006/main" count="507" uniqueCount="366">
  <si>
    <t>FactSet Universal Screen</t>
  </si>
  <si>
    <t>BBVA-ES</t>
  </si>
  <si>
    <t>Banco Bilbao Vizcaya Argentaria, S.A.</t>
  </si>
  <si>
    <t>SPAIN</t>
  </si>
  <si>
    <t>Finance</t>
  </si>
  <si>
    <t>Major Banks</t>
  </si>
  <si>
    <t>Buy (1.00)</t>
  </si>
  <si>
    <t>UCG-IT</t>
  </si>
  <si>
    <t>UniCredit S.p.A.</t>
  </si>
  <si>
    <t>ITALY</t>
  </si>
  <si>
    <t>STLAM-IT</t>
  </si>
  <si>
    <t>Stellantis N.V.</t>
  </si>
  <si>
    <t>Consumer Durables</t>
  </si>
  <si>
    <t>Motor Vehicles</t>
  </si>
  <si>
    <t>ENEL-IT</t>
  </si>
  <si>
    <t>Enel SpA</t>
  </si>
  <si>
    <t>Utilities</t>
  </si>
  <si>
    <t>Electric Utilities</t>
  </si>
  <si>
    <t>SIE-DE</t>
  </si>
  <si>
    <t>Siemens Aktiengesellschaft</t>
  </si>
  <si>
    <t>GERMANY</t>
  </si>
  <si>
    <t>Producer Manufacturing</t>
  </si>
  <si>
    <t>Industrial Machinery</t>
  </si>
  <si>
    <t>ENI-IT</t>
  </si>
  <si>
    <t>Eni S.p.A.</t>
  </si>
  <si>
    <t>Energy Minerals</t>
  </si>
  <si>
    <t>Oil Refining/Marketing</t>
  </si>
  <si>
    <t>Overweight (1.50)</t>
  </si>
  <si>
    <t>ISP-IT</t>
  </si>
  <si>
    <t>Intesa Sanpaolo S.p.A.</t>
  </si>
  <si>
    <t>INGA-NL</t>
  </si>
  <si>
    <t>ING Groep NV</t>
  </si>
  <si>
    <t>NETHERLANDS</t>
  </si>
  <si>
    <t>SAN-ES</t>
  </si>
  <si>
    <t>Banco Santander, S.A.</t>
  </si>
  <si>
    <t>RACE-IT</t>
  </si>
  <si>
    <t>Ferrari NV</t>
  </si>
  <si>
    <t>SAP-DE</t>
  </si>
  <si>
    <t>SAP SE</t>
  </si>
  <si>
    <t>Technology Services</t>
  </si>
  <si>
    <t>Packaged Software</t>
  </si>
  <si>
    <t>ALV-DE</t>
  </si>
  <si>
    <t>Allianz SE</t>
  </si>
  <si>
    <t>Multi-Line Insurance</t>
  </si>
  <si>
    <t>TTE-FR</t>
  </si>
  <si>
    <t>TotalEnergies SE</t>
  </si>
  <si>
    <t>FRANCE</t>
  </si>
  <si>
    <t>Integrated Oil</t>
  </si>
  <si>
    <t>MUV2-DE</t>
  </si>
  <si>
    <t>Munich Reinsurance Company</t>
  </si>
  <si>
    <t>Life/Health Insurance</t>
  </si>
  <si>
    <t>NDA.FI-FI</t>
  </si>
  <si>
    <t>Nordea Bank Abp</t>
  </si>
  <si>
    <t>SWEDEN</t>
  </si>
  <si>
    <t>DG-FR</t>
  </si>
  <si>
    <t>VINCI SA</t>
  </si>
  <si>
    <t>Industrial Services</t>
  </si>
  <si>
    <t>Engineering &amp; Construction</t>
  </si>
  <si>
    <t>ASML-NL</t>
  </si>
  <si>
    <t>ASML Holding NV</t>
  </si>
  <si>
    <t>Electronic Technology</t>
  </si>
  <si>
    <t>Semiconductors</t>
  </si>
  <si>
    <t>SGO-FR</t>
  </si>
  <si>
    <t>Compagnie de Saint-Gobain SA</t>
  </si>
  <si>
    <t>Building Products</t>
  </si>
  <si>
    <t>IBE-ES</t>
  </si>
  <si>
    <t>Iberdrola SA</t>
  </si>
  <si>
    <t>SAF-FR</t>
  </si>
  <si>
    <t>Safran SA</t>
  </si>
  <si>
    <t>Aerospace &amp; Defense</t>
  </si>
  <si>
    <t>ITX-ES</t>
  </si>
  <si>
    <t>Industria de Diseno Textil, S.A.</t>
  </si>
  <si>
    <t>Retail Trade</t>
  </si>
  <si>
    <t>Apparel/Footwear Retail</t>
  </si>
  <si>
    <t>AIR-FR</t>
  </si>
  <si>
    <t>Airbus SE</t>
  </si>
  <si>
    <t>BNP-FR</t>
  </si>
  <si>
    <t>BNP Paribas S.A. Class A</t>
  </si>
  <si>
    <t>CS-FR</t>
  </si>
  <si>
    <t>AXA SA</t>
  </si>
  <si>
    <t>DTE-DE</t>
  </si>
  <si>
    <t>Deutsche Telekom AG</t>
  </si>
  <si>
    <t>Communications</t>
  </si>
  <si>
    <t>Major Telecommunications</t>
  </si>
  <si>
    <t>ADS-DE</t>
  </si>
  <si>
    <t>adidas AG</t>
  </si>
  <si>
    <t>Consumer Non-Durables</t>
  </si>
  <si>
    <t>Apparel/Footwear</t>
  </si>
  <si>
    <t>Hold (2.00)</t>
  </si>
  <si>
    <t>SU-FR</t>
  </si>
  <si>
    <t>Schneider Electric SE</t>
  </si>
  <si>
    <t>Electrical Products</t>
  </si>
  <si>
    <t>Overweight (1.25)</t>
  </si>
  <si>
    <t>BMW-DE</t>
  </si>
  <si>
    <t>Bayerische Motoren Werke AG</t>
  </si>
  <si>
    <t>DB1-DE</t>
  </si>
  <si>
    <t>Deutsche Boerse AG</t>
  </si>
  <si>
    <t>Investment Banks/Brokers</t>
  </si>
  <si>
    <t>IFX-DE</t>
  </si>
  <si>
    <t>Infineon Technologies AG</t>
  </si>
  <si>
    <t>AI-FR</t>
  </si>
  <si>
    <t>Air Liquide SA</t>
  </si>
  <si>
    <t>Process Industries</t>
  </si>
  <si>
    <t>Chemicals: Specialty</t>
  </si>
  <si>
    <t>EL-FR</t>
  </si>
  <si>
    <t>EssilorLuxottica SA</t>
  </si>
  <si>
    <t>Health Technology</t>
  </si>
  <si>
    <t>Medical Specialties</t>
  </si>
  <si>
    <t>PRX-NL</t>
  </si>
  <si>
    <t>Prosus N.V. Class N</t>
  </si>
  <si>
    <t>Internet Retail</t>
  </si>
  <si>
    <t>BN-FR</t>
  </si>
  <si>
    <t>Danone SA</t>
  </si>
  <si>
    <t>Food: Meat/Fish/Dairy</t>
  </si>
  <si>
    <t>Hold (1.75)</t>
  </si>
  <si>
    <t>VOW3-DE</t>
  </si>
  <si>
    <t>Volkswagen AG Pref</t>
  </si>
  <si>
    <t>SAN-FR</t>
  </si>
  <si>
    <t>Sanofi</t>
  </si>
  <si>
    <t>Pharmaceuticals: Major</t>
  </si>
  <si>
    <t>ADYEN-NL</t>
  </si>
  <si>
    <t>Adyen NV</t>
  </si>
  <si>
    <t>MBG-DE</t>
  </si>
  <si>
    <t>Mercedes-Benz Group AG</t>
  </si>
  <si>
    <t>OR-FR</t>
  </si>
  <si>
    <t>L'Oreal S.A.</t>
  </si>
  <si>
    <t>Household/Personal Care</t>
  </si>
  <si>
    <t>AD-NL</t>
  </si>
  <si>
    <t>Koninklijke Ahold Delhaize N.V.</t>
  </si>
  <si>
    <t>Food Retail</t>
  </si>
  <si>
    <t>ABI-BE</t>
  </si>
  <si>
    <t>Anheuser-Busch InBev SA/NV</t>
  </si>
  <si>
    <t>BELGIUM</t>
  </si>
  <si>
    <t>Beverages: Alcoholic</t>
  </si>
  <si>
    <t>DHL-DE</t>
  </si>
  <si>
    <t>Deutsche Post AG</t>
  </si>
  <si>
    <t>Transportation</t>
  </si>
  <si>
    <t>Air Freight/Couriers</t>
  </si>
  <si>
    <t>MC-FR</t>
  </si>
  <si>
    <t>LVMH Moet Hennessy Louis Vuitton SE</t>
  </si>
  <si>
    <t>RMS-FR</t>
  </si>
  <si>
    <t>Hermes International SCA</t>
  </si>
  <si>
    <t>BAS-DE</t>
  </si>
  <si>
    <t>BASF SE</t>
  </si>
  <si>
    <t>Chemicals: Major Diversified</t>
  </si>
  <si>
    <t>FLTR-IE</t>
  </si>
  <si>
    <t>Flutter Entertainment Plc</t>
  </si>
  <si>
    <t>UNITED KINGDOM</t>
  </si>
  <si>
    <t>Consumer Services</t>
  </si>
  <si>
    <t>Casinos/Gaming</t>
  </si>
  <si>
    <t>BAYN-DE</t>
  </si>
  <si>
    <t>Bayer AG</t>
  </si>
  <si>
    <t>RI-FR</t>
  </si>
  <si>
    <t>Pernod Ricard SA</t>
  </si>
  <si>
    <t>NOKIA-FI</t>
  </si>
  <si>
    <t>Nokia Oyj</t>
  </si>
  <si>
    <t>FINLAND</t>
  </si>
  <si>
    <t>Telecommunications Equipment</t>
  </si>
  <si>
    <t>KER-FR</t>
  </si>
  <si>
    <t>Kering SA</t>
  </si>
  <si>
    <t>Consumer Sundries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</si>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</sst>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949E4-BF5B-4157-959C-C90E085921C4}">
  <sheetPr>
    <outlinePr summaryBelow="0" summaryRight="0"/>
    <pageSetUpPr fitToPage="1"/>
  </sheetPr>
  <dimension ref="A1:CZ56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28515625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161</v>
      </c>
      <c r="B4" s="5" t="s">
        <v>162</v>
      </c>
      <c r="C4" s="5" t="s">
        <v>163</v>
      </c>
      <c r="D4" s="5" t="s">
        <v>164</v>
      </c>
      <c r="E4" s="5" t="s">
        <v>165</v>
      </c>
      <c r="F4" s="5" t="s">
        <v>166</v>
      </c>
      <c r="G4" s="6" t="s">
        <v>167</v>
      </c>
      <c r="H4" s="6" t="s">
        <v>168</v>
      </c>
      <c r="I4" s="6" t="s">
        <v>169</v>
      </c>
      <c r="J4" s="6" t="s">
        <v>170</v>
      </c>
      <c r="K4" s="6" t="s">
        <v>171</v>
      </c>
      <c r="L4" s="6" t="s">
        <v>172</v>
      </c>
      <c r="M4" s="6" t="s">
        <v>173</v>
      </c>
      <c r="N4" s="6" t="s">
        <v>174</v>
      </c>
      <c r="O4" s="6" t="s">
        <v>175</v>
      </c>
      <c r="P4" s="6" t="s">
        <v>176</v>
      </c>
      <c r="Q4" s="6" t="s">
        <v>177</v>
      </c>
      <c r="R4" s="6" t="s">
        <v>178</v>
      </c>
      <c r="S4" s="6" t="s">
        <v>179</v>
      </c>
      <c r="T4" s="6" t="s">
        <v>180</v>
      </c>
      <c r="U4" s="6" t="s">
        <v>181</v>
      </c>
      <c r="V4" s="6" t="s">
        <v>182</v>
      </c>
      <c r="W4" s="6" t="s">
        <v>183</v>
      </c>
      <c r="X4" s="6" t="s">
        <v>184</v>
      </c>
      <c r="Y4" s="6" t="s">
        <v>185</v>
      </c>
      <c r="Z4" s="6" t="s">
        <v>186</v>
      </c>
      <c r="AA4" s="6" t="s">
        <v>187</v>
      </c>
      <c r="AB4" s="6" t="s">
        <v>188</v>
      </c>
      <c r="AC4" s="6" t="s">
        <v>189</v>
      </c>
      <c r="AD4" s="6" t="s">
        <v>190</v>
      </c>
      <c r="AE4" s="6" t="s">
        <v>191</v>
      </c>
      <c r="AF4" s="6" t="s">
        <v>192</v>
      </c>
      <c r="AG4" s="6" t="s">
        <v>193</v>
      </c>
      <c r="AH4" s="6" t="s">
        <v>194</v>
      </c>
      <c r="AI4" s="6" t="s">
        <v>195</v>
      </c>
      <c r="AJ4" s="6" t="s">
        <v>196</v>
      </c>
      <c r="AK4" s="6" t="s">
        <v>197</v>
      </c>
      <c r="AL4" s="6" t="s">
        <v>198</v>
      </c>
      <c r="AM4" s="6" t="s">
        <v>199</v>
      </c>
      <c r="AN4" s="6" t="s">
        <v>200</v>
      </c>
      <c r="AO4" s="6" t="s">
        <v>201</v>
      </c>
      <c r="AP4" s="6" t="s">
        <v>202</v>
      </c>
      <c r="AQ4" s="6" t="s">
        <v>203</v>
      </c>
      <c r="AR4" s="6" t="s">
        <v>204</v>
      </c>
      <c r="AS4" s="6" t="s">
        <v>205</v>
      </c>
      <c r="AT4" s="6" t="s">
        <v>206</v>
      </c>
      <c r="AU4" s="6" t="s">
        <v>207</v>
      </c>
      <c r="AV4" s="5" t="s">
        <v>208</v>
      </c>
      <c r="AW4" s="6" t="s">
        <v>209</v>
      </c>
      <c r="AX4" s="6" t="s">
        <v>210</v>
      </c>
      <c r="AY4" s="6" t="s">
        <v>211</v>
      </c>
      <c r="AZ4" s="6" t="s">
        <v>212</v>
      </c>
      <c r="BA4" s="6" t="s">
        <v>213</v>
      </c>
      <c r="BB4" s="6" t="s">
        <v>214</v>
      </c>
      <c r="BC4" s="6" t="s">
        <v>215</v>
      </c>
      <c r="BD4" s="6" t="s">
        <v>216</v>
      </c>
      <c r="BE4" s="6" t="s">
        <v>217</v>
      </c>
      <c r="BF4" s="6" t="s">
        <v>218</v>
      </c>
      <c r="BG4" s="6" t="s">
        <v>219</v>
      </c>
      <c r="BH4" s="6" t="s">
        <v>220</v>
      </c>
      <c r="BI4" s="6" t="s">
        <v>221</v>
      </c>
      <c r="BJ4" s="6" t="s">
        <v>222</v>
      </c>
      <c r="BK4" s="6" t="s">
        <v>223</v>
      </c>
      <c r="BL4" s="6" t="s">
        <v>224</v>
      </c>
      <c r="BM4" s="6" t="s">
        <v>225</v>
      </c>
      <c r="BN4" s="6" t="s">
        <v>226</v>
      </c>
      <c r="BO4" s="6" t="s">
        <v>227</v>
      </c>
      <c r="BP4" s="6" t="s">
        <v>228</v>
      </c>
      <c r="BQ4" s="6" t="s">
        <v>229</v>
      </c>
      <c r="BR4" s="6" t="s">
        <v>230</v>
      </c>
      <c r="BS4" s="6" t="s">
        <v>231</v>
      </c>
      <c r="BT4" s="6" t="s">
        <v>232</v>
      </c>
      <c r="BU4" s="6" t="s">
        <v>226</v>
      </c>
      <c r="BV4" s="6" t="s">
        <v>233</v>
      </c>
      <c r="BW4" s="6" t="s">
        <v>234</v>
      </c>
      <c r="BX4" s="6" t="s">
        <v>235</v>
      </c>
      <c r="BY4" s="6" t="s">
        <v>236</v>
      </c>
      <c r="BZ4" s="6" t="s">
        <v>237</v>
      </c>
      <c r="CA4" s="6" t="s">
        <v>238</v>
      </c>
      <c r="CB4" s="6" t="s">
        <v>239</v>
      </c>
      <c r="CC4" s="6" t="s">
        <v>240</v>
      </c>
      <c r="CD4" s="6" t="s">
        <v>241</v>
      </c>
      <c r="CE4" s="6" t="s">
        <v>242</v>
      </c>
      <c r="CF4" s="6" t="s">
        <v>243</v>
      </c>
      <c r="CG4" s="6" t="s">
        <v>244</v>
      </c>
      <c r="CH4" s="6" t="s">
        <v>245</v>
      </c>
      <c r="CI4" s="6" t="s">
        <v>246</v>
      </c>
      <c r="CJ4" s="6" t="s">
        <v>247</v>
      </c>
      <c r="CK4" s="6" t="s">
        <v>248</v>
      </c>
      <c r="CL4" s="6" t="s">
        <v>249</v>
      </c>
      <c r="CM4" s="6" t="s">
        <v>250</v>
      </c>
      <c r="CN4" s="6" t="s">
        <v>251</v>
      </c>
      <c r="CO4" s="6" t="s">
        <v>252</v>
      </c>
      <c r="CP4" s="6" t="s">
        <v>253</v>
      </c>
      <c r="CQ4" s="6" t="s">
        <v>254</v>
      </c>
      <c r="CR4" s="6" t="s">
        <v>255</v>
      </c>
      <c r="CS4" s="6" t="s">
        <v>256</v>
      </c>
      <c r="CT4" s="6" t="s">
        <v>257</v>
      </c>
      <c r="CU4" s="6" t="s">
        <v>258</v>
      </c>
      <c r="CV4" s="6" t="s">
        <v>259</v>
      </c>
      <c r="CW4" s="6" t="s">
        <v>260</v>
      </c>
      <c r="CX4" s="6" t="s">
        <v>261</v>
      </c>
      <c r="CY4" s="6" t="s">
        <v>262</v>
      </c>
      <c r="CZ4" s="6" t="s">
        <v>263</v>
      </c>
    </row>
    <row r="5" spans="1:104" ht="12.75" x14ac:dyDescent="0.2">
      <c r="A5" s="5"/>
      <c r="B5" s="5"/>
      <c r="C5" s="5" t="s">
        <v>264</v>
      </c>
      <c r="D5" s="5" t="s">
        <v>265</v>
      </c>
      <c r="E5" s="5" t="s">
        <v>266</v>
      </c>
      <c r="F5" s="5" t="s">
        <v>267</v>
      </c>
      <c r="G5" s="6" t="s">
        <v>268</v>
      </c>
      <c r="H5" s="6" t="s">
        <v>269</v>
      </c>
      <c r="I5" s="6" t="s">
        <v>270</v>
      </c>
      <c r="J5" s="6" t="s">
        <v>271</v>
      </c>
      <c r="K5" s="6" t="s">
        <v>272</v>
      </c>
      <c r="L5" s="6" t="s">
        <v>273</v>
      </c>
      <c r="M5" s="6" t="s">
        <v>274</v>
      </c>
      <c r="N5" s="6" t="s">
        <v>275</v>
      </c>
      <c r="O5" s="6" t="s">
        <v>276</v>
      </c>
      <c r="P5" s="6" t="s">
        <v>277</v>
      </c>
      <c r="Q5" s="6" t="s">
        <v>278</v>
      </c>
      <c r="R5" s="6" t="s">
        <v>279</v>
      </c>
      <c r="S5" s="6" t="s">
        <v>280</v>
      </c>
      <c r="T5" s="6" t="s">
        <v>281</v>
      </c>
      <c r="U5" s="6" t="s">
        <v>282</v>
      </c>
      <c r="V5" s="6" t="s">
        <v>283</v>
      </c>
      <c r="W5" s="6" t="s">
        <v>284</v>
      </c>
      <c r="X5" s="6" t="s">
        <v>285</v>
      </c>
      <c r="Y5" s="6" t="s">
        <v>286</v>
      </c>
      <c r="Z5" s="6" t="s">
        <v>287</v>
      </c>
      <c r="AA5" s="6" t="s">
        <v>288</v>
      </c>
      <c r="AB5" s="6" t="s">
        <v>289</v>
      </c>
      <c r="AC5" s="6" t="s">
        <v>290</v>
      </c>
      <c r="AD5" s="6" t="s">
        <v>291</v>
      </c>
      <c r="AE5" s="6" t="s">
        <v>292</v>
      </c>
      <c r="AF5" s="6" t="s">
        <v>293</v>
      </c>
      <c r="AG5" s="6" t="s">
        <v>294</v>
      </c>
      <c r="AH5" s="6" t="s">
        <v>295</v>
      </c>
      <c r="AI5" s="6" t="s">
        <v>296</v>
      </c>
      <c r="AJ5" s="6" t="s">
        <v>297</v>
      </c>
      <c r="AK5" s="6" t="s">
        <v>298</v>
      </c>
      <c r="AL5" s="6" t="s">
        <v>299</v>
      </c>
      <c r="AM5" s="6" t="s">
        <v>300</v>
      </c>
      <c r="AN5" s="6" t="s">
        <v>301</v>
      </c>
      <c r="AO5" s="6" t="s">
        <v>302</v>
      </c>
      <c r="AP5" s="6" t="s">
        <v>303</v>
      </c>
      <c r="AQ5" s="6" t="s">
        <v>304</v>
      </c>
      <c r="AR5" s="6" t="s">
        <v>305</v>
      </c>
      <c r="AS5" s="6" t="s">
        <v>306</v>
      </c>
      <c r="AT5" s="6" t="s">
        <v>307</v>
      </c>
      <c r="AU5" s="6" t="s">
        <v>308</v>
      </c>
      <c r="AV5" s="5" t="s">
        <v>309</v>
      </c>
      <c r="AW5" s="6" t="s">
        <v>310</v>
      </c>
      <c r="AX5" s="6" t="s">
        <v>311</v>
      </c>
      <c r="AY5" s="6" t="s">
        <v>312</v>
      </c>
      <c r="AZ5" s="6" t="s">
        <v>313</v>
      </c>
      <c r="BA5" s="6" t="s">
        <v>314</v>
      </c>
      <c r="BB5" s="6" t="s">
        <v>315</v>
      </c>
      <c r="BC5" s="6" t="s">
        <v>316</v>
      </c>
      <c r="BD5" s="6" t="s">
        <v>317</v>
      </c>
      <c r="BE5" s="6" t="s">
        <v>318</v>
      </c>
      <c r="BF5" s="6" t="s">
        <v>319</v>
      </c>
      <c r="BG5" s="6" t="s">
        <v>320</v>
      </c>
      <c r="BH5" s="6" t="s">
        <v>321</v>
      </c>
      <c r="BI5" s="6" t="s">
        <v>322</v>
      </c>
      <c r="BJ5" s="6" t="s">
        <v>323</v>
      </c>
      <c r="BK5" s="6" t="s">
        <v>324</v>
      </c>
      <c r="BL5" s="6" t="s">
        <v>325</v>
      </c>
      <c r="BM5" s="6" t="s">
        <v>326</v>
      </c>
      <c r="BN5" s="6" t="s">
        <v>327</v>
      </c>
      <c r="BO5" s="6" t="s">
        <v>328</v>
      </c>
      <c r="BP5" s="6" t="s">
        <v>329</v>
      </c>
      <c r="BQ5" s="6" t="s">
        <v>330</v>
      </c>
      <c r="BR5" s="6" t="s">
        <v>331</v>
      </c>
      <c r="BS5" s="6" t="s">
        <v>332</v>
      </c>
      <c r="BT5" s="6" t="s">
        <v>333</v>
      </c>
      <c r="BU5" s="6" t="s">
        <v>334</v>
      </c>
      <c r="BV5" s="6" t="s">
        <v>335</v>
      </c>
      <c r="BW5" s="6" t="s">
        <v>336</v>
      </c>
      <c r="BX5" s="6" t="s">
        <v>337</v>
      </c>
      <c r="BY5" s="6" t="s">
        <v>338</v>
      </c>
      <c r="BZ5" s="6" t="s">
        <v>339</v>
      </c>
      <c r="CA5" s="6" t="s">
        <v>340</v>
      </c>
      <c r="CB5" s="6" t="s">
        <v>341</v>
      </c>
      <c r="CC5" s="6" t="s">
        <v>342</v>
      </c>
      <c r="CD5" s="6" t="s">
        <v>343</v>
      </c>
      <c r="CE5" s="6" t="s">
        <v>344</v>
      </c>
      <c r="CF5" s="6" t="s">
        <v>345</v>
      </c>
      <c r="CG5" s="6" t="s">
        <v>346</v>
      </c>
      <c r="CH5" s="6" t="s">
        <v>347</v>
      </c>
      <c r="CI5" s="6" t="s">
        <v>348</v>
      </c>
      <c r="CJ5" s="6" t="s">
        <v>349</v>
      </c>
      <c r="CK5" s="6" t="s">
        <v>350</v>
      </c>
      <c r="CL5" s="6" t="s">
        <v>351</v>
      </c>
      <c r="CM5" s="6" t="s">
        <v>352</v>
      </c>
      <c r="CN5" s="6" t="s">
        <v>353</v>
      </c>
      <c r="CO5" s="6" t="s">
        <v>354</v>
      </c>
      <c r="CP5" s="6" t="s">
        <v>355</v>
      </c>
      <c r="CQ5" s="6" t="s">
        <v>356</v>
      </c>
      <c r="CR5" s="6" t="s">
        <v>357</v>
      </c>
      <c r="CS5" s="6" t="s">
        <v>358</v>
      </c>
      <c r="CT5" s="6" t="s">
        <v>359</v>
      </c>
      <c r="CU5" s="6" t="s">
        <v>360</v>
      </c>
      <c r="CV5" s="6" t="s">
        <v>361</v>
      </c>
      <c r="CW5" s="6" t="s">
        <v>362</v>
      </c>
      <c r="CX5" s="6" t="s">
        <v>363</v>
      </c>
      <c r="CY5" s="6" t="s">
        <v>364</v>
      </c>
      <c r="CZ5" s="6" t="s">
        <v>365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49942.94</v>
      </c>
      <c r="H7" s="2">
        <v>98.485399999999998</v>
      </c>
      <c r="I7" s="2">
        <v>49186.5</v>
      </c>
      <c r="J7" s="3">
        <v>8.3719999999999999</v>
      </c>
      <c r="K7" s="3">
        <v>0</v>
      </c>
      <c r="L7" s="2">
        <v>5.1361679999999996</v>
      </c>
      <c r="M7" s="2">
        <v>7.5250839999999997</v>
      </c>
      <c r="N7" s="2">
        <v>7.5250839999999997</v>
      </c>
      <c r="O7" s="2">
        <v>7.5250839999999997</v>
      </c>
      <c r="P7" s="2">
        <v>7.9733330000000002</v>
      </c>
      <c r="Q7" s="2">
        <v>6.5406250000000004</v>
      </c>
      <c r="R7" s="2">
        <v>6.3908399999999999</v>
      </c>
      <c r="S7" s="2">
        <v>6.4153260000000003</v>
      </c>
      <c r="T7" s="2" t="e">
        <v>#N/A</v>
      </c>
      <c r="U7" s="2" t="e">
        <v>#N/A</v>
      </c>
      <c r="V7" s="2" t="e">
        <v>#N/A</v>
      </c>
      <c r="W7" s="2" t="e">
        <v>#N/A</v>
      </c>
      <c r="X7" s="2">
        <v>1.074711</v>
      </c>
      <c r="Y7" s="2">
        <v>0.98842969999999997</v>
      </c>
      <c r="Z7" s="2">
        <v>0.94067420000000002</v>
      </c>
      <c r="AA7" s="2">
        <v>0.87797199999999997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3">
        <v>1.320492</v>
      </c>
      <c r="AM7" s="3">
        <v>1.299979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1" t="s">
        <v>6</v>
      </c>
      <c r="AW7" s="3">
        <v>1.3653850000000001</v>
      </c>
      <c r="AX7" s="3">
        <v>10</v>
      </c>
      <c r="AY7" s="2">
        <v>19.445779999999999</v>
      </c>
      <c r="AZ7" s="2">
        <v>15.112159999999999</v>
      </c>
      <c r="BA7" s="2">
        <v>4.9085219999999996</v>
      </c>
      <c r="BB7" s="2">
        <v>51.201000000000001</v>
      </c>
      <c r="BC7" s="2">
        <v>48.597799999999999</v>
      </c>
      <c r="BD7" s="3">
        <v>5.3010000000000002</v>
      </c>
      <c r="BE7" s="2">
        <v>57.932459999999999</v>
      </c>
      <c r="BF7" s="3">
        <v>8.7260000000000009</v>
      </c>
      <c r="BG7" s="2">
        <v>-4.0568410000000004</v>
      </c>
      <c r="BH7" s="2">
        <v>41.986649999999997</v>
      </c>
      <c r="BI7" s="2">
        <v>48.140880000000003</v>
      </c>
      <c r="BJ7" s="2">
        <v>48.917549999999999</v>
      </c>
      <c r="BK7" s="2">
        <v>50.046190000000003</v>
      </c>
      <c r="BL7" s="2">
        <v>25</v>
      </c>
      <c r="BM7" s="2">
        <v>17</v>
      </c>
      <c r="BN7" s="4">
        <v>26</v>
      </c>
      <c r="BO7" s="4">
        <v>4</v>
      </c>
      <c r="BP7" s="4">
        <v>1</v>
      </c>
      <c r="BQ7" s="4">
        <v>22</v>
      </c>
      <c r="BR7" s="2">
        <v>14.81481</v>
      </c>
      <c r="BS7" s="4">
        <v>18</v>
      </c>
      <c r="BT7" s="4">
        <v>0</v>
      </c>
      <c r="BU7" s="4">
        <v>26</v>
      </c>
      <c r="BV7" s="2">
        <v>69.230770000000007</v>
      </c>
      <c r="BW7" s="2">
        <v>8.9487400000000008</v>
      </c>
      <c r="BX7" s="2">
        <v>5965.473</v>
      </c>
      <c r="BY7" s="3">
        <v>16.244509999999998</v>
      </c>
      <c r="BZ7" s="3">
        <v>0.27230880000000002</v>
      </c>
      <c r="CA7" s="2">
        <v>1.5012799999999999</v>
      </c>
      <c r="CB7" s="3">
        <v>0.27230880000000002</v>
      </c>
      <c r="CC7" s="3">
        <v>1.2267479999999999</v>
      </c>
      <c r="CD7" s="3">
        <v>1.2916430000000001</v>
      </c>
      <c r="CE7" s="2">
        <v>5.2899839999999996</v>
      </c>
      <c r="CF7" s="3">
        <v>16406.54</v>
      </c>
      <c r="CG7" s="3">
        <v>17168.61</v>
      </c>
      <c r="CH7" s="2">
        <v>4.6449069999999999</v>
      </c>
      <c r="CI7" s="3">
        <v>8.811852</v>
      </c>
      <c r="CJ7" s="2">
        <v>13.48352</v>
      </c>
      <c r="CK7" s="3">
        <v>28296.53</v>
      </c>
      <c r="CL7" s="3">
        <v>29771.9</v>
      </c>
      <c r="CM7" s="2">
        <v>5.2139759999999997</v>
      </c>
      <c r="CN7" s="3">
        <v>7.1293350000000002</v>
      </c>
      <c r="CO7" s="3">
        <v>8.0044330000000006</v>
      </c>
      <c r="CP7" s="3">
        <v>8.3796160000000004</v>
      </c>
      <c r="CQ7" s="2">
        <v>17.430289999999999</v>
      </c>
      <c r="CR7" s="2">
        <v>4.5920490000000003</v>
      </c>
      <c r="CS7" s="2">
        <v>-9.0885160000000006E-2</v>
      </c>
      <c r="CT7" s="2">
        <v>12.2746</v>
      </c>
      <c r="CU7" s="2">
        <v>127.13849999999999</v>
      </c>
      <c r="CV7" s="3">
        <v>0.2545676</v>
      </c>
      <c r="CW7" s="2">
        <v>-2.0145930000000001</v>
      </c>
      <c r="CX7" s="2">
        <v>8.6232989999999994</v>
      </c>
      <c r="CY7" s="2">
        <v>9.216977</v>
      </c>
      <c r="CZ7" s="2">
        <v>14.393940000000001</v>
      </c>
    </row>
    <row r="8" spans="1:104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4</v>
      </c>
      <c r="F8" s="1" t="s">
        <v>5</v>
      </c>
      <c r="G8" s="2">
        <v>42564.21</v>
      </c>
      <c r="H8" s="2">
        <v>87.571600000000004</v>
      </c>
      <c r="I8" s="2">
        <v>37274.160000000003</v>
      </c>
      <c r="J8" s="3">
        <v>23.85</v>
      </c>
      <c r="K8" s="3">
        <v>0</v>
      </c>
      <c r="L8" s="2">
        <v>4.1509429999999998</v>
      </c>
      <c r="M8" s="2">
        <v>6.1776520000000001</v>
      </c>
      <c r="N8" s="2">
        <v>7.0230600000000001</v>
      </c>
      <c r="O8" s="2">
        <v>8.3018870000000007</v>
      </c>
      <c r="P8" s="2">
        <v>9.5399999999999991</v>
      </c>
      <c r="Q8" s="2">
        <v>5.5208329999999997</v>
      </c>
      <c r="R8" s="2">
        <v>5.3383900000000004</v>
      </c>
      <c r="S8" s="2">
        <v>5.1691380000000002</v>
      </c>
      <c r="T8" s="2" t="e">
        <v>#N/A</v>
      </c>
      <c r="U8" s="2" t="e">
        <v>#N/A</v>
      </c>
      <c r="V8" s="2" t="e">
        <v>#N/A</v>
      </c>
      <c r="W8" s="2" t="e">
        <v>#N/A</v>
      </c>
      <c r="X8" s="2">
        <v>0.80628809999999995</v>
      </c>
      <c r="Y8" s="2">
        <v>0.68651720000000005</v>
      </c>
      <c r="Z8" s="2">
        <v>0.62655450000000001</v>
      </c>
      <c r="AA8" s="2">
        <v>0.55855049999999995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3">
        <v>0.187863</v>
      </c>
      <c r="AM8" s="3">
        <v>0.18049460000000001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1" t="s">
        <v>6</v>
      </c>
      <c r="AW8" s="3">
        <v>1.1458330000000001</v>
      </c>
      <c r="AX8" s="3">
        <v>32.85</v>
      </c>
      <c r="AY8" s="2">
        <v>37.735840000000003</v>
      </c>
      <c r="AZ8" s="2">
        <v>12.435029999999999</v>
      </c>
      <c r="BA8" s="2">
        <v>29.51</v>
      </c>
      <c r="BB8" s="2">
        <v>86.707369999999997</v>
      </c>
      <c r="BC8" s="2">
        <v>79.701629999999994</v>
      </c>
      <c r="BD8" s="3">
        <v>12.478</v>
      </c>
      <c r="BE8" s="2">
        <v>91.136409999999998</v>
      </c>
      <c r="BF8" s="3">
        <v>25.78</v>
      </c>
      <c r="BG8" s="2">
        <v>-7.4864269999999999</v>
      </c>
      <c r="BH8" s="2">
        <v>38.923900000000003</v>
      </c>
      <c r="BI8" s="2">
        <v>34.708480000000002</v>
      </c>
      <c r="BJ8" s="2">
        <v>37.419350000000001</v>
      </c>
      <c r="BK8" s="2">
        <v>41.114699999999999</v>
      </c>
      <c r="BL8" s="2">
        <v>22</v>
      </c>
      <c r="BM8" s="2">
        <v>11</v>
      </c>
      <c r="BN8" s="4">
        <v>24</v>
      </c>
      <c r="BO8" s="4">
        <v>0</v>
      </c>
      <c r="BP8" s="4">
        <v>0</v>
      </c>
      <c r="BQ8" s="4">
        <v>23</v>
      </c>
      <c r="BR8" s="2">
        <v>0</v>
      </c>
      <c r="BS8" s="4">
        <v>21</v>
      </c>
      <c r="BT8" s="4">
        <v>0</v>
      </c>
      <c r="BU8" s="4">
        <v>24</v>
      </c>
      <c r="BV8" s="2">
        <v>87.5</v>
      </c>
      <c r="BW8" s="2">
        <v>11.999499999999999</v>
      </c>
      <c r="BX8" s="2">
        <v>1784.663</v>
      </c>
      <c r="BY8" s="3">
        <v>14.38367</v>
      </c>
      <c r="BZ8" s="3">
        <v>0.80595989999999995</v>
      </c>
      <c r="CA8" s="2">
        <v>1.6219600000000001</v>
      </c>
      <c r="CB8" s="3">
        <v>0.80595989999999995</v>
      </c>
      <c r="CC8" s="3">
        <v>4.0059259999999997</v>
      </c>
      <c r="CD8" s="3">
        <v>4.3020740000000002</v>
      </c>
      <c r="CE8" s="2">
        <v>7.3927519999999998</v>
      </c>
      <c r="CF8" s="3">
        <v>13177.83</v>
      </c>
      <c r="CG8" s="3">
        <v>13861.7</v>
      </c>
      <c r="CH8" s="2">
        <v>5.1895619999999996</v>
      </c>
      <c r="CI8" s="3">
        <v>30.172499999999999</v>
      </c>
      <c r="CJ8" s="2">
        <v>8.8739629999999998</v>
      </c>
      <c r="CK8" s="3">
        <v>22724.3</v>
      </c>
      <c r="CL8" s="3">
        <v>23379.58</v>
      </c>
      <c r="CM8" s="2">
        <v>2.883613</v>
      </c>
      <c r="CN8" s="3">
        <v>21.09497</v>
      </c>
      <c r="CO8" s="3">
        <v>23.941960000000002</v>
      </c>
      <c r="CP8" s="3">
        <v>24.89404</v>
      </c>
      <c r="CQ8" s="2">
        <v>13.06012</v>
      </c>
      <c r="CR8" s="2">
        <v>-0.3840983</v>
      </c>
      <c r="CS8" s="2">
        <v>-4.1939320000000002</v>
      </c>
      <c r="CT8" s="2">
        <v>13.49605</v>
      </c>
      <c r="CU8" s="2">
        <v>300.07350000000002</v>
      </c>
      <c r="CV8" s="3">
        <v>0.70499000000000001</v>
      </c>
      <c r="CW8" s="2">
        <v>17.81174</v>
      </c>
      <c r="CX8" s="2">
        <v>2.8973879999999999</v>
      </c>
      <c r="CY8" s="2">
        <v>28.01125</v>
      </c>
      <c r="CZ8" s="2">
        <v>14.47475</v>
      </c>
    </row>
    <row r="9" spans="1:104" ht="15" customHeight="1" x14ac:dyDescent="0.2">
      <c r="A9" s="1">
        <f t="shared" ref="A9:A56" si="0">1+A8</f>
        <v>3</v>
      </c>
      <c r="B9" s="1" t="s">
        <v>11</v>
      </c>
      <c r="C9" s="1" t="s">
        <v>10</v>
      </c>
      <c r="D9" s="1" t="s">
        <v>9</v>
      </c>
      <c r="E9" s="1" t="s">
        <v>12</v>
      </c>
      <c r="F9" s="1" t="s">
        <v>13</v>
      </c>
      <c r="G9" s="2">
        <v>66848.42</v>
      </c>
      <c r="H9" s="2">
        <v>69.203900000000004</v>
      </c>
      <c r="I9" s="2">
        <v>46261.71</v>
      </c>
      <c r="J9" s="3">
        <v>21.26</v>
      </c>
      <c r="K9" s="3">
        <v>0</v>
      </c>
      <c r="L9" s="2">
        <v>6.3029159999999997</v>
      </c>
      <c r="M9" s="2">
        <v>7.4082780000000001</v>
      </c>
      <c r="N9" s="2">
        <v>7.2366619999999999</v>
      </c>
      <c r="O9" s="2">
        <v>7.5258700000000003</v>
      </c>
      <c r="P9" s="2">
        <v>4</v>
      </c>
      <c r="Q9" s="2">
        <v>3.5735899999999998</v>
      </c>
      <c r="R9" s="2">
        <v>3.9432170000000002</v>
      </c>
      <c r="S9" s="2">
        <v>3.9800810000000002</v>
      </c>
      <c r="T9" s="2">
        <v>0.5658183</v>
      </c>
      <c r="U9" s="2">
        <v>1.1628750000000001</v>
      </c>
      <c r="V9" s="2">
        <v>1.1643159999999999</v>
      </c>
      <c r="W9" s="2">
        <v>0.97209820000000002</v>
      </c>
      <c r="X9" s="2">
        <v>0.9439244</v>
      </c>
      <c r="Y9" s="2">
        <v>0.78161760000000002</v>
      </c>
      <c r="Z9" s="2">
        <v>0.67923330000000004</v>
      </c>
      <c r="AA9" s="2">
        <v>0.59819920000000004</v>
      </c>
      <c r="AB9" s="2">
        <v>3.3256019999999999</v>
      </c>
      <c r="AC9" s="2">
        <v>2.6971599999999998</v>
      </c>
      <c r="AD9" s="2">
        <v>3.0797669999999999</v>
      </c>
      <c r="AE9" s="2">
        <v>2.9146610000000002</v>
      </c>
      <c r="AF9" s="2">
        <v>33.792180000000002</v>
      </c>
      <c r="AG9" s="2">
        <v>29.615849999999998</v>
      </c>
      <c r="AH9" s="2">
        <v>32.712200000000003</v>
      </c>
      <c r="AI9" s="2">
        <v>18.389479999999999</v>
      </c>
      <c r="AJ9" s="2">
        <v>14.65456</v>
      </c>
      <c r="AK9" s="2">
        <v>14.085140000000001</v>
      </c>
      <c r="AL9" s="3" t="e">
        <v>#N/A</v>
      </c>
      <c r="AM9" s="3" t="e">
        <v>#N/A</v>
      </c>
      <c r="AN9" s="2">
        <v>15.740959999999999</v>
      </c>
      <c r="AO9" s="2">
        <v>16.42353</v>
      </c>
      <c r="AP9" s="2">
        <v>14.80396</v>
      </c>
      <c r="AQ9" s="2">
        <v>14.947800000000001</v>
      </c>
      <c r="AR9" s="2">
        <v>-0.90928399999999998</v>
      </c>
      <c r="AS9" s="2">
        <v>-0.97400299999999995</v>
      </c>
      <c r="AT9" s="2">
        <v>-1.1886859999999999</v>
      </c>
      <c r="AU9" s="2">
        <v>-1.2855639999999999</v>
      </c>
      <c r="AV9" s="1" t="s">
        <v>6</v>
      </c>
      <c r="AW9" s="3">
        <v>1.25</v>
      </c>
      <c r="AX9" s="3">
        <v>24</v>
      </c>
      <c r="AY9" s="2">
        <v>12.88805</v>
      </c>
      <c r="AZ9" s="2">
        <v>21.872060000000001</v>
      </c>
      <c r="BA9" s="2">
        <v>-1.8</v>
      </c>
      <c r="BB9" s="2">
        <v>53.03772</v>
      </c>
      <c r="BC9" s="2">
        <v>60.283479999999997</v>
      </c>
      <c r="BD9" s="3">
        <v>13.048</v>
      </c>
      <c r="BE9" s="2">
        <v>62.936839999999997</v>
      </c>
      <c r="BF9" s="3">
        <v>21.344999999999999</v>
      </c>
      <c r="BG9" s="2">
        <v>-0.39821269999999998</v>
      </c>
      <c r="BH9" s="2">
        <v>24.69144</v>
      </c>
      <c r="BI9" s="2">
        <v>26.531700000000001</v>
      </c>
      <c r="BJ9" s="2">
        <v>28.186530000000001</v>
      </c>
      <c r="BK9" s="2">
        <v>28.002230000000001</v>
      </c>
      <c r="BL9" s="2">
        <v>24</v>
      </c>
      <c r="BM9" s="2">
        <v>23</v>
      </c>
      <c r="BN9" s="4">
        <v>26</v>
      </c>
      <c r="BO9" s="4">
        <v>2</v>
      </c>
      <c r="BP9" s="4">
        <v>0</v>
      </c>
      <c r="BQ9" s="4">
        <v>25</v>
      </c>
      <c r="BR9" s="2">
        <v>7.4074070000000001</v>
      </c>
      <c r="BS9" s="4">
        <v>22</v>
      </c>
      <c r="BT9" s="4">
        <v>1</v>
      </c>
      <c r="BU9" s="4">
        <v>26</v>
      </c>
      <c r="BV9" s="2">
        <v>84.615390000000005</v>
      </c>
      <c r="BW9" s="2">
        <v>9.9866799999999998</v>
      </c>
      <c r="BX9" s="2">
        <v>3144.3290000000002</v>
      </c>
      <c r="BY9" s="3">
        <v>10.354369999999999</v>
      </c>
      <c r="BZ9" s="3">
        <v>0.32930290000000001</v>
      </c>
      <c r="CA9" s="2">
        <v>1.52773</v>
      </c>
      <c r="CB9" s="3">
        <v>0.32930290000000001</v>
      </c>
      <c r="CC9" s="3">
        <v>5.6551549999999997</v>
      </c>
      <c r="CD9" s="3">
        <v>5.9090749999999996</v>
      </c>
      <c r="CE9" s="2">
        <v>4.4900659999999997</v>
      </c>
      <c r="CF9" s="3">
        <v>23193.55</v>
      </c>
      <c r="CG9" s="3">
        <v>24016.46</v>
      </c>
      <c r="CH9" s="2">
        <v>3.5480019999999999</v>
      </c>
      <c r="CI9" s="3">
        <v>22.826820000000001</v>
      </c>
      <c r="CJ9" s="2">
        <v>5.1394580000000003</v>
      </c>
      <c r="CK9" s="3">
        <v>189798.2</v>
      </c>
      <c r="CL9" s="3">
        <v>190556.6</v>
      </c>
      <c r="CM9" s="2">
        <v>0.39957759999999998</v>
      </c>
      <c r="CN9" s="3">
        <v>16.967500000000001</v>
      </c>
      <c r="CO9" s="3">
        <v>18.853860000000001</v>
      </c>
      <c r="CP9" s="3">
        <v>19.520890000000001</v>
      </c>
      <c r="CQ9" s="2">
        <v>25.29833</v>
      </c>
      <c r="CR9" s="2">
        <v>12.76206</v>
      </c>
      <c r="CS9" s="2">
        <v>8.9089980000000004</v>
      </c>
      <c r="CT9" s="2">
        <v>11.117459999999999</v>
      </c>
      <c r="CU9" s="2">
        <v>187.83860000000001</v>
      </c>
      <c r="CV9" s="3">
        <v>0.28099180000000001</v>
      </c>
      <c r="CW9" s="2">
        <v>1.763309</v>
      </c>
      <c r="CX9" s="2">
        <v>4.783811</v>
      </c>
      <c r="CY9" s="2" t="e">
        <v>#N/A</v>
      </c>
      <c r="CZ9" s="2">
        <v>14.77778</v>
      </c>
    </row>
    <row r="10" spans="1:104" ht="15" customHeight="1" x14ac:dyDescent="0.2">
      <c r="A10" s="1">
        <f t="shared" si="0"/>
        <v>4</v>
      </c>
      <c r="B10" s="1" t="s">
        <v>15</v>
      </c>
      <c r="C10" s="1" t="s">
        <v>14</v>
      </c>
      <c r="D10" s="1" t="s">
        <v>9</v>
      </c>
      <c r="E10" s="1" t="s">
        <v>16</v>
      </c>
      <c r="F10" s="1" t="s">
        <v>17</v>
      </c>
      <c r="G10" s="2">
        <v>68340.42</v>
      </c>
      <c r="H10" s="2">
        <v>75.152699999999996</v>
      </c>
      <c r="I10" s="2">
        <v>51359.68</v>
      </c>
      <c r="J10" s="3">
        <v>6.7220000000000004</v>
      </c>
      <c r="K10" s="3">
        <v>0</v>
      </c>
      <c r="L10" s="2">
        <v>5.9506100000000002</v>
      </c>
      <c r="M10" s="2">
        <v>6.3969050000000003</v>
      </c>
      <c r="N10" s="2">
        <v>6.6944359999999996</v>
      </c>
      <c r="O10" s="2">
        <v>6.9919669999999998</v>
      </c>
      <c r="P10" s="2">
        <v>12.683020000000001</v>
      </c>
      <c r="Q10" s="2">
        <v>10.410729999999999</v>
      </c>
      <c r="R10" s="2">
        <v>10.15408</v>
      </c>
      <c r="S10" s="2">
        <v>9.6097210000000004</v>
      </c>
      <c r="T10" s="2">
        <v>5.6498710000000001</v>
      </c>
      <c r="U10" s="2">
        <v>5.8635789999999997</v>
      </c>
      <c r="V10" s="2">
        <v>5.4790580000000002</v>
      </c>
      <c r="W10" s="2">
        <v>5.4418160000000002</v>
      </c>
      <c r="X10" s="2">
        <v>2.3836879999999998</v>
      </c>
      <c r="Y10" s="2">
        <v>2.2258279999999999</v>
      </c>
      <c r="Z10" s="2">
        <v>2.0699000000000001</v>
      </c>
      <c r="AA10" s="2">
        <v>1.938852</v>
      </c>
      <c r="AB10" s="2">
        <v>6.0558560000000003</v>
      </c>
      <c r="AC10" s="2">
        <v>4.8561560000000004</v>
      </c>
      <c r="AD10" s="2">
        <v>4.632943</v>
      </c>
      <c r="AE10" s="2">
        <v>4.4834209999999999</v>
      </c>
      <c r="AF10" s="2">
        <v>1.9268209999999999</v>
      </c>
      <c r="AG10" s="2">
        <v>4.717937</v>
      </c>
      <c r="AH10" s="2">
        <v>3.7190479999999999</v>
      </c>
      <c r="AI10" s="2">
        <v>3.6325859999999999</v>
      </c>
      <c r="AJ10" s="2">
        <v>8.4844639999999991</v>
      </c>
      <c r="AK10" s="2">
        <v>6.743627</v>
      </c>
      <c r="AL10" s="3">
        <v>1.1611039999999999</v>
      </c>
      <c r="AM10" s="3">
        <v>1.115891</v>
      </c>
      <c r="AN10" s="2">
        <v>14.00756</v>
      </c>
      <c r="AO10" s="2">
        <v>21.938690000000001</v>
      </c>
      <c r="AP10" s="2">
        <v>22.736260000000001</v>
      </c>
      <c r="AQ10" s="2">
        <v>23.04637</v>
      </c>
      <c r="AR10" s="2">
        <v>3.0517699999999999</v>
      </c>
      <c r="AS10" s="2">
        <v>2.7533789999999998</v>
      </c>
      <c r="AT10" s="2">
        <v>2.4323299999999999</v>
      </c>
      <c r="AU10" s="2">
        <v>2.4407049999999999</v>
      </c>
      <c r="AV10" s="1" t="s">
        <v>6</v>
      </c>
      <c r="AW10" s="3">
        <v>1.1904760000000001</v>
      </c>
      <c r="AX10" s="3">
        <v>7.5</v>
      </c>
      <c r="AY10" s="2">
        <v>11.573930000000001</v>
      </c>
      <c r="AZ10" s="2">
        <v>21.380140000000001</v>
      </c>
      <c r="BA10" s="2">
        <v>8.9793459999999996</v>
      </c>
      <c r="BB10" s="2">
        <v>27.989339999999999</v>
      </c>
      <c r="BC10" s="2">
        <v>33.638170000000002</v>
      </c>
      <c r="BD10" s="3">
        <v>4.92</v>
      </c>
      <c r="BE10" s="2">
        <v>36.626019999999997</v>
      </c>
      <c r="BF10" s="3">
        <v>6.77</v>
      </c>
      <c r="BG10" s="2">
        <v>-0.70900920000000001</v>
      </c>
      <c r="BH10" s="2">
        <v>75.461839999999995</v>
      </c>
      <c r="BI10" s="2">
        <v>66.420140000000004</v>
      </c>
      <c r="BJ10" s="2">
        <v>67.10266</v>
      </c>
      <c r="BK10" s="2">
        <v>67.670730000000006</v>
      </c>
      <c r="BL10" s="2">
        <v>18</v>
      </c>
      <c r="BM10" s="2">
        <v>17</v>
      </c>
      <c r="BN10" s="4">
        <v>21</v>
      </c>
      <c r="BO10" s="4">
        <v>0</v>
      </c>
      <c r="BP10" s="4">
        <v>0</v>
      </c>
      <c r="BQ10" s="4">
        <v>20</v>
      </c>
      <c r="BR10" s="2">
        <v>0</v>
      </c>
      <c r="BS10" s="4">
        <v>19</v>
      </c>
      <c r="BT10" s="4">
        <v>0</v>
      </c>
      <c r="BU10" s="4">
        <v>21</v>
      </c>
      <c r="BV10" s="2">
        <v>90.476190000000003</v>
      </c>
      <c r="BW10" s="2">
        <v>6.5487799999999998</v>
      </c>
      <c r="BX10" s="2">
        <v>10166.68</v>
      </c>
      <c r="BY10" s="3">
        <v>24.22269</v>
      </c>
      <c r="BZ10" s="3">
        <v>0.23825569999999999</v>
      </c>
      <c r="CA10" s="2">
        <v>0.83785900000000002</v>
      </c>
      <c r="CB10" s="3">
        <v>0.23825569999999999</v>
      </c>
      <c r="CC10" s="3">
        <v>0.61032390000000003</v>
      </c>
      <c r="CD10" s="3">
        <v>0.64473709999999995</v>
      </c>
      <c r="CE10" s="2">
        <v>5.6385040000000002</v>
      </c>
      <c r="CF10" s="3">
        <v>13071.16</v>
      </c>
      <c r="CG10" s="3">
        <v>13898.47</v>
      </c>
      <c r="CH10" s="2">
        <v>6.3292739999999998</v>
      </c>
      <c r="CI10" s="3">
        <v>7.6361249999999998</v>
      </c>
      <c r="CJ10" s="2">
        <v>-1.7826439999999999</v>
      </c>
      <c r="CK10" s="3">
        <v>107649.4</v>
      </c>
      <c r="CL10" s="3">
        <v>111312.2</v>
      </c>
      <c r="CM10" s="2">
        <v>3.4024719999999999</v>
      </c>
      <c r="CN10" s="3">
        <v>6.0166870000000001</v>
      </c>
      <c r="CO10" s="3">
        <v>6.1326080000000003</v>
      </c>
      <c r="CP10" s="3">
        <v>6.4321159999999997</v>
      </c>
      <c r="CQ10" s="2">
        <v>11.72261</v>
      </c>
      <c r="CR10" s="2">
        <v>9.6107960000000006</v>
      </c>
      <c r="CS10" s="2">
        <v>4.5068260000000002</v>
      </c>
      <c r="CT10" s="2">
        <v>1.9266490000000001</v>
      </c>
      <c r="CU10" s="2">
        <v>146.99940000000001</v>
      </c>
      <c r="CV10" s="3">
        <v>0.21509880000000001</v>
      </c>
      <c r="CW10" s="2">
        <v>-16.247910000000001</v>
      </c>
      <c r="CX10" s="2">
        <v>-27.804089999999999</v>
      </c>
      <c r="CY10" s="2">
        <v>8.4557490000000008</v>
      </c>
      <c r="CZ10" s="2">
        <v>16.30303</v>
      </c>
    </row>
    <row r="11" spans="1:104" ht="15" customHeight="1" x14ac:dyDescent="0.2">
      <c r="A11" s="1">
        <f t="shared" si="0"/>
        <v>5</v>
      </c>
      <c r="B11" s="1" t="s">
        <v>19</v>
      </c>
      <c r="C11" s="1" t="s">
        <v>18</v>
      </c>
      <c r="D11" s="1" t="s">
        <v>20</v>
      </c>
      <c r="E11" s="1" t="s">
        <v>21</v>
      </c>
      <c r="F11" s="1" t="s">
        <v>22</v>
      </c>
      <c r="G11" s="2">
        <v>132656</v>
      </c>
      <c r="H11" s="2">
        <v>85.961699999999993</v>
      </c>
      <c r="I11" s="2">
        <v>114033.4</v>
      </c>
      <c r="J11" s="3">
        <v>165.82</v>
      </c>
      <c r="K11" s="3">
        <v>0</v>
      </c>
      <c r="L11" s="2">
        <v>2.8343989999999999</v>
      </c>
      <c r="M11" s="2">
        <v>2.9791340000000002</v>
      </c>
      <c r="N11" s="2">
        <v>3.1299000000000001</v>
      </c>
      <c r="O11" s="2">
        <v>3.4284159999999999</v>
      </c>
      <c r="P11" s="2">
        <v>16.749500000000001</v>
      </c>
      <c r="Q11" s="2">
        <v>15.49559</v>
      </c>
      <c r="R11" s="2">
        <v>14.06446</v>
      </c>
      <c r="S11" s="2">
        <v>12.66769</v>
      </c>
      <c r="T11" s="2">
        <v>12.097250000000001</v>
      </c>
      <c r="U11" s="2">
        <v>10.977349999999999</v>
      </c>
      <c r="V11" s="2">
        <v>10.16004</v>
      </c>
      <c r="W11" s="2">
        <v>8.7942549999999997</v>
      </c>
      <c r="X11" s="2">
        <v>2.7464770000000001</v>
      </c>
      <c r="Y11" s="2">
        <v>2.565947</v>
      </c>
      <c r="Z11" s="2">
        <v>2.340322</v>
      </c>
      <c r="AA11" s="2">
        <v>2.1333220000000002</v>
      </c>
      <c r="AB11" s="2">
        <v>11.719569999999999</v>
      </c>
      <c r="AC11" s="2">
        <v>11.51493</v>
      </c>
      <c r="AD11" s="2">
        <v>10.746600000000001</v>
      </c>
      <c r="AE11" s="2">
        <v>9.7771229999999996</v>
      </c>
      <c r="AF11" s="2">
        <v>5.2368389999999998</v>
      </c>
      <c r="AG11" s="2">
        <v>5.8605289999999997</v>
      </c>
      <c r="AH11" s="2">
        <v>6.6116149999999996</v>
      </c>
      <c r="AI11" s="2">
        <v>6.5346789999999997</v>
      </c>
      <c r="AJ11" s="2">
        <v>7.1161349999999999</v>
      </c>
      <c r="AK11" s="2">
        <v>7.7502880000000003</v>
      </c>
      <c r="AL11" s="3">
        <v>1.7513829999999999</v>
      </c>
      <c r="AM11" s="3">
        <v>1.57525</v>
      </c>
      <c r="AN11" s="2">
        <v>17.981459999999998</v>
      </c>
      <c r="AO11" s="2">
        <v>18.57574</v>
      </c>
      <c r="AP11" s="2">
        <v>18.533059999999999</v>
      </c>
      <c r="AQ11" s="2">
        <v>19.783149999999999</v>
      </c>
      <c r="AR11" s="2">
        <v>2.6109840000000002</v>
      </c>
      <c r="AS11" s="2">
        <v>2.1801910000000002</v>
      </c>
      <c r="AT11" s="2">
        <v>1.7926880000000001</v>
      </c>
      <c r="AU11" s="2">
        <v>1.2920529999999999</v>
      </c>
      <c r="AV11" s="1" t="s">
        <v>6</v>
      </c>
      <c r="AW11" s="3">
        <v>1.2173909999999999</v>
      </c>
      <c r="AX11" s="3">
        <v>184.5</v>
      </c>
      <c r="AY11" s="2">
        <v>11.265219999999999</v>
      </c>
      <c r="AZ11" s="2">
        <v>16.55921</v>
      </c>
      <c r="BA11" s="2">
        <v>6.3</v>
      </c>
      <c r="BB11" s="2">
        <v>24.65795</v>
      </c>
      <c r="BC11" s="2">
        <v>27.908059999999999</v>
      </c>
      <c r="BD11" s="3">
        <v>119.48</v>
      </c>
      <c r="BE11" s="2">
        <v>38.784730000000003</v>
      </c>
      <c r="BF11" s="3">
        <v>167.56</v>
      </c>
      <c r="BG11" s="2">
        <v>-1.0384260000000001</v>
      </c>
      <c r="BH11" s="2">
        <v>47.353450000000002</v>
      </c>
      <c r="BI11" s="2">
        <v>46.654820000000001</v>
      </c>
      <c r="BJ11" s="2">
        <v>45.360869999999998</v>
      </c>
      <c r="BK11" s="2">
        <v>44.204979999999999</v>
      </c>
      <c r="BL11" s="2">
        <v>20</v>
      </c>
      <c r="BM11" s="2">
        <v>19</v>
      </c>
      <c r="BN11" s="4">
        <v>23</v>
      </c>
      <c r="BO11" s="4">
        <v>2</v>
      </c>
      <c r="BP11" s="4">
        <v>2</v>
      </c>
      <c r="BQ11" s="4">
        <v>20</v>
      </c>
      <c r="BR11" s="2">
        <v>8.3333340000000007</v>
      </c>
      <c r="BS11" s="4">
        <v>20</v>
      </c>
      <c r="BT11" s="4">
        <v>1</v>
      </c>
      <c r="BU11" s="4">
        <v>23</v>
      </c>
      <c r="BV11" s="2">
        <v>86.956519999999998</v>
      </c>
      <c r="BW11" s="2">
        <v>8.2377599999999997</v>
      </c>
      <c r="BX11" s="2">
        <v>800</v>
      </c>
      <c r="BY11" s="3">
        <v>1.309205</v>
      </c>
      <c r="BZ11" s="3">
        <v>0.16365070000000001</v>
      </c>
      <c r="CA11" s="2">
        <v>1.40571</v>
      </c>
      <c r="CB11" s="3">
        <v>0.16365070000000001</v>
      </c>
      <c r="CC11" s="3">
        <v>10.307639999999999</v>
      </c>
      <c r="CD11" s="3">
        <v>10.50249</v>
      </c>
      <c r="CE11" s="2">
        <v>1.8903970000000001</v>
      </c>
      <c r="CF11" s="3">
        <v>11324.99</v>
      </c>
      <c r="CG11" s="3">
        <v>11627.95</v>
      </c>
      <c r="CH11" s="2">
        <v>2.675116</v>
      </c>
      <c r="CI11" s="3">
        <v>176.5856</v>
      </c>
      <c r="CJ11" s="2">
        <v>4.4819240000000002</v>
      </c>
      <c r="CK11" s="3">
        <v>80154.03</v>
      </c>
      <c r="CL11" s="3">
        <v>81032.03</v>
      </c>
      <c r="CM11" s="2">
        <v>1.0953900000000001</v>
      </c>
      <c r="CN11" s="3">
        <v>145.0471</v>
      </c>
      <c r="CO11" s="3">
        <v>140.74549999999999</v>
      </c>
      <c r="CP11" s="3">
        <v>151.3408</v>
      </c>
      <c r="CQ11" s="2">
        <v>14.32147</v>
      </c>
      <c r="CR11" s="2">
        <v>17.81551</v>
      </c>
      <c r="CS11" s="2">
        <v>9.5673080000000006</v>
      </c>
      <c r="CT11" s="2">
        <v>-2.9656829999999998</v>
      </c>
      <c r="CU11" s="2">
        <v>198.59129999999999</v>
      </c>
      <c r="CV11" s="3">
        <v>0.1497039</v>
      </c>
      <c r="CW11" s="2">
        <v>-8.5746979999999997</v>
      </c>
      <c r="CX11" s="2">
        <v>1.8341689999999999</v>
      </c>
      <c r="CY11" s="2">
        <v>0.65834199999999998</v>
      </c>
      <c r="CZ11" s="2">
        <v>17.393940000000001</v>
      </c>
    </row>
    <row r="12" spans="1:104" ht="15" customHeight="1" x14ac:dyDescent="0.2">
      <c r="A12" s="1">
        <f t="shared" si="0"/>
        <v>6</v>
      </c>
      <c r="B12" s="1" t="s">
        <v>24</v>
      </c>
      <c r="C12" s="1" t="s">
        <v>23</v>
      </c>
      <c r="D12" s="1" t="s">
        <v>9</v>
      </c>
      <c r="E12" s="1" t="s">
        <v>25</v>
      </c>
      <c r="F12" s="1" t="s">
        <v>26</v>
      </c>
      <c r="G12" s="2">
        <v>50125.93</v>
      </c>
      <c r="H12" s="2">
        <v>61.026800000000001</v>
      </c>
      <c r="I12" s="2">
        <v>30590.25</v>
      </c>
      <c r="J12" s="3">
        <v>14.848000000000001</v>
      </c>
      <c r="K12" s="3">
        <v>0</v>
      </c>
      <c r="L12" s="2">
        <v>5.9267240000000001</v>
      </c>
      <c r="M12" s="2">
        <v>6.3308200000000001</v>
      </c>
      <c r="N12" s="2">
        <v>6.4655170000000002</v>
      </c>
      <c r="O12" s="2">
        <v>6.6002159999999996</v>
      </c>
      <c r="P12" s="2">
        <v>3.928042</v>
      </c>
      <c r="Q12" s="2">
        <v>5.8769039999999997</v>
      </c>
      <c r="R12" s="2">
        <v>6.1228870000000004</v>
      </c>
      <c r="S12" s="2">
        <v>6.2553450000000002</v>
      </c>
      <c r="T12" s="2">
        <v>2.1533120000000001</v>
      </c>
      <c r="U12" s="2">
        <v>2.9296720000000001</v>
      </c>
      <c r="V12" s="2">
        <v>3.043342</v>
      </c>
      <c r="W12" s="2">
        <v>3.1114130000000002</v>
      </c>
      <c r="X12" s="2">
        <v>0.94693879999999997</v>
      </c>
      <c r="Y12" s="2">
        <v>0.8657726</v>
      </c>
      <c r="Z12" s="2">
        <v>0.79316240000000005</v>
      </c>
      <c r="AA12" s="2">
        <v>0.74693129999999996</v>
      </c>
      <c r="AB12" s="2">
        <v>2.9091170000000002</v>
      </c>
      <c r="AC12" s="2">
        <v>3.1062759999999998</v>
      </c>
      <c r="AD12" s="2">
        <v>3.0240330000000002</v>
      </c>
      <c r="AE12" s="2">
        <v>2.8943469999999998</v>
      </c>
      <c r="AF12" s="2">
        <v>9.1407620000000005</v>
      </c>
      <c r="AG12" s="2">
        <v>8.5078069999999997</v>
      </c>
      <c r="AH12" s="2">
        <v>9.4330689999999997</v>
      </c>
      <c r="AI12" s="2">
        <v>11.61697</v>
      </c>
      <c r="AJ12" s="2">
        <v>11.008050000000001</v>
      </c>
      <c r="AK12" s="2">
        <v>12.16348</v>
      </c>
      <c r="AL12" s="3" t="e">
        <v>#N/A</v>
      </c>
      <c r="AM12" s="3" t="e">
        <v>#N/A</v>
      </c>
      <c r="AN12" s="2">
        <v>20.868590000000001</v>
      </c>
      <c r="AO12" s="2">
        <v>21.8645</v>
      </c>
      <c r="AP12" s="2">
        <v>20.979140000000001</v>
      </c>
      <c r="AQ12" s="2">
        <v>21.089099999999998</v>
      </c>
      <c r="AR12" s="2">
        <v>0.43383100000000002</v>
      </c>
      <c r="AS12" s="2">
        <v>0.62447330000000001</v>
      </c>
      <c r="AT12" s="2">
        <v>0.69123029999999996</v>
      </c>
      <c r="AU12" s="2">
        <v>0.69843860000000002</v>
      </c>
      <c r="AV12" s="1" t="s">
        <v>27</v>
      </c>
      <c r="AW12" s="3">
        <v>1.462963</v>
      </c>
      <c r="AX12" s="3">
        <v>17.75</v>
      </c>
      <c r="AY12" s="2">
        <v>19.544720000000002</v>
      </c>
      <c r="AZ12" s="2">
        <v>14.731780000000001</v>
      </c>
      <c r="BA12" s="2">
        <v>-6</v>
      </c>
      <c r="BB12" s="2">
        <v>9.0962519999999998</v>
      </c>
      <c r="BC12" s="2">
        <v>11.756729999999999</v>
      </c>
      <c r="BD12" s="3">
        <v>11.686</v>
      </c>
      <c r="BE12" s="2">
        <v>27.058019999999999</v>
      </c>
      <c r="BF12" s="3">
        <v>15.83</v>
      </c>
      <c r="BG12" s="2">
        <v>-6.2034130000000003</v>
      </c>
      <c r="BH12" s="2">
        <v>22.940290000000001</v>
      </c>
      <c r="BI12" s="2">
        <v>36.74409</v>
      </c>
      <c r="BJ12" s="2">
        <v>39.16283</v>
      </c>
      <c r="BK12" s="2">
        <v>41.157330000000002</v>
      </c>
      <c r="BL12" s="2">
        <v>24</v>
      </c>
      <c r="BM12" s="2">
        <v>22</v>
      </c>
      <c r="BN12" s="4">
        <v>27</v>
      </c>
      <c r="BO12" s="4">
        <v>2</v>
      </c>
      <c r="BP12" s="4">
        <v>0</v>
      </c>
      <c r="BQ12" s="4">
        <v>26</v>
      </c>
      <c r="BR12" s="2">
        <v>7.1428580000000004</v>
      </c>
      <c r="BS12" s="4">
        <v>16</v>
      </c>
      <c r="BT12" s="4">
        <v>0</v>
      </c>
      <c r="BU12" s="4">
        <v>27</v>
      </c>
      <c r="BV12" s="2">
        <v>59.259259999999998</v>
      </c>
      <c r="BW12" s="2">
        <v>7.5544500000000001</v>
      </c>
      <c r="BX12" s="2">
        <v>3375.9380000000001</v>
      </c>
      <c r="BY12" s="3">
        <v>11.267429999999999</v>
      </c>
      <c r="BZ12" s="3">
        <v>0.33375709999999997</v>
      </c>
      <c r="CA12" s="2">
        <v>0.96160100000000004</v>
      </c>
      <c r="CB12" s="3">
        <v>0.33375709999999997</v>
      </c>
      <c r="CC12" s="3">
        <v>2.4157299999999999</v>
      </c>
      <c r="CD12" s="3">
        <v>2.5446270000000002</v>
      </c>
      <c r="CE12" s="2">
        <v>5.3357010000000002</v>
      </c>
      <c r="CF12" s="3">
        <v>13227.82</v>
      </c>
      <c r="CG12" s="3">
        <v>14111.92</v>
      </c>
      <c r="CH12" s="2">
        <v>6.6836120000000001</v>
      </c>
      <c r="CI12" s="3">
        <v>16.254239999999999</v>
      </c>
      <c r="CJ12" s="2">
        <v>9.2022779999999997</v>
      </c>
      <c r="CK12" s="3">
        <v>95260.1</v>
      </c>
      <c r="CL12" s="3">
        <v>96348.06</v>
      </c>
      <c r="CM12" s="2">
        <v>1.1420969999999999</v>
      </c>
      <c r="CN12" s="3">
        <v>14.01092</v>
      </c>
      <c r="CO12" s="3">
        <v>15.14612</v>
      </c>
      <c r="CP12" s="3">
        <v>15.001150000000001</v>
      </c>
      <c r="CQ12" s="2">
        <v>5.974507</v>
      </c>
      <c r="CR12" s="2">
        <v>-1.968288</v>
      </c>
      <c r="CS12" s="2">
        <v>-1.0209440000000001</v>
      </c>
      <c r="CT12" s="2">
        <v>8.1022739999999995</v>
      </c>
      <c r="CU12" s="2">
        <v>167.85939999999999</v>
      </c>
      <c r="CV12" s="3">
        <v>0.33487539999999999</v>
      </c>
      <c r="CW12" s="2">
        <v>4.1492979999999999</v>
      </c>
      <c r="CX12" s="2">
        <v>-31.49417</v>
      </c>
      <c r="CY12" s="2">
        <v>1.7127760000000001</v>
      </c>
      <c r="CZ12" s="2">
        <v>17.717169999999999</v>
      </c>
    </row>
    <row r="13" spans="1:104" ht="15" customHeight="1" x14ac:dyDescent="0.2">
      <c r="A13" s="1">
        <f t="shared" si="0"/>
        <v>7</v>
      </c>
      <c r="B13" s="1" t="s">
        <v>29</v>
      </c>
      <c r="C13" s="1" t="s">
        <v>28</v>
      </c>
      <c r="D13" s="1" t="s">
        <v>9</v>
      </c>
      <c r="E13" s="1" t="s">
        <v>4</v>
      </c>
      <c r="F13" s="1" t="s">
        <v>5</v>
      </c>
      <c r="G13" s="2">
        <v>47928.36</v>
      </c>
      <c r="H13" s="2">
        <v>79.096599999999995</v>
      </c>
      <c r="I13" s="2">
        <v>37909.699999999997</v>
      </c>
      <c r="J13" s="3">
        <v>2.6215000000000002</v>
      </c>
      <c r="K13" s="3">
        <v>0</v>
      </c>
      <c r="L13" s="2">
        <v>6.1129509999999998</v>
      </c>
      <c r="M13" s="2">
        <v>11.35674</v>
      </c>
      <c r="N13" s="2">
        <v>11.825290000000001</v>
      </c>
      <c r="O13" s="2">
        <v>11.841810000000001</v>
      </c>
      <c r="P13" s="2">
        <v>11.397830000000001</v>
      </c>
      <c r="Q13" s="2">
        <v>6.3939019999999998</v>
      </c>
      <c r="R13" s="2">
        <v>6.0069429999999997</v>
      </c>
      <c r="S13" s="2">
        <v>5.8879489999999999</v>
      </c>
      <c r="T13" s="2" t="e">
        <v>#N/A</v>
      </c>
      <c r="U13" s="2" t="e">
        <v>#N/A</v>
      </c>
      <c r="V13" s="2" t="e">
        <v>#N/A</v>
      </c>
      <c r="W13" s="2" t="e">
        <v>#N/A</v>
      </c>
      <c r="X13" s="2">
        <v>0.90277739999999995</v>
      </c>
      <c r="Y13" s="2">
        <v>0.82876749999999999</v>
      </c>
      <c r="Z13" s="2">
        <v>0.79104390000000002</v>
      </c>
      <c r="AA13" s="2">
        <v>0.75301669999999998</v>
      </c>
      <c r="AB13" s="2" t="e">
        <v>#N/A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2" t="e">
        <v>#N/A</v>
      </c>
      <c r="AL13" s="3">
        <v>0.20072980000000001</v>
      </c>
      <c r="AM13" s="3">
        <v>0.1907288</v>
      </c>
      <c r="AN13" s="2" t="e">
        <v>#N/A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2" t="e">
        <v>#N/A</v>
      </c>
      <c r="AV13" s="1" t="s">
        <v>6</v>
      </c>
      <c r="AW13" s="3">
        <v>1.2391300000000001</v>
      </c>
      <c r="AX13" s="3">
        <v>3.55</v>
      </c>
      <c r="AY13" s="2">
        <v>35.418660000000003</v>
      </c>
      <c r="AZ13" s="2">
        <v>12.96184</v>
      </c>
      <c r="BA13" s="2">
        <v>31.651060000000001</v>
      </c>
      <c r="BB13" s="2">
        <v>25.580839999999998</v>
      </c>
      <c r="BC13" s="2">
        <v>26.154959999999999</v>
      </c>
      <c r="BD13" s="3">
        <v>1.9944</v>
      </c>
      <c r="BE13" s="2">
        <v>31.44304</v>
      </c>
      <c r="BF13" s="3">
        <v>2.7160000000000002</v>
      </c>
      <c r="BG13" s="2">
        <v>-3.4793850000000002</v>
      </c>
      <c r="BH13" s="2">
        <v>68.893739999999994</v>
      </c>
      <c r="BI13" s="2">
        <v>71.978800000000007</v>
      </c>
      <c r="BJ13" s="2">
        <v>71.315849999999998</v>
      </c>
      <c r="BK13" s="2">
        <v>70.98</v>
      </c>
      <c r="BL13" s="2">
        <v>22</v>
      </c>
      <c r="BM13" s="2">
        <v>12</v>
      </c>
      <c r="BN13" s="4">
        <v>23</v>
      </c>
      <c r="BO13" s="4">
        <v>1</v>
      </c>
      <c r="BP13" s="4">
        <v>1</v>
      </c>
      <c r="BQ13" s="4">
        <v>22</v>
      </c>
      <c r="BR13" s="2">
        <v>4.1666670000000003</v>
      </c>
      <c r="BS13" s="4">
        <v>19</v>
      </c>
      <c r="BT13" s="4">
        <v>0</v>
      </c>
      <c r="BU13" s="4">
        <v>23</v>
      </c>
      <c r="BV13" s="2">
        <v>82.608699999999999</v>
      </c>
      <c r="BW13" s="2">
        <v>8.26858</v>
      </c>
      <c r="BX13" s="2">
        <v>18282.8</v>
      </c>
      <c r="BY13" s="3">
        <v>93.389979999999994</v>
      </c>
      <c r="BZ13" s="3">
        <v>0.51080789999999998</v>
      </c>
      <c r="CA13" s="2">
        <v>1.2273499999999999</v>
      </c>
      <c r="CB13" s="3">
        <v>0.51080789999999998</v>
      </c>
      <c r="CC13" s="3">
        <v>0.39648929999999999</v>
      </c>
      <c r="CD13" s="3">
        <v>0.41261959999999998</v>
      </c>
      <c r="CE13" s="2">
        <v>4.0682790000000004</v>
      </c>
      <c r="CF13" s="3">
        <v>13860.65</v>
      </c>
      <c r="CG13" s="3">
        <v>14110.91</v>
      </c>
      <c r="CH13" s="2">
        <v>1.8055319999999999</v>
      </c>
      <c r="CI13" s="3">
        <v>3.409583</v>
      </c>
      <c r="CJ13" s="2">
        <v>4.1182879999999997</v>
      </c>
      <c r="CK13" s="3">
        <v>24884.9</v>
      </c>
      <c r="CL13" s="3">
        <v>25155.84</v>
      </c>
      <c r="CM13" s="2">
        <v>1.0887500000000001</v>
      </c>
      <c r="CN13" s="3">
        <v>2.4375900000000001</v>
      </c>
      <c r="CO13" s="3">
        <v>2.5344310000000001</v>
      </c>
      <c r="CP13" s="3">
        <v>2.6329039999999999</v>
      </c>
      <c r="CQ13" s="2">
        <v>7.5447559999999996</v>
      </c>
      <c r="CR13" s="2">
        <v>3.4354330000000002</v>
      </c>
      <c r="CS13" s="2">
        <v>-0.43312909999999999</v>
      </c>
      <c r="CT13" s="2">
        <v>3.9728279999999998</v>
      </c>
      <c r="CU13" s="2">
        <v>210.9853</v>
      </c>
      <c r="CV13" s="3">
        <v>0.44020979999999998</v>
      </c>
      <c r="CW13" s="2">
        <v>-1.9466559999999999</v>
      </c>
      <c r="CX13" s="2">
        <v>1.285552</v>
      </c>
      <c r="CY13" s="2">
        <v>4.6747389999999998</v>
      </c>
      <c r="CZ13" s="2">
        <v>18.22222</v>
      </c>
    </row>
    <row r="14" spans="1:104" ht="15" customHeight="1" x14ac:dyDescent="0.2">
      <c r="A14" s="1">
        <f t="shared" si="0"/>
        <v>8</v>
      </c>
      <c r="B14" s="1" t="s">
        <v>31</v>
      </c>
      <c r="C14" s="1" t="s">
        <v>30</v>
      </c>
      <c r="D14" s="1" t="s">
        <v>32</v>
      </c>
      <c r="E14" s="1" t="s">
        <v>4</v>
      </c>
      <c r="F14" s="1" t="s">
        <v>5</v>
      </c>
      <c r="G14" s="2">
        <v>49312.23</v>
      </c>
      <c r="H14" s="2">
        <v>94.948999999999998</v>
      </c>
      <c r="I14" s="2">
        <v>46821.47</v>
      </c>
      <c r="J14" s="3">
        <v>13.624000000000001</v>
      </c>
      <c r="K14" s="3">
        <v>0</v>
      </c>
      <c r="L14" s="2">
        <v>5.8022609999999997</v>
      </c>
      <c r="M14" s="2">
        <v>7.7069879999999999</v>
      </c>
      <c r="N14" s="2">
        <v>7.5941280000000004</v>
      </c>
      <c r="O14" s="2">
        <v>8.4409869999999998</v>
      </c>
      <c r="P14" s="2">
        <v>13.90204</v>
      </c>
      <c r="Q14" s="2">
        <v>6.5657829999999997</v>
      </c>
      <c r="R14" s="2">
        <v>7.0007799999999998</v>
      </c>
      <c r="S14" s="2">
        <v>6.1753020000000003</v>
      </c>
      <c r="T14" s="2" t="e">
        <v>#N/A</v>
      </c>
      <c r="U14" s="2" t="e">
        <v>#N/A</v>
      </c>
      <c r="V14" s="2" t="e">
        <v>#N/A</v>
      </c>
      <c r="W14" s="2" t="e">
        <v>#N/A</v>
      </c>
      <c r="X14" s="2">
        <v>0.98796220000000001</v>
      </c>
      <c r="Y14" s="2">
        <v>0.90404779999999996</v>
      </c>
      <c r="Z14" s="2">
        <v>0.84621109999999999</v>
      </c>
      <c r="AA14" s="2">
        <v>0.77629630000000005</v>
      </c>
      <c r="AB14" s="2" t="e">
        <v>#N/A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2" t="e">
        <v>#N/A</v>
      </c>
      <c r="AL14" s="3">
        <v>0.22095909999999999</v>
      </c>
      <c r="AM14" s="3">
        <v>0.2316452</v>
      </c>
      <c r="AN14" s="2" t="e">
        <v>#N/A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2" t="e">
        <v>#N/A</v>
      </c>
      <c r="AV14" s="1" t="s">
        <v>6</v>
      </c>
      <c r="AW14" s="3">
        <v>1.2826090000000001</v>
      </c>
      <c r="AX14" s="3">
        <v>16.5</v>
      </c>
      <c r="AY14" s="2">
        <v>21.10981</v>
      </c>
      <c r="AZ14" s="2">
        <v>13.769080000000001</v>
      </c>
      <c r="BA14" s="2">
        <v>29.95627</v>
      </c>
      <c r="BB14" s="2">
        <v>19.739840000000001</v>
      </c>
      <c r="BC14" s="2">
        <v>19.634699999999999</v>
      </c>
      <c r="BD14" s="3">
        <v>9.59</v>
      </c>
      <c r="BE14" s="2">
        <v>42.064639999999997</v>
      </c>
      <c r="BF14" s="3">
        <v>13.762</v>
      </c>
      <c r="BG14" s="2">
        <v>-1.0027649999999999</v>
      </c>
      <c r="BH14" s="2">
        <v>75.727040000000002</v>
      </c>
      <c r="BI14" s="2">
        <v>51.460500000000003</v>
      </c>
      <c r="BJ14" s="2">
        <v>52.820030000000003</v>
      </c>
      <c r="BK14" s="2">
        <v>52.065869999999997</v>
      </c>
      <c r="BL14" s="2">
        <v>22</v>
      </c>
      <c r="BM14" s="2">
        <v>13</v>
      </c>
      <c r="BN14" s="4">
        <v>23</v>
      </c>
      <c r="BO14" s="4">
        <v>0</v>
      </c>
      <c r="BP14" s="4">
        <v>0</v>
      </c>
      <c r="BQ14" s="4">
        <v>22</v>
      </c>
      <c r="BR14" s="2">
        <v>0</v>
      </c>
      <c r="BS14" s="4">
        <v>17</v>
      </c>
      <c r="BT14" s="4">
        <v>1</v>
      </c>
      <c r="BU14" s="4">
        <v>23</v>
      </c>
      <c r="BV14" s="2">
        <v>73.913039999999995</v>
      </c>
      <c r="BW14" s="2">
        <v>9.4383199999999992</v>
      </c>
      <c r="BX14" s="2">
        <v>3619.5120000000002</v>
      </c>
      <c r="BY14" s="3">
        <v>12.496919999999999</v>
      </c>
      <c r="BZ14" s="3">
        <v>0.3452654</v>
      </c>
      <c r="CA14" s="2">
        <v>1.06816</v>
      </c>
      <c r="CB14" s="3">
        <v>0.3452654</v>
      </c>
      <c r="CC14" s="3">
        <v>1.959384</v>
      </c>
      <c r="CD14" s="3">
        <v>2.0582820000000002</v>
      </c>
      <c r="CE14" s="2">
        <v>5.0473809999999997</v>
      </c>
      <c r="CF14" s="3">
        <v>11075.38</v>
      </c>
      <c r="CG14" s="3">
        <v>11220.11</v>
      </c>
      <c r="CH14" s="2">
        <v>1.3068200000000001</v>
      </c>
      <c r="CI14" s="3">
        <v>16.551310000000001</v>
      </c>
      <c r="CJ14" s="2">
        <v>-0.31002760000000001</v>
      </c>
      <c r="CK14" s="3">
        <v>22392.51</v>
      </c>
      <c r="CL14" s="3">
        <v>22688.86</v>
      </c>
      <c r="CM14" s="2">
        <v>1.323402</v>
      </c>
      <c r="CN14" s="3">
        <v>12.310829999999999</v>
      </c>
      <c r="CO14" s="3">
        <v>12.59282</v>
      </c>
      <c r="CP14" s="3">
        <v>12.87269</v>
      </c>
      <c r="CQ14" s="2">
        <v>10.666740000000001</v>
      </c>
      <c r="CR14" s="2">
        <v>8.1885929999999991</v>
      </c>
      <c r="CS14" s="2">
        <v>5.8364390000000004</v>
      </c>
      <c r="CT14" s="2">
        <v>2.2905829999999998</v>
      </c>
      <c r="CU14" s="2">
        <v>140.2569</v>
      </c>
      <c r="CV14" s="3">
        <v>0.28442620000000002</v>
      </c>
      <c r="CW14" s="2">
        <v>5.4321400000000004</v>
      </c>
      <c r="CX14" s="2">
        <v>1.5714239999999999</v>
      </c>
      <c r="CY14" s="2">
        <v>4.542338</v>
      </c>
      <c r="CZ14" s="2">
        <v>18.484850000000002</v>
      </c>
    </row>
    <row r="15" spans="1:104" ht="15" customHeight="1" x14ac:dyDescent="0.2">
      <c r="A15" s="1">
        <f t="shared" si="0"/>
        <v>9</v>
      </c>
      <c r="B15" s="1" t="s">
        <v>34</v>
      </c>
      <c r="C15" s="1" t="s">
        <v>33</v>
      </c>
      <c r="D15" s="1" t="s">
        <v>3</v>
      </c>
      <c r="E15" s="1" t="s">
        <v>4</v>
      </c>
      <c r="F15" s="1" t="s">
        <v>5</v>
      </c>
      <c r="G15" s="2">
        <v>62859.22</v>
      </c>
      <c r="H15" s="2">
        <v>99.511200000000002</v>
      </c>
      <c r="I15" s="2">
        <v>62551.96</v>
      </c>
      <c r="J15" s="3">
        <v>3.8839999999999999</v>
      </c>
      <c r="K15" s="3">
        <v>0</v>
      </c>
      <c r="L15" s="2">
        <v>2.8321320000000001</v>
      </c>
      <c r="M15" s="2">
        <v>4.3769309999999999</v>
      </c>
      <c r="N15" s="2">
        <v>4.891864</v>
      </c>
      <c r="O15" s="2">
        <v>5.5355299999999996</v>
      </c>
      <c r="P15" s="2">
        <v>7.2059369999999996</v>
      </c>
      <c r="Q15" s="2">
        <v>6.1650799999999997</v>
      </c>
      <c r="R15" s="2">
        <v>5.7540740000000001</v>
      </c>
      <c r="S15" s="2">
        <v>5.398193</v>
      </c>
      <c r="T15" s="2" t="e">
        <v>#N/A</v>
      </c>
      <c r="U15" s="2" t="e">
        <v>#N/A</v>
      </c>
      <c r="V15" s="2" t="e">
        <v>#N/A</v>
      </c>
      <c r="W15" s="2" t="e">
        <v>#N/A</v>
      </c>
      <c r="X15" s="2">
        <v>0.72193309999999999</v>
      </c>
      <c r="Y15" s="2">
        <v>0.6473333</v>
      </c>
      <c r="Z15" s="2">
        <v>0.59881510000000004</v>
      </c>
      <c r="AA15" s="2">
        <v>0.54627289999999995</v>
      </c>
      <c r="AB15" s="2" t="e">
        <v>#N/A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2" t="e">
        <v>#N/A</v>
      </c>
      <c r="AL15" s="3">
        <v>0.62861900000000004</v>
      </c>
      <c r="AM15" s="3">
        <v>0.58754819999999996</v>
      </c>
      <c r="AN15" s="2" t="e">
        <v>#N/A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2" t="e">
        <v>#N/A</v>
      </c>
      <c r="AV15" s="1" t="s">
        <v>6</v>
      </c>
      <c r="AW15" s="3">
        <v>1.42</v>
      </c>
      <c r="AX15" s="3">
        <v>4.9487269999999999</v>
      </c>
      <c r="AY15" s="2">
        <v>27.413150000000002</v>
      </c>
      <c r="AZ15" s="2">
        <v>10.5</v>
      </c>
      <c r="BA15" s="2">
        <v>9.773066</v>
      </c>
      <c r="BB15" s="2">
        <v>40.470170000000003</v>
      </c>
      <c r="BC15" s="2">
        <v>38.59055</v>
      </c>
      <c r="BD15" s="3">
        <v>2.6669999999999998</v>
      </c>
      <c r="BE15" s="2">
        <v>45.631790000000002</v>
      </c>
      <c r="BF15" s="3">
        <v>3.9695</v>
      </c>
      <c r="BG15" s="2">
        <v>-2.153921</v>
      </c>
      <c r="BH15" s="2">
        <v>23.634329999999999</v>
      </c>
      <c r="BI15" s="2">
        <v>31.140499999999999</v>
      </c>
      <c r="BJ15" s="2">
        <v>33.15043</v>
      </c>
      <c r="BK15" s="2">
        <v>35.778030000000001</v>
      </c>
      <c r="BL15" s="2">
        <v>23</v>
      </c>
      <c r="BM15" s="2">
        <v>16</v>
      </c>
      <c r="BN15" s="4">
        <v>25</v>
      </c>
      <c r="BO15" s="4">
        <v>0</v>
      </c>
      <c r="BP15" s="4">
        <v>0</v>
      </c>
      <c r="BQ15" s="4">
        <v>25</v>
      </c>
      <c r="BR15" s="2">
        <v>0</v>
      </c>
      <c r="BS15" s="4">
        <v>16</v>
      </c>
      <c r="BT15" s="4">
        <v>1</v>
      </c>
      <c r="BU15" s="4">
        <v>25</v>
      </c>
      <c r="BV15" s="2">
        <v>64</v>
      </c>
      <c r="BW15" s="2">
        <v>8.2746399999999998</v>
      </c>
      <c r="BX15" s="2">
        <v>16184.15</v>
      </c>
      <c r="BY15" s="3">
        <v>42.830449999999999</v>
      </c>
      <c r="BZ15" s="3">
        <v>0.2646445</v>
      </c>
      <c r="CA15" s="2">
        <v>1.3680399999999999</v>
      </c>
      <c r="CB15" s="3">
        <v>0.2646445</v>
      </c>
      <c r="CC15" s="3">
        <v>0.61676839999999999</v>
      </c>
      <c r="CD15" s="3">
        <v>0.63220940000000003</v>
      </c>
      <c r="CE15" s="2">
        <v>2.5035379999999998</v>
      </c>
      <c r="CF15" s="3">
        <v>31662.880000000001</v>
      </c>
      <c r="CG15" s="3">
        <v>32132.16</v>
      </c>
      <c r="CH15" s="2">
        <v>1.4821409999999999</v>
      </c>
      <c r="CI15" s="3">
        <v>4.7753839999999999</v>
      </c>
      <c r="CJ15" s="2">
        <v>3.6299229999999998</v>
      </c>
      <c r="CK15" s="3">
        <v>56900.07</v>
      </c>
      <c r="CL15" s="3">
        <v>57709.599999999999</v>
      </c>
      <c r="CM15" s="2">
        <v>1.422715</v>
      </c>
      <c r="CN15" s="3">
        <v>3.4592429999999998</v>
      </c>
      <c r="CO15" s="3">
        <v>3.6576369999999998</v>
      </c>
      <c r="CP15" s="3">
        <v>3.7831350000000001</v>
      </c>
      <c r="CQ15" s="2">
        <v>12.2789</v>
      </c>
      <c r="CR15" s="2">
        <v>6.1887740000000004</v>
      </c>
      <c r="CS15" s="2">
        <v>2.6661869999999999</v>
      </c>
      <c r="CT15" s="2">
        <v>5.735195</v>
      </c>
      <c r="CU15" s="2">
        <v>151.3125</v>
      </c>
      <c r="CV15" s="3">
        <v>0.2407164</v>
      </c>
      <c r="CW15" s="2">
        <v>-0.39759329999999998</v>
      </c>
      <c r="CX15" s="2">
        <v>1.9534590000000001</v>
      </c>
      <c r="CY15" s="2">
        <v>3.4811139999999998</v>
      </c>
      <c r="CZ15" s="2">
        <v>19</v>
      </c>
    </row>
    <row r="16" spans="1:104" ht="15" customHeight="1" x14ac:dyDescent="0.2">
      <c r="A16" s="1">
        <f t="shared" si="0"/>
        <v>10</v>
      </c>
      <c r="B16" s="1" t="s">
        <v>36</v>
      </c>
      <c r="C16" s="1" t="s">
        <v>35</v>
      </c>
      <c r="D16" s="1" t="s">
        <v>9</v>
      </c>
      <c r="E16" s="1" t="s">
        <v>12</v>
      </c>
      <c r="F16" s="1" t="s">
        <v>13</v>
      </c>
      <c r="G16" s="2">
        <v>64227.46</v>
      </c>
      <c r="H16" s="2">
        <v>67.307900000000004</v>
      </c>
      <c r="I16" s="2">
        <v>43230.16</v>
      </c>
      <c r="J16" s="3">
        <v>331.2</v>
      </c>
      <c r="K16" s="3">
        <v>0</v>
      </c>
      <c r="L16" s="2">
        <v>0.4807073</v>
      </c>
      <c r="M16" s="2">
        <v>0.68583070000000002</v>
      </c>
      <c r="N16" s="2">
        <v>0.75306620000000002</v>
      </c>
      <c r="O16" s="2">
        <v>0.86654589999999998</v>
      </c>
      <c r="P16" s="2">
        <v>65.068759999999997</v>
      </c>
      <c r="Q16" s="2">
        <v>49.212479999999999</v>
      </c>
      <c r="R16" s="2">
        <v>43.453949999999999</v>
      </c>
      <c r="S16" s="2">
        <v>38.83222</v>
      </c>
      <c r="T16" s="2">
        <v>29.399819999999998</v>
      </c>
      <c r="U16" s="2">
        <v>37.492609999999999</v>
      </c>
      <c r="V16" s="2">
        <v>33.52129</v>
      </c>
      <c r="W16" s="2">
        <v>30.052689999999998</v>
      </c>
      <c r="X16" s="2">
        <v>23.982620000000001</v>
      </c>
      <c r="Y16" s="2">
        <v>20.158249999999999</v>
      </c>
      <c r="Z16" s="2">
        <v>16.57084</v>
      </c>
      <c r="AA16" s="2">
        <v>13.281499999999999</v>
      </c>
      <c r="AB16" s="2">
        <v>43.178660000000001</v>
      </c>
      <c r="AC16" s="2">
        <v>33.778669999999998</v>
      </c>
      <c r="AD16" s="2">
        <v>28.745159999999998</v>
      </c>
      <c r="AE16" s="2">
        <v>26.128630000000001</v>
      </c>
      <c r="AF16" s="2">
        <v>1.4606730000000001</v>
      </c>
      <c r="AG16" s="2">
        <v>1.7743359999999999</v>
      </c>
      <c r="AH16" s="2">
        <v>1.9921310000000001</v>
      </c>
      <c r="AI16" s="2">
        <v>1.4641759999999999</v>
      </c>
      <c r="AJ16" s="2">
        <v>1.770996</v>
      </c>
      <c r="AK16" s="2">
        <v>1.9749030000000001</v>
      </c>
      <c r="AL16" s="3">
        <v>3.086166</v>
      </c>
      <c r="AM16" s="3">
        <v>2.6952530000000001</v>
      </c>
      <c r="AN16" s="2">
        <v>34.798819999999999</v>
      </c>
      <c r="AO16" s="2">
        <v>38.260509999999996</v>
      </c>
      <c r="AP16" s="2">
        <v>39.538870000000003</v>
      </c>
      <c r="AQ16" s="2">
        <v>40.391649999999998</v>
      </c>
      <c r="AR16" s="2">
        <v>0.34988809999999998</v>
      </c>
      <c r="AS16" s="2">
        <v>6.7647700000000005E-2</v>
      </c>
      <c r="AT16" s="2">
        <v>-4.7635940000000002E-2</v>
      </c>
      <c r="AU16" s="2">
        <v>-0.197215</v>
      </c>
      <c r="AV16" s="1" t="s">
        <v>27</v>
      </c>
      <c r="AW16" s="3">
        <v>1.5476190000000001</v>
      </c>
      <c r="AX16" s="3">
        <v>336</v>
      </c>
      <c r="AY16" s="2">
        <v>1.4492750000000001</v>
      </c>
      <c r="AZ16" s="2">
        <v>40.961649999999999</v>
      </c>
      <c r="BA16" s="2">
        <v>16.035640000000001</v>
      </c>
      <c r="BB16" s="2">
        <v>56.226419999999997</v>
      </c>
      <c r="BC16" s="2">
        <v>65.434579999999997</v>
      </c>
      <c r="BD16" s="3">
        <v>197.55</v>
      </c>
      <c r="BE16" s="2">
        <v>67.653760000000005</v>
      </c>
      <c r="BF16" s="3">
        <v>346</v>
      </c>
      <c r="BG16" s="2">
        <v>-4.2774559999999999</v>
      </c>
      <c r="BH16" s="2">
        <v>31.891999999999999</v>
      </c>
      <c r="BI16" s="2">
        <v>30.456700000000001</v>
      </c>
      <c r="BJ16" s="2">
        <v>30.401700000000002</v>
      </c>
      <c r="BK16" s="2">
        <v>31.169530000000002</v>
      </c>
      <c r="BL16" s="2">
        <v>20</v>
      </c>
      <c r="BM16" s="2">
        <v>18</v>
      </c>
      <c r="BN16" s="4">
        <v>21</v>
      </c>
      <c r="BO16" s="4">
        <v>1</v>
      </c>
      <c r="BP16" s="4">
        <v>0</v>
      </c>
      <c r="BQ16" s="4">
        <v>18</v>
      </c>
      <c r="BR16" s="2">
        <v>5.2631579999999998</v>
      </c>
      <c r="BS16" s="4">
        <v>11</v>
      </c>
      <c r="BT16" s="4">
        <v>0</v>
      </c>
      <c r="BU16" s="4">
        <v>21</v>
      </c>
      <c r="BV16" s="2">
        <v>52.380949999999999</v>
      </c>
      <c r="BW16" s="2">
        <v>7.4862599999999997</v>
      </c>
      <c r="BX16" s="2">
        <v>193.92349999999999</v>
      </c>
      <c r="BY16" s="3">
        <v>0.30142960000000002</v>
      </c>
      <c r="BZ16" s="3">
        <v>0.1554374</v>
      </c>
      <c r="CA16" s="2">
        <v>0.70561399999999996</v>
      </c>
      <c r="CB16" s="3">
        <v>0.1554374</v>
      </c>
      <c r="CC16" s="3">
        <v>6.4267570000000003</v>
      </c>
      <c r="CD16" s="3">
        <v>6.6924450000000002</v>
      </c>
      <c r="CE16" s="2">
        <v>4.1340950000000003</v>
      </c>
      <c r="CF16" s="3">
        <v>1574.7919999999999</v>
      </c>
      <c r="CG16" s="3">
        <v>1599.896</v>
      </c>
      <c r="CH16" s="2">
        <v>1.5941620000000001</v>
      </c>
      <c r="CI16" s="3">
        <v>312.60419999999999</v>
      </c>
      <c r="CJ16" s="2">
        <v>7.4841379999999997</v>
      </c>
      <c r="CK16" s="3">
        <v>5855.2259999999997</v>
      </c>
      <c r="CL16" s="3">
        <v>5947.5420000000004</v>
      </c>
      <c r="CM16" s="2">
        <v>1.5766500000000001</v>
      </c>
      <c r="CN16" s="3">
        <v>283.17160000000001</v>
      </c>
      <c r="CO16" s="3">
        <v>312.26069999999999</v>
      </c>
      <c r="CP16" s="3">
        <v>331.66539999999998</v>
      </c>
      <c r="CQ16" s="2">
        <v>16.96087</v>
      </c>
      <c r="CR16" s="2">
        <v>6.0652140000000001</v>
      </c>
      <c r="CS16" s="2">
        <v>-0.1403093</v>
      </c>
      <c r="CT16" s="2">
        <v>10.27261</v>
      </c>
      <c r="CU16" s="2">
        <v>109.09229999999999</v>
      </c>
      <c r="CV16" s="3">
        <v>0.169853</v>
      </c>
      <c r="CW16" s="2">
        <v>12.936629999999999</v>
      </c>
      <c r="CX16" s="2">
        <v>4.537229</v>
      </c>
      <c r="CY16" s="2">
        <v>8.0933279999999996</v>
      </c>
      <c r="CZ16" s="2">
        <v>20.565660000000001</v>
      </c>
    </row>
    <row r="17" spans="1:104" ht="15" customHeight="1" x14ac:dyDescent="0.2">
      <c r="A17" s="1">
        <f t="shared" si="0"/>
        <v>11</v>
      </c>
      <c r="B17" s="1" t="s">
        <v>38</v>
      </c>
      <c r="C17" s="1" t="s">
        <v>37</v>
      </c>
      <c r="D17" s="1" t="s">
        <v>20</v>
      </c>
      <c r="E17" s="1" t="s">
        <v>39</v>
      </c>
      <c r="F17" s="1" t="s">
        <v>40</v>
      </c>
      <c r="G17" s="2">
        <v>175111</v>
      </c>
      <c r="H17" s="2">
        <v>83.308199999999999</v>
      </c>
      <c r="I17" s="2">
        <v>145881.79999999999</v>
      </c>
      <c r="J17" s="3">
        <v>142.54</v>
      </c>
      <c r="K17" s="3">
        <v>0</v>
      </c>
      <c r="L17" s="2">
        <v>1.4031149999999999</v>
      </c>
      <c r="M17" s="2">
        <v>1.481339</v>
      </c>
      <c r="N17" s="2">
        <v>1.525779</v>
      </c>
      <c r="O17" s="2">
        <v>1.627613</v>
      </c>
      <c r="P17" s="2">
        <v>34.93627</v>
      </c>
      <c r="Q17" s="2">
        <v>27.46435</v>
      </c>
      <c r="R17" s="2">
        <v>23.21022</v>
      </c>
      <c r="S17" s="2">
        <v>19.935659999999999</v>
      </c>
      <c r="T17" s="2">
        <v>18.026160000000001</v>
      </c>
      <c r="U17" s="2">
        <v>17.62687</v>
      </c>
      <c r="V17" s="2">
        <v>15.347849999999999</v>
      </c>
      <c r="W17" s="2">
        <v>13.44237</v>
      </c>
      <c r="X17" s="2">
        <v>4.1542859999999999</v>
      </c>
      <c r="Y17" s="2">
        <v>3.770899</v>
      </c>
      <c r="Z17" s="2">
        <v>3.560095</v>
      </c>
      <c r="AA17" s="2">
        <v>3.3352729999999999</v>
      </c>
      <c r="AB17" s="2">
        <v>29.552700000000002</v>
      </c>
      <c r="AC17" s="2">
        <v>28.737310000000001</v>
      </c>
      <c r="AD17" s="2">
        <v>23.10211</v>
      </c>
      <c r="AE17" s="2">
        <v>19.1586</v>
      </c>
      <c r="AF17" s="2">
        <v>3.1158030000000001</v>
      </c>
      <c r="AG17" s="2">
        <v>3.664113</v>
      </c>
      <c r="AH17" s="2">
        <v>4.5297900000000002</v>
      </c>
      <c r="AI17" s="2">
        <v>3.051018</v>
      </c>
      <c r="AJ17" s="2">
        <v>3.5507230000000001</v>
      </c>
      <c r="AK17" s="2">
        <v>4.3020990000000001</v>
      </c>
      <c r="AL17" s="3">
        <v>1.5337050000000001</v>
      </c>
      <c r="AM17" s="3">
        <v>1.3024450000000001</v>
      </c>
      <c r="AN17" s="2">
        <v>22.08943</v>
      </c>
      <c r="AO17" s="2">
        <v>31.300429999999999</v>
      </c>
      <c r="AP17" s="2">
        <v>32.632069999999999</v>
      </c>
      <c r="AQ17" s="2">
        <v>33.009610000000002</v>
      </c>
      <c r="AR17" s="2">
        <v>0.66121859999999999</v>
      </c>
      <c r="AS17" s="2">
        <v>-0.37428980000000001</v>
      </c>
      <c r="AT17" s="2">
        <v>-0.49012349999999999</v>
      </c>
      <c r="AU17" s="2">
        <v>-0.7114452</v>
      </c>
      <c r="AV17" s="1" t="s">
        <v>6</v>
      </c>
      <c r="AW17" s="3">
        <v>1.3666670000000001</v>
      </c>
      <c r="AX17" s="3">
        <v>150</v>
      </c>
      <c r="AY17" s="2">
        <v>5.2336220000000004</v>
      </c>
      <c r="AZ17" s="2">
        <v>13.73016</v>
      </c>
      <c r="BA17" s="2">
        <v>19.74267</v>
      </c>
      <c r="BB17" s="2">
        <v>37.348239999999997</v>
      </c>
      <c r="BC17" s="2">
        <v>47.878410000000002</v>
      </c>
      <c r="BD17" s="3">
        <v>96.12</v>
      </c>
      <c r="BE17" s="2">
        <v>48.293790000000001</v>
      </c>
      <c r="BF17" s="3">
        <v>149.12</v>
      </c>
      <c r="BG17" s="2">
        <v>-4.4125560000000004</v>
      </c>
      <c r="BH17" s="2">
        <v>48.987659999999998</v>
      </c>
      <c r="BI17" s="2">
        <v>40.928759999999997</v>
      </c>
      <c r="BJ17" s="2">
        <v>35.386920000000003</v>
      </c>
      <c r="BK17" s="2">
        <v>32.428780000000003</v>
      </c>
      <c r="BL17" s="2">
        <v>29</v>
      </c>
      <c r="BM17" s="2">
        <v>27</v>
      </c>
      <c r="BN17" s="4">
        <v>30</v>
      </c>
      <c r="BO17" s="4">
        <v>0</v>
      </c>
      <c r="BP17" s="4">
        <v>0</v>
      </c>
      <c r="BQ17" s="4">
        <v>30</v>
      </c>
      <c r="BR17" s="2">
        <v>0</v>
      </c>
      <c r="BS17" s="4">
        <v>21</v>
      </c>
      <c r="BT17" s="4">
        <v>0</v>
      </c>
      <c r="BU17" s="4">
        <v>30</v>
      </c>
      <c r="BV17" s="2">
        <v>70</v>
      </c>
      <c r="BW17" s="2">
        <v>7.0211499999999996</v>
      </c>
      <c r="BX17" s="2">
        <v>1228.5039999999999</v>
      </c>
      <c r="BY17" s="3">
        <v>1.692304</v>
      </c>
      <c r="BZ17" s="3">
        <v>0.13775319999999999</v>
      </c>
      <c r="CA17" s="2">
        <v>1.07338</v>
      </c>
      <c r="CB17" s="3">
        <v>0.13775319999999999</v>
      </c>
      <c r="CC17" s="3">
        <v>5.1407860000000003</v>
      </c>
      <c r="CD17" s="3">
        <v>5.1990109999999996</v>
      </c>
      <c r="CE17" s="2">
        <v>1.1326069999999999</v>
      </c>
      <c r="CF17" s="3">
        <v>8673.0190000000002</v>
      </c>
      <c r="CG17" s="3">
        <v>8721.9809999999998</v>
      </c>
      <c r="CH17" s="2">
        <v>0.56453940000000002</v>
      </c>
      <c r="CI17" s="3">
        <v>138.4091</v>
      </c>
      <c r="CJ17" s="2">
        <v>8.3743809999999996</v>
      </c>
      <c r="CK17" s="3">
        <v>31125.759999999998</v>
      </c>
      <c r="CL17" s="3">
        <v>31102.52</v>
      </c>
      <c r="CM17" s="2">
        <v>-7.4690580000000006E-2</v>
      </c>
      <c r="CN17" s="3">
        <v>125.1353</v>
      </c>
      <c r="CO17" s="3">
        <v>134.0686</v>
      </c>
      <c r="CP17" s="3">
        <v>142.1815</v>
      </c>
      <c r="CQ17" s="2">
        <v>13.908670000000001</v>
      </c>
      <c r="CR17" s="2">
        <v>6.3186650000000002</v>
      </c>
      <c r="CS17" s="2">
        <v>0.2521157</v>
      </c>
      <c r="CT17" s="2">
        <v>7.1389319999999996</v>
      </c>
      <c r="CU17" s="2">
        <v>236.89230000000001</v>
      </c>
      <c r="CV17" s="3">
        <v>0.13528119999999999</v>
      </c>
      <c r="CW17" s="2">
        <v>8.1033609999999996</v>
      </c>
      <c r="CX17" s="2">
        <v>-0.17649709999999999</v>
      </c>
      <c r="CY17" s="2">
        <v>3.4339870000000001</v>
      </c>
      <c r="CZ17" s="2">
        <v>21.0303</v>
      </c>
    </row>
    <row r="18" spans="1:104" ht="15" customHeight="1" x14ac:dyDescent="0.2">
      <c r="A18" s="1">
        <f t="shared" si="0"/>
        <v>12</v>
      </c>
      <c r="B18" s="1" t="s">
        <v>42</v>
      </c>
      <c r="C18" s="1" t="s">
        <v>41</v>
      </c>
      <c r="D18" s="1" t="s">
        <v>20</v>
      </c>
      <c r="E18" s="1" t="s">
        <v>4</v>
      </c>
      <c r="F18" s="1" t="s">
        <v>43</v>
      </c>
      <c r="G18" s="2">
        <v>93620.83</v>
      </c>
      <c r="H18" s="2">
        <v>99.572299999999998</v>
      </c>
      <c r="I18" s="2">
        <v>93220.42</v>
      </c>
      <c r="J18" s="3">
        <v>239</v>
      </c>
      <c r="K18" s="3">
        <v>0</v>
      </c>
      <c r="L18" s="2">
        <v>4.7698749999999999</v>
      </c>
      <c r="M18" s="2">
        <v>5.0209210000000004</v>
      </c>
      <c r="N18" s="2">
        <v>5.364814</v>
      </c>
      <c r="O18" s="2">
        <v>5.7740590000000003</v>
      </c>
      <c r="P18" s="2">
        <v>14.698650000000001</v>
      </c>
      <c r="Q18" s="2">
        <v>10.552009999999999</v>
      </c>
      <c r="R18" s="2">
        <v>9.2560970000000005</v>
      </c>
      <c r="S18" s="2">
        <v>8.6136900000000001</v>
      </c>
      <c r="T18" s="2">
        <v>10.61443</v>
      </c>
      <c r="U18" s="2">
        <v>8.5846180000000007</v>
      </c>
      <c r="V18" s="2">
        <v>8.1452249999999999</v>
      </c>
      <c r="W18" s="2">
        <v>7.83033</v>
      </c>
      <c r="X18" s="2">
        <v>1.8746640000000001</v>
      </c>
      <c r="Y18" s="2">
        <v>1.669246</v>
      </c>
      <c r="Z18" s="2">
        <v>1.5299480000000001</v>
      </c>
      <c r="AA18" s="2">
        <v>1.40368</v>
      </c>
      <c r="AB18" s="2" t="e">
        <v>#N/A</v>
      </c>
      <c r="AC18" s="2" t="e">
        <v>#N/A</v>
      </c>
      <c r="AD18" s="2" t="e">
        <v>#N/A</v>
      </c>
      <c r="AE18" s="2" t="e">
        <v>#N/A</v>
      </c>
      <c r="AF18" s="2">
        <v>6.4720760000000004</v>
      </c>
      <c r="AG18" s="2">
        <v>6.8126220000000002</v>
      </c>
      <c r="AH18" s="2">
        <v>5.1528929999999997</v>
      </c>
      <c r="AI18" s="2">
        <v>8.6935780000000005</v>
      </c>
      <c r="AJ18" s="2">
        <v>9.1512759999999993</v>
      </c>
      <c r="AK18" s="2">
        <v>6.9215359999999997</v>
      </c>
      <c r="AL18" s="3">
        <v>0.64025589999999999</v>
      </c>
      <c r="AM18" s="3">
        <v>0.56625570000000003</v>
      </c>
      <c r="AN18" s="2">
        <v>6.2952310000000002</v>
      </c>
      <c r="AO18" s="2">
        <v>9.2787989999999994</v>
      </c>
      <c r="AP18" s="2">
        <v>9.4300470000000001</v>
      </c>
      <c r="AQ18" s="2">
        <v>9.8154489999999992</v>
      </c>
      <c r="AR18" s="2">
        <v>2.1854990000000001</v>
      </c>
      <c r="AS18" s="2">
        <v>2.1936589999999998</v>
      </c>
      <c r="AT18" s="2">
        <v>2.081553</v>
      </c>
      <c r="AU18" s="2">
        <v>2.0008659999999998</v>
      </c>
      <c r="AV18" s="1" t="s">
        <v>6</v>
      </c>
      <c r="AW18" s="3">
        <v>1.3333330000000001</v>
      </c>
      <c r="AX18" s="3">
        <v>260</v>
      </c>
      <c r="AY18" s="2">
        <v>8.7866070000000001</v>
      </c>
      <c r="AZ18" s="2">
        <v>15.819229999999999</v>
      </c>
      <c r="BA18" s="2">
        <v>16.477170000000001</v>
      </c>
      <c r="BB18" s="2">
        <v>17.156860000000002</v>
      </c>
      <c r="BC18" s="2">
        <v>18.964659999999999</v>
      </c>
      <c r="BD18" s="3">
        <v>192.48</v>
      </c>
      <c r="BE18" s="2">
        <v>24.16874</v>
      </c>
      <c r="BF18" s="3">
        <v>246.25</v>
      </c>
      <c r="BG18" s="2">
        <v>-2.9441600000000001</v>
      </c>
      <c r="BH18" s="2">
        <v>70.432400000000001</v>
      </c>
      <c r="BI18" s="2">
        <v>53.479109999999999</v>
      </c>
      <c r="BJ18" s="2">
        <v>50.567439999999998</v>
      </c>
      <c r="BK18" s="2">
        <v>50.145099999999999</v>
      </c>
      <c r="BL18" s="2">
        <v>17</v>
      </c>
      <c r="BM18" s="2">
        <v>11</v>
      </c>
      <c r="BN18" s="4">
        <v>21</v>
      </c>
      <c r="BO18" s="4">
        <v>1</v>
      </c>
      <c r="BP18" s="4">
        <v>0</v>
      </c>
      <c r="BQ18" s="4">
        <v>21</v>
      </c>
      <c r="BR18" s="2">
        <v>4.5454549999999996</v>
      </c>
      <c r="BS18" s="4">
        <v>16</v>
      </c>
      <c r="BT18" s="4">
        <v>1</v>
      </c>
      <c r="BU18" s="4">
        <v>21</v>
      </c>
      <c r="BV18" s="2">
        <v>76.190479999999994</v>
      </c>
      <c r="BW18" s="2">
        <v>6.3653199999999996</v>
      </c>
      <c r="BX18" s="2">
        <v>391.71899999999999</v>
      </c>
      <c r="BY18" s="3">
        <v>0.88982729999999999</v>
      </c>
      <c r="BZ18" s="3">
        <v>0.22715959999999999</v>
      </c>
      <c r="CA18" s="2">
        <v>0.83847099999999997</v>
      </c>
      <c r="CB18" s="3">
        <v>0.22715959999999999</v>
      </c>
      <c r="CC18" s="3">
        <v>23.32817</v>
      </c>
      <c r="CD18" s="3">
        <v>22.654869999999999</v>
      </c>
      <c r="CE18" s="2">
        <v>-2.8861940000000001</v>
      </c>
      <c r="CF18" s="3">
        <v>14712.17</v>
      </c>
      <c r="CG18" s="3">
        <v>14740.61</v>
      </c>
      <c r="CH18" s="2">
        <v>0.19328590000000001</v>
      </c>
      <c r="CI18" s="3">
        <v>251.1</v>
      </c>
      <c r="CJ18" s="2">
        <v>3.5444019999999998</v>
      </c>
      <c r="CK18" s="3">
        <v>156476.9</v>
      </c>
      <c r="CL18" s="3">
        <v>156749.5</v>
      </c>
      <c r="CM18" s="2">
        <v>0.17421249999999999</v>
      </c>
      <c r="CN18" s="3">
        <v>218.886</v>
      </c>
      <c r="CO18" s="3">
        <v>227.5206</v>
      </c>
      <c r="CP18" s="3">
        <v>233</v>
      </c>
      <c r="CQ18" s="2">
        <v>9.1892829999999996</v>
      </c>
      <c r="CR18" s="2">
        <v>5.0454379999999999</v>
      </c>
      <c r="CS18" s="2">
        <v>2.5751110000000001</v>
      </c>
      <c r="CT18" s="2">
        <v>3.9448020000000001</v>
      </c>
      <c r="CU18" s="2">
        <v>190.0967</v>
      </c>
      <c r="CV18" s="3">
        <v>0.2030496</v>
      </c>
      <c r="CW18" s="2">
        <v>-7.4665039999999996</v>
      </c>
      <c r="CX18" s="2">
        <v>135.48390000000001</v>
      </c>
      <c r="CY18" s="2">
        <v>4.9717560000000001</v>
      </c>
      <c r="CZ18" s="2">
        <v>21.565660000000001</v>
      </c>
    </row>
    <row r="19" spans="1:104" ht="15" customHeight="1" x14ac:dyDescent="0.2">
      <c r="A19" s="1">
        <f t="shared" si="0"/>
        <v>13</v>
      </c>
      <c r="B19" s="1" t="s">
        <v>45</v>
      </c>
      <c r="C19" s="1" t="s">
        <v>44</v>
      </c>
      <c r="D19" s="1" t="s">
        <v>46</v>
      </c>
      <c r="E19" s="1" t="s">
        <v>25</v>
      </c>
      <c r="F19" s="1" t="s">
        <v>47</v>
      </c>
      <c r="G19" s="2">
        <v>148136.4</v>
      </c>
      <c r="H19" s="2">
        <v>89.4422</v>
      </c>
      <c r="I19" s="2">
        <v>132496.5</v>
      </c>
      <c r="J19" s="3">
        <v>61.41</v>
      </c>
      <c r="K19" s="3">
        <v>0</v>
      </c>
      <c r="L19" s="2">
        <v>5.8754929999999996</v>
      </c>
      <c r="M19" s="2">
        <v>4.763503</v>
      </c>
      <c r="N19" s="2">
        <v>5.0061299999999997</v>
      </c>
      <c r="O19" s="2">
        <v>5.3556699999999999</v>
      </c>
      <c r="P19" s="2">
        <v>4.7244729999999997</v>
      </c>
      <c r="Q19" s="2">
        <v>6.7678089999999997</v>
      </c>
      <c r="R19" s="2">
        <v>6.8839090000000001</v>
      </c>
      <c r="S19" s="2">
        <v>7.2769890000000004</v>
      </c>
      <c r="T19" s="2">
        <v>2.887667</v>
      </c>
      <c r="U19" s="2">
        <v>3.5355560000000001</v>
      </c>
      <c r="V19" s="2">
        <v>3.6663990000000002</v>
      </c>
      <c r="W19" s="2">
        <v>3.7502330000000001</v>
      </c>
      <c r="X19" s="2">
        <v>1.491846</v>
      </c>
      <c r="Y19" s="2">
        <v>1.382199</v>
      </c>
      <c r="Z19" s="2">
        <v>1.2497400000000001</v>
      </c>
      <c r="AA19" s="2">
        <v>1.160987</v>
      </c>
      <c r="AB19" s="2">
        <v>3.6234850000000001</v>
      </c>
      <c r="AC19" s="2">
        <v>4.5231459999999997</v>
      </c>
      <c r="AD19" s="2">
        <v>4.2678399999999996</v>
      </c>
      <c r="AE19" s="2">
        <v>4.121931</v>
      </c>
      <c r="AF19" s="2">
        <v>9.111167</v>
      </c>
      <c r="AG19" s="2">
        <v>9.7278900000000004</v>
      </c>
      <c r="AH19" s="2">
        <v>8.7850540000000006</v>
      </c>
      <c r="AI19" s="2">
        <v>10.1663</v>
      </c>
      <c r="AJ19" s="2">
        <v>10.563800000000001</v>
      </c>
      <c r="AK19" s="2">
        <v>9.3776609999999998</v>
      </c>
      <c r="AL19" s="3" t="e">
        <v>#N/A</v>
      </c>
      <c r="AM19" s="3" t="e">
        <v>#N/A</v>
      </c>
      <c r="AN19" s="2">
        <v>23.864650000000001</v>
      </c>
      <c r="AO19" s="2">
        <v>22.217839999999999</v>
      </c>
      <c r="AP19" s="2">
        <v>20.63241</v>
      </c>
      <c r="AQ19" s="2">
        <v>20.097570000000001</v>
      </c>
      <c r="AR19" s="2">
        <v>0.26598549999999999</v>
      </c>
      <c r="AS19" s="2">
        <v>0.3669462</v>
      </c>
      <c r="AT19" s="2">
        <v>0.29012019999999999</v>
      </c>
      <c r="AU19" s="2">
        <v>0.23699010000000001</v>
      </c>
      <c r="AV19" s="1" t="s">
        <v>27</v>
      </c>
      <c r="AW19" s="3">
        <v>1.465517</v>
      </c>
      <c r="AX19" s="3">
        <v>69.326509999999999</v>
      </c>
      <c r="AY19" s="2">
        <v>12.89123</v>
      </c>
      <c r="AZ19" s="2">
        <v>20.42314</v>
      </c>
      <c r="BA19" s="2">
        <v>0</v>
      </c>
      <c r="BB19" s="2">
        <v>6.8371649999999997</v>
      </c>
      <c r="BC19" s="2">
        <v>4.7058819999999999</v>
      </c>
      <c r="BD19" s="3">
        <v>50.55</v>
      </c>
      <c r="BE19" s="2">
        <v>21.48368</v>
      </c>
      <c r="BF19" s="3">
        <v>64.8</v>
      </c>
      <c r="BG19" s="2">
        <v>-5.2314879999999997</v>
      </c>
      <c r="BH19" s="2">
        <v>25.741140000000001</v>
      </c>
      <c r="BI19" s="2">
        <v>31.407499999999999</v>
      </c>
      <c r="BJ19" s="2">
        <v>34.468580000000003</v>
      </c>
      <c r="BK19" s="2">
        <v>38.508470000000003</v>
      </c>
      <c r="BL19" s="2">
        <v>28</v>
      </c>
      <c r="BM19" s="2">
        <v>22</v>
      </c>
      <c r="BN19" s="4">
        <v>29</v>
      </c>
      <c r="BO19" s="4">
        <v>1</v>
      </c>
      <c r="BP19" s="4">
        <v>1</v>
      </c>
      <c r="BQ19" s="4">
        <v>26</v>
      </c>
      <c r="BR19" s="2">
        <v>3.5714290000000002</v>
      </c>
      <c r="BS19" s="4">
        <v>17</v>
      </c>
      <c r="BT19" s="4">
        <v>0</v>
      </c>
      <c r="BU19" s="4">
        <v>29</v>
      </c>
      <c r="BV19" s="2">
        <v>58.620690000000003</v>
      </c>
      <c r="BW19" s="2">
        <v>6.8334299999999999</v>
      </c>
      <c r="BX19" s="2">
        <v>2412.252</v>
      </c>
      <c r="BY19" s="3">
        <v>4.632549</v>
      </c>
      <c r="BZ19" s="3">
        <v>0.1920425</v>
      </c>
      <c r="CA19" s="2">
        <v>0.47895399999999999</v>
      </c>
      <c r="CB19" s="3">
        <v>0.1920425</v>
      </c>
      <c r="CC19" s="3">
        <v>8.9081320000000002</v>
      </c>
      <c r="CD19" s="3">
        <v>9.165362</v>
      </c>
      <c r="CE19" s="2">
        <v>2.8875950000000001</v>
      </c>
      <c r="CF19" s="3">
        <v>33905.120000000003</v>
      </c>
      <c r="CG19" s="3">
        <v>34824.67</v>
      </c>
      <c r="CH19" s="2">
        <v>2.7121309999999998</v>
      </c>
      <c r="CI19" s="3">
        <v>65.772840000000002</v>
      </c>
      <c r="CJ19" s="2">
        <v>5.4029350000000003</v>
      </c>
      <c r="CK19" s="3">
        <v>222061.8</v>
      </c>
      <c r="CL19" s="3">
        <v>218203</v>
      </c>
      <c r="CM19" s="2">
        <v>-1.73769</v>
      </c>
      <c r="CN19" s="3">
        <v>57.685859999999998</v>
      </c>
      <c r="CO19" s="3">
        <v>62.196269999999998</v>
      </c>
      <c r="CP19" s="3">
        <v>62.009239999999998</v>
      </c>
      <c r="CQ19" s="2">
        <v>6.4558859999999996</v>
      </c>
      <c r="CR19" s="2">
        <v>-1.264173</v>
      </c>
      <c r="CS19" s="2">
        <v>-0.96636409999999995</v>
      </c>
      <c r="CT19" s="2">
        <v>7.8189130000000002</v>
      </c>
      <c r="CU19" s="2">
        <v>273.19900000000001</v>
      </c>
      <c r="CV19" s="3">
        <v>0.1844239</v>
      </c>
      <c r="CW19" s="2">
        <v>4.1325019999999997</v>
      </c>
      <c r="CX19" s="2">
        <v>2.7022469999999998</v>
      </c>
      <c r="CY19" s="2">
        <v>22.824369999999998</v>
      </c>
      <c r="CZ19" s="2">
        <v>21.898990000000001</v>
      </c>
    </row>
    <row r="20" spans="1:104" ht="15" customHeight="1" x14ac:dyDescent="0.2">
      <c r="A20" s="1">
        <f t="shared" si="0"/>
        <v>14</v>
      </c>
      <c r="B20" s="1" t="s">
        <v>49</v>
      </c>
      <c r="C20" s="1" t="s">
        <v>48</v>
      </c>
      <c r="D20" s="1" t="s">
        <v>20</v>
      </c>
      <c r="E20" s="1" t="s">
        <v>4</v>
      </c>
      <c r="F20" s="1" t="s">
        <v>50</v>
      </c>
      <c r="G20" s="2">
        <v>51393.9</v>
      </c>
      <c r="H20" s="2">
        <v>100</v>
      </c>
      <c r="I20" s="2">
        <v>51393.9</v>
      </c>
      <c r="J20" s="3">
        <v>376.6</v>
      </c>
      <c r="K20" s="3">
        <v>0</v>
      </c>
      <c r="L20" s="2">
        <v>3.0801910000000001</v>
      </c>
      <c r="M20" s="2">
        <v>3.3191709999999999</v>
      </c>
      <c r="N20" s="2">
        <v>3.5183219999999999</v>
      </c>
      <c r="O20" s="2">
        <v>3.7344879999999998</v>
      </c>
      <c r="P20" s="2">
        <v>15.2903</v>
      </c>
      <c r="Q20" s="2">
        <v>11.20167</v>
      </c>
      <c r="R20" s="2">
        <v>9.9829810000000005</v>
      </c>
      <c r="S20" s="2">
        <v>9.1801949999999994</v>
      </c>
      <c r="T20" s="2">
        <v>9.4313540000000007</v>
      </c>
      <c r="U20" s="2">
        <v>8.0476290000000006</v>
      </c>
      <c r="V20" s="2">
        <v>7.6669270000000003</v>
      </c>
      <c r="W20" s="2">
        <v>7.0769679999999999</v>
      </c>
      <c r="X20" s="2">
        <v>2.4907409999999999</v>
      </c>
      <c r="Y20" s="2">
        <v>1.779857</v>
      </c>
      <c r="Z20" s="2">
        <v>1.6005100000000001</v>
      </c>
      <c r="AA20" s="2">
        <v>1.4625239999999999</v>
      </c>
      <c r="AB20" s="2" t="e">
        <v>#N/A</v>
      </c>
      <c r="AC20" s="2" t="e">
        <v>#N/A</v>
      </c>
      <c r="AD20" s="2" t="e">
        <v>#N/A</v>
      </c>
      <c r="AE20" s="2" t="e">
        <v>#N/A</v>
      </c>
      <c r="AF20" s="2">
        <v>5.1859089999999997</v>
      </c>
      <c r="AG20" s="2">
        <v>4.0235180000000001</v>
      </c>
      <c r="AH20" s="2">
        <v>5.1971629999999998</v>
      </c>
      <c r="AI20" s="2">
        <v>5.276116</v>
      </c>
      <c r="AJ20" s="2">
        <v>4.0935050000000004</v>
      </c>
      <c r="AK20" s="2">
        <v>5.2875649999999998</v>
      </c>
      <c r="AL20" s="3">
        <v>0.8361828</v>
      </c>
      <c r="AM20" s="3">
        <v>0.74698189999999998</v>
      </c>
      <c r="AN20" s="2">
        <v>7.1489859999999998</v>
      </c>
      <c r="AO20" s="2">
        <v>10.15577</v>
      </c>
      <c r="AP20" s="2">
        <v>10.23991</v>
      </c>
      <c r="AQ20" s="2">
        <v>9.9178709999999999</v>
      </c>
      <c r="AR20" s="2">
        <v>0.55718210000000001</v>
      </c>
      <c r="AS20" s="2">
        <v>0.1375913</v>
      </c>
      <c r="AT20" s="2">
        <v>0.13108239999999999</v>
      </c>
      <c r="AU20" s="2">
        <v>0.1209958</v>
      </c>
      <c r="AV20" s="1" t="s">
        <v>6</v>
      </c>
      <c r="AW20" s="3">
        <v>1.4750000000000001</v>
      </c>
      <c r="AX20" s="3">
        <v>428</v>
      </c>
      <c r="AY20" s="2">
        <v>13.648429999999999</v>
      </c>
      <c r="AZ20" s="2">
        <v>15.88922</v>
      </c>
      <c r="BA20" s="2">
        <v>13.34713</v>
      </c>
      <c r="BB20" s="2">
        <v>22.551259999999999</v>
      </c>
      <c r="BC20" s="2">
        <v>23.88158</v>
      </c>
      <c r="BD20" s="3">
        <v>292.39999999999998</v>
      </c>
      <c r="BE20" s="2">
        <v>28.79617</v>
      </c>
      <c r="BF20" s="3">
        <v>400.4</v>
      </c>
      <c r="BG20" s="2">
        <v>-5.9440559999999998</v>
      </c>
      <c r="BH20" s="2">
        <v>47.236240000000002</v>
      </c>
      <c r="BI20" s="2">
        <v>37.116680000000002</v>
      </c>
      <c r="BJ20" s="2">
        <v>35.425170000000001</v>
      </c>
      <c r="BK20" s="2">
        <v>35.043750000000003</v>
      </c>
      <c r="BL20" s="2">
        <v>17</v>
      </c>
      <c r="BM20" s="2">
        <v>10</v>
      </c>
      <c r="BN20" s="4">
        <v>20</v>
      </c>
      <c r="BO20" s="4">
        <v>0</v>
      </c>
      <c r="BP20" s="4">
        <v>1</v>
      </c>
      <c r="BQ20" s="4">
        <v>20</v>
      </c>
      <c r="BR20" s="2">
        <v>0</v>
      </c>
      <c r="BS20" s="4">
        <v>12</v>
      </c>
      <c r="BT20" s="4">
        <v>1</v>
      </c>
      <c r="BU20" s="4">
        <v>20</v>
      </c>
      <c r="BV20" s="2">
        <v>60</v>
      </c>
      <c r="BW20" s="2">
        <v>6.0534100000000004</v>
      </c>
      <c r="BX20" s="2">
        <v>136.46809999999999</v>
      </c>
      <c r="BY20" s="3">
        <v>0.29274450000000002</v>
      </c>
      <c r="BZ20" s="3">
        <v>0.21451490000000001</v>
      </c>
      <c r="CA20" s="2">
        <v>0.61481300000000005</v>
      </c>
      <c r="CB20" s="3">
        <v>0.21451490000000001</v>
      </c>
      <c r="CC20" s="3">
        <v>32.943399999999997</v>
      </c>
      <c r="CD20" s="3">
        <v>33.743580000000001</v>
      </c>
      <c r="CE20" s="2">
        <v>2.428973</v>
      </c>
      <c r="CF20" s="3">
        <v>5997.0339999999997</v>
      </c>
      <c r="CG20" s="3">
        <v>6440.6909999999998</v>
      </c>
      <c r="CH20" s="2">
        <v>7.3979499999999998</v>
      </c>
      <c r="CI20" s="3">
        <v>378.45</v>
      </c>
      <c r="CJ20" s="2">
        <v>13.092879999999999</v>
      </c>
      <c r="CK20" s="3">
        <v>66167.12</v>
      </c>
      <c r="CL20" s="3">
        <v>63713.599999999999</v>
      </c>
      <c r="CM20" s="2">
        <v>-3.7080760000000001</v>
      </c>
      <c r="CN20" s="3">
        <v>350.3159</v>
      </c>
      <c r="CO20" s="3">
        <v>381.09219999999999</v>
      </c>
      <c r="CP20" s="3">
        <v>385.38080000000002</v>
      </c>
      <c r="CQ20" s="2">
        <v>7.502961</v>
      </c>
      <c r="CR20" s="2">
        <v>-1.1787650000000001</v>
      </c>
      <c r="CS20" s="2">
        <v>-2.2784710000000001</v>
      </c>
      <c r="CT20" s="2">
        <v>8.7852949999999996</v>
      </c>
      <c r="CU20" s="2">
        <v>109.3219</v>
      </c>
      <c r="CV20" s="3">
        <v>0.21271370000000001</v>
      </c>
      <c r="CW20" s="2">
        <v>-5.1666999999999998E-2</v>
      </c>
      <c r="CX20" s="2">
        <v>3.7726359999999999</v>
      </c>
      <c r="CY20" s="2">
        <v>10.005039999999999</v>
      </c>
      <c r="CZ20" s="2">
        <v>22.090910000000001</v>
      </c>
    </row>
    <row r="21" spans="1:104" ht="15" customHeight="1" x14ac:dyDescent="0.2">
      <c r="A21" s="1">
        <f t="shared" si="0"/>
        <v>15</v>
      </c>
      <c r="B21" s="1" t="s">
        <v>52</v>
      </c>
      <c r="C21" s="1" t="s">
        <v>51</v>
      </c>
      <c r="D21" s="1" t="s">
        <v>53</v>
      </c>
      <c r="E21" s="1" t="s">
        <v>4</v>
      </c>
      <c r="F21" s="1" t="s">
        <v>5</v>
      </c>
      <c r="G21" s="2">
        <v>38910.5</v>
      </c>
      <c r="H21" s="2" t="e">
        <v>#N/A</v>
      </c>
      <c r="I21" s="2" t="e">
        <v>#N/A</v>
      </c>
      <c r="J21" s="3">
        <v>11.006</v>
      </c>
      <c r="K21" s="3">
        <v>0</v>
      </c>
      <c r="L21" s="2">
        <v>7.2687629999999999</v>
      </c>
      <c r="M21" s="2">
        <v>8.9042340000000006</v>
      </c>
      <c r="N21" s="2">
        <v>8.9496640000000003</v>
      </c>
      <c r="O21" s="2">
        <v>8.9950939999999999</v>
      </c>
      <c r="P21" s="2">
        <v>10.00545</v>
      </c>
      <c r="Q21" s="2">
        <v>7.7502870000000001</v>
      </c>
      <c r="R21" s="2">
        <v>7.7507039999999998</v>
      </c>
      <c r="S21" s="2">
        <v>7.656854</v>
      </c>
      <c r="T21" s="2" t="e">
        <v>#N/A</v>
      </c>
      <c r="U21" s="2" t="e">
        <v>#N/A</v>
      </c>
      <c r="V21" s="2" t="e">
        <v>#N/A</v>
      </c>
      <c r="W21" s="2" t="e">
        <v>#N/A</v>
      </c>
      <c r="X21" s="2">
        <v>1.2857479999999999</v>
      </c>
      <c r="Y21" s="2">
        <v>1.2616849999999999</v>
      </c>
      <c r="Z21" s="2">
        <v>1.2121010000000001</v>
      </c>
      <c r="AA21" s="2">
        <v>1.159991</v>
      </c>
      <c r="AB21" s="2" t="e">
        <v>#N/A</v>
      </c>
      <c r="AC21" s="2" t="e">
        <v>#N/A</v>
      </c>
      <c r="AD21" s="2" t="e">
        <v>#N/A</v>
      </c>
      <c r="AE21" s="2" t="e">
        <v>#N/A</v>
      </c>
      <c r="AF21" s="2" t="e">
        <v>#N/A</v>
      </c>
      <c r="AG21" s="2" t="e">
        <v>#N/A</v>
      </c>
      <c r="AH21" s="2" t="e">
        <v>#N/A</v>
      </c>
      <c r="AI21" s="2" t="e">
        <v>#N/A</v>
      </c>
      <c r="AJ21" s="2" t="e">
        <v>#N/A</v>
      </c>
      <c r="AK21" s="2" t="e">
        <v>#N/A</v>
      </c>
      <c r="AL21" s="3">
        <v>0.71120919999999999</v>
      </c>
      <c r="AM21" s="3">
        <v>0.71122879999999999</v>
      </c>
      <c r="AN21" s="2" t="e">
        <v>#N/A</v>
      </c>
      <c r="AO21" s="2" t="e">
        <v>#N/A</v>
      </c>
      <c r="AP21" s="2" t="e">
        <v>#N/A</v>
      </c>
      <c r="AQ21" s="2" t="e">
        <v>#N/A</v>
      </c>
      <c r="AR21" s="2" t="e">
        <v>#N/A</v>
      </c>
      <c r="AS21" s="2" t="e">
        <v>#N/A</v>
      </c>
      <c r="AT21" s="2" t="e">
        <v>#N/A</v>
      </c>
      <c r="AU21" s="2" t="e">
        <v>#N/A</v>
      </c>
      <c r="AV21" s="1" t="s">
        <v>6</v>
      </c>
      <c r="AW21" s="3">
        <v>1.36</v>
      </c>
      <c r="AX21" s="3">
        <v>13.25399</v>
      </c>
      <c r="AY21" s="2">
        <v>20.425180000000001</v>
      </c>
      <c r="AZ21" s="2">
        <v>16.279199999999999</v>
      </c>
      <c r="BA21" s="2">
        <v>10.62908</v>
      </c>
      <c r="BB21" s="2">
        <v>10.06</v>
      </c>
      <c r="BC21" s="2">
        <v>9.7308039999999991</v>
      </c>
      <c r="BD21" s="3">
        <v>9.157</v>
      </c>
      <c r="BE21" s="2">
        <v>20.192209999999999</v>
      </c>
      <c r="BF21" s="3">
        <v>12.157999999999999</v>
      </c>
      <c r="BG21" s="2">
        <v>-9.4752489999999998</v>
      </c>
      <c r="BH21" s="2">
        <v>70.476190000000003</v>
      </c>
      <c r="BI21" s="2">
        <v>67.900980000000004</v>
      </c>
      <c r="BJ21" s="2">
        <v>68.744649999999993</v>
      </c>
      <c r="BK21" s="2">
        <v>69.165700000000001</v>
      </c>
      <c r="BL21" s="2">
        <v>25</v>
      </c>
      <c r="BM21" s="2">
        <v>19</v>
      </c>
      <c r="BN21" s="4">
        <v>25</v>
      </c>
      <c r="BO21" s="4">
        <v>0</v>
      </c>
      <c r="BP21" s="4">
        <v>0</v>
      </c>
      <c r="BQ21" s="4">
        <v>25</v>
      </c>
      <c r="BR21" s="2">
        <v>0</v>
      </c>
      <c r="BS21" s="4">
        <v>17</v>
      </c>
      <c r="BT21" s="4">
        <v>0</v>
      </c>
      <c r="BU21" s="4">
        <v>25</v>
      </c>
      <c r="BV21" s="2">
        <v>68</v>
      </c>
      <c r="BW21" s="2">
        <v>7.2542900000000001</v>
      </c>
      <c r="BX21" s="2">
        <v>3535.3890000000001</v>
      </c>
      <c r="BY21" s="3">
        <v>5.3202389999999999</v>
      </c>
      <c r="BZ21" s="3">
        <v>0.15048520000000001</v>
      </c>
      <c r="CA21" s="2">
        <v>1.05078</v>
      </c>
      <c r="CB21" s="3">
        <v>0.15048520000000001</v>
      </c>
      <c r="CC21" s="3">
        <v>1.3861540000000001</v>
      </c>
      <c r="CD21" s="3">
        <v>1.4209499999999999</v>
      </c>
      <c r="CE21" s="2">
        <v>2.5102380000000002</v>
      </c>
      <c r="CF21" s="3">
        <v>6655.96</v>
      </c>
      <c r="CG21" s="3">
        <v>6626.585</v>
      </c>
      <c r="CH21" s="2">
        <v>-0.44133660000000002</v>
      </c>
      <c r="CI21" s="3">
        <v>12.56311</v>
      </c>
      <c r="CJ21" s="2">
        <v>5.4992910000000004</v>
      </c>
      <c r="CK21" s="3">
        <v>11822.63</v>
      </c>
      <c r="CL21" s="3">
        <v>11866.11</v>
      </c>
      <c r="CM21" s="2">
        <v>0.36779640000000002</v>
      </c>
      <c r="CN21" s="3">
        <v>10.09919</v>
      </c>
      <c r="CO21" s="3">
        <v>10.35192</v>
      </c>
      <c r="CP21" s="3">
        <v>10.464309999999999</v>
      </c>
      <c r="CQ21" s="2">
        <v>8.9789980000000007</v>
      </c>
      <c r="CR21" s="2">
        <v>6.3184380000000004</v>
      </c>
      <c r="CS21" s="2">
        <v>5.1765439999999998</v>
      </c>
      <c r="CT21" s="2">
        <v>2.5024410000000001</v>
      </c>
      <c r="CU21" s="2">
        <v>64.142089999999996</v>
      </c>
      <c r="CV21" s="3">
        <v>0.1648452</v>
      </c>
      <c r="CW21" s="2">
        <v>4.0645610000000003</v>
      </c>
      <c r="CX21" s="2">
        <v>-0.60292080000000003</v>
      </c>
      <c r="CY21" s="2">
        <v>3.8078580000000001E-2</v>
      </c>
      <c r="CZ21" s="2">
        <v>22.136839999999999</v>
      </c>
    </row>
    <row r="22" spans="1:104" ht="15" customHeight="1" x14ac:dyDescent="0.2">
      <c r="A22" s="1">
        <f t="shared" si="0"/>
        <v>16</v>
      </c>
      <c r="B22" s="1" t="s">
        <v>55</v>
      </c>
      <c r="C22" s="1" t="s">
        <v>54</v>
      </c>
      <c r="D22" s="1" t="s">
        <v>46</v>
      </c>
      <c r="E22" s="1" t="s">
        <v>56</v>
      </c>
      <c r="F22" s="1" t="s">
        <v>57</v>
      </c>
      <c r="G22" s="2">
        <v>69296.149999999994</v>
      </c>
      <c r="H22" s="2">
        <v>82.584199999999996</v>
      </c>
      <c r="I22" s="2">
        <v>57227.67</v>
      </c>
      <c r="J22" s="3">
        <v>116.02</v>
      </c>
      <c r="K22" s="3">
        <v>0</v>
      </c>
      <c r="L22" s="2">
        <v>3.4476819999999999</v>
      </c>
      <c r="M22" s="2">
        <v>3.8123269999999998</v>
      </c>
      <c r="N22" s="2">
        <v>4.1008199999999997</v>
      </c>
      <c r="O22" s="2">
        <v>4.3526980000000002</v>
      </c>
      <c r="P22" s="2">
        <v>15.531459999999999</v>
      </c>
      <c r="Q22" s="2">
        <v>14.144119999999999</v>
      </c>
      <c r="R22" s="2">
        <v>13.3561</v>
      </c>
      <c r="S22" s="2">
        <v>12.25132</v>
      </c>
      <c r="T22" s="2">
        <v>7.1989179999999999</v>
      </c>
      <c r="U22" s="2">
        <v>7.3556309999999998</v>
      </c>
      <c r="V22" s="2">
        <v>6.8901289999999999</v>
      </c>
      <c r="W22" s="2">
        <v>6.4371710000000002</v>
      </c>
      <c r="X22" s="2">
        <v>2.5223409999999999</v>
      </c>
      <c r="Y22" s="2">
        <v>2.3407650000000002</v>
      </c>
      <c r="Z22" s="2">
        <v>2.1561050000000002</v>
      </c>
      <c r="AA22" s="2">
        <v>1.9972460000000001</v>
      </c>
      <c r="AB22" s="2">
        <v>7.9871280000000002</v>
      </c>
      <c r="AC22" s="2">
        <v>7.9993280000000002</v>
      </c>
      <c r="AD22" s="2">
        <v>7.5598710000000002</v>
      </c>
      <c r="AE22" s="2">
        <v>6.5770970000000002</v>
      </c>
      <c r="AF22" s="2">
        <v>5.9757179999999996</v>
      </c>
      <c r="AG22" s="2">
        <v>6.4027450000000004</v>
      </c>
      <c r="AH22" s="2">
        <v>7.1264419999999999</v>
      </c>
      <c r="AI22" s="2">
        <v>7.4652459999999996</v>
      </c>
      <c r="AJ22" s="2">
        <v>7.8398120000000002</v>
      </c>
      <c r="AK22" s="2">
        <v>8.4945789999999999</v>
      </c>
      <c r="AL22" s="3">
        <v>2.0775549999999998</v>
      </c>
      <c r="AM22" s="3">
        <v>1.946021</v>
      </c>
      <c r="AN22" s="2">
        <v>16.562629999999999</v>
      </c>
      <c r="AO22" s="2">
        <v>17.328610000000001</v>
      </c>
      <c r="AP22" s="2">
        <v>17.641829999999999</v>
      </c>
      <c r="AQ22" s="2">
        <v>17.875299999999999</v>
      </c>
      <c r="AR22" s="2">
        <v>1.8162510000000001</v>
      </c>
      <c r="AS22" s="2">
        <v>1.467657</v>
      </c>
      <c r="AT22" s="2">
        <v>1.2629859999999999</v>
      </c>
      <c r="AU22" s="2">
        <v>1.0367710000000001</v>
      </c>
      <c r="AV22" s="1" t="s">
        <v>6</v>
      </c>
      <c r="AW22" s="3">
        <v>1.1499999999999999</v>
      </c>
      <c r="AX22" s="3">
        <v>129</v>
      </c>
      <c r="AY22" s="2">
        <v>11.18773</v>
      </c>
      <c r="AZ22" s="2">
        <v>16.549379999999999</v>
      </c>
      <c r="BA22" s="2">
        <v>6.8044289999999998</v>
      </c>
      <c r="BB22" s="2">
        <v>21.512350000000001</v>
      </c>
      <c r="BC22" s="2">
        <v>24.364879999999999</v>
      </c>
      <c r="BD22" s="3">
        <v>91.88</v>
      </c>
      <c r="BE22" s="2">
        <v>26.273409999999998</v>
      </c>
      <c r="BF22" s="3">
        <v>117.08</v>
      </c>
      <c r="BG22" s="2">
        <v>-0.90537069999999997</v>
      </c>
      <c r="BH22" s="2">
        <v>53.682639999999999</v>
      </c>
      <c r="BI22" s="2">
        <v>54.330719999999999</v>
      </c>
      <c r="BJ22" s="2">
        <v>55.003570000000003</v>
      </c>
      <c r="BK22" s="2">
        <v>55.003540000000001</v>
      </c>
      <c r="BL22" s="2">
        <v>18</v>
      </c>
      <c r="BM22" s="2">
        <v>17</v>
      </c>
      <c r="BN22" s="4">
        <v>20</v>
      </c>
      <c r="BO22" s="4">
        <v>0</v>
      </c>
      <c r="BP22" s="4">
        <v>0</v>
      </c>
      <c r="BQ22" s="4">
        <v>20</v>
      </c>
      <c r="BR22" s="2">
        <v>0</v>
      </c>
      <c r="BS22" s="4">
        <v>18</v>
      </c>
      <c r="BT22" s="4">
        <v>1</v>
      </c>
      <c r="BU22" s="4">
        <v>20</v>
      </c>
      <c r="BV22" s="2">
        <v>90</v>
      </c>
      <c r="BW22" s="2">
        <v>5.74702</v>
      </c>
      <c r="BX22" s="2">
        <v>597.27769999999998</v>
      </c>
      <c r="BY22" s="3">
        <v>0.80667160000000004</v>
      </c>
      <c r="BZ22" s="3">
        <v>0.13505800000000001</v>
      </c>
      <c r="CA22" s="2">
        <v>0.98469300000000004</v>
      </c>
      <c r="CB22" s="3">
        <v>0.13505800000000001</v>
      </c>
      <c r="CC22" s="3">
        <v>8.1452059999999999</v>
      </c>
      <c r="CD22" s="3">
        <v>8.2070779999999992</v>
      </c>
      <c r="CE22" s="2">
        <v>0.75960159999999999</v>
      </c>
      <c r="CF22" s="3">
        <v>8000.3180000000002</v>
      </c>
      <c r="CG22" s="3">
        <v>8094.08</v>
      </c>
      <c r="CH22" s="2">
        <v>1.17197</v>
      </c>
      <c r="CI22" s="3">
        <v>127.205</v>
      </c>
      <c r="CJ22" s="2">
        <v>1.411068</v>
      </c>
      <c r="CK22" s="3">
        <v>67318.12</v>
      </c>
      <c r="CL22" s="3">
        <v>67745.23</v>
      </c>
      <c r="CM22" s="2">
        <v>0.63447949999999997</v>
      </c>
      <c r="CN22" s="3">
        <v>106.3817</v>
      </c>
      <c r="CO22" s="3">
        <v>107.3729</v>
      </c>
      <c r="CP22" s="3">
        <v>111.5515</v>
      </c>
      <c r="CQ22" s="2">
        <v>9.0601079999999996</v>
      </c>
      <c r="CR22" s="2">
        <v>8.0533029999999997</v>
      </c>
      <c r="CS22" s="2">
        <v>4.0057299999999998</v>
      </c>
      <c r="CT22" s="2">
        <v>0.93177560000000004</v>
      </c>
      <c r="CU22" s="2">
        <v>80.886290000000002</v>
      </c>
      <c r="CV22" s="3">
        <v>0.1167255</v>
      </c>
      <c r="CW22" s="2" t="e">
        <v>#N/A</v>
      </c>
      <c r="CX22" s="2">
        <v>0.66940310000000003</v>
      </c>
      <c r="CY22" s="2" t="e">
        <v>#N/A</v>
      </c>
      <c r="CZ22" s="2">
        <v>22.171720000000001</v>
      </c>
    </row>
    <row r="23" spans="1:104" ht="15" customHeight="1" x14ac:dyDescent="0.2">
      <c r="A23" s="1">
        <f t="shared" si="0"/>
        <v>17</v>
      </c>
      <c r="B23" s="1" t="s">
        <v>59</v>
      </c>
      <c r="C23" s="1" t="s">
        <v>58</v>
      </c>
      <c r="D23" s="1" t="s">
        <v>32</v>
      </c>
      <c r="E23" s="1" t="s">
        <v>60</v>
      </c>
      <c r="F23" s="1" t="s">
        <v>61</v>
      </c>
      <c r="G23" s="2">
        <v>275021</v>
      </c>
      <c r="H23" s="2">
        <v>99.026399999999995</v>
      </c>
      <c r="I23" s="2">
        <v>272343.40000000002</v>
      </c>
      <c r="J23" s="3">
        <v>682.2</v>
      </c>
      <c r="K23" s="3">
        <v>0</v>
      </c>
      <c r="L23" s="2">
        <v>0.85019060000000002</v>
      </c>
      <c r="M23" s="2">
        <v>0.95279970000000003</v>
      </c>
      <c r="N23" s="2">
        <v>1.026092</v>
      </c>
      <c r="O23" s="2">
        <v>1.207857</v>
      </c>
      <c r="P23" s="2">
        <v>48.246110000000002</v>
      </c>
      <c r="Q23" s="2">
        <v>34.982219999999998</v>
      </c>
      <c r="R23" s="2">
        <v>34.957729999999998</v>
      </c>
      <c r="S23" s="2">
        <v>24.902360000000002</v>
      </c>
      <c r="T23" s="2">
        <v>28.13916</v>
      </c>
      <c r="U23" s="2">
        <v>28.592490000000002</v>
      </c>
      <c r="V23" s="2">
        <v>28.313110000000002</v>
      </c>
      <c r="W23" s="2">
        <v>20.496749999999999</v>
      </c>
      <c r="X23" s="2">
        <v>30.819970000000001</v>
      </c>
      <c r="Y23" s="2">
        <v>22.134979999999999</v>
      </c>
      <c r="Z23" s="2">
        <v>19.947369999999999</v>
      </c>
      <c r="AA23" s="2">
        <v>16.21583</v>
      </c>
      <c r="AB23" s="2">
        <v>31.99813</v>
      </c>
      <c r="AC23" s="2">
        <v>32.812379999999997</v>
      </c>
      <c r="AD23" s="2">
        <v>31.968140000000002</v>
      </c>
      <c r="AE23" s="2">
        <v>23.913239999999998</v>
      </c>
      <c r="AF23" s="2">
        <v>1.570184</v>
      </c>
      <c r="AG23" s="2">
        <v>2.2954050000000001</v>
      </c>
      <c r="AH23" s="2">
        <v>3.0908000000000002</v>
      </c>
      <c r="AI23" s="2">
        <v>1.5587139999999999</v>
      </c>
      <c r="AJ23" s="2">
        <v>2.2714340000000002</v>
      </c>
      <c r="AK23" s="2">
        <v>3.043857</v>
      </c>
      <c r="AL23" s="3">
        <v>1.602617</v>
      </c>
      <c r="AM23" s="3">
        <v>1.5978669999999999</v>
      </c>
      <c r="AN23" s="2">
        <v>33.459119999999999</v>
      </c>
      <c r="AO23" s="2">
        <v>35.073009999999996</v>
      </c>
      <c r="AP23" s="2">
        <v>35.298450000000003</v>
      </c>
      <c r="AQ23" s="2">
        <v>39.70008</v>
      </c>
      <c r="AR23" s="2">
        <v>-0.52990420000000005</v>
      </c>
      <c r="AS23" s="2">
        <v>-0.21040210000000001</v>
      </c>
      <c r="AT23" s="2">
        <v>-0.29878939999999998</v>
      </c>
      <c r="AU23" s="2">
        <v>-0.31610470000000002</v>
      </c>
      <c r="AV23" s="1" t="s">
        <v>6</v>
      </c>
      <c r="AW23" s="3">
        <v>1.3374999999999999</v>
      </c>
      <c r="AX23" s="3">
        <v>700</v>
      </c>
      <c r="AY23" s="2">
        <v>2.6092050000000002</v>
      </c>
      <c r="AZ23" s="2">
        <v>63.274940000000001</v>
      </c>
      <c r="BA23" s="2">
        <v>22</v>
      </c>
      <c r="BB23" s="2">
        <v>16.495909999999999</v>
      </c>
      <c r="BC23" s="2">
        <v>35.410879999999999</v>
      </c>
      <c r="BD23" s="3">
        <v>500.3</v>
      </c>
      <c r="BE23" s="2">
        <v>36.35819</v>
      </c>
      <c r="BF23" s="3">
        <v>698.1</v>
      </c>
      <c r="BG23" s="2">
        <v>-2.2776070000000002</v>
      </c>
      <c r="BH23" s="2">
        <v>40.284230000000001</v>
      </c>
      <c r="BI23" s="2">
        <v>32.439459999999997</v>
      </c>
      <c r="BJ23" s="2">
        <v>36.127850000000002</v>
      </c>
      <c r="BK23" s="2">
        <v>30.928999999999998</v>
      </c>
      <c r="BL23" s="2">
        <v>38</v>
      </c>
      <c r="BM23" s="2">
        <v>37</v>
      </c>
      <c r="BN23" s="4">
        <v>40</v>
      </c>
      <c r="BO23" s="4">
        <v>6</v>
      </c>
      <c r="BP23" s="4">
        <v>0</v>
      </c>
      <c r="BQ23" s="4">
        <v>33</v>
      </c>
      <c r="BR23" s="2">
        <v>15.38462</v>
      </c>
      <c r="BS23" s="4">
        <v>28</v>
      </c>
      <c r="BT23" s="4">
        <v>1</v>
      </c>
      <c r="BU23" s="4">
        <v>40</v>
      </c>
      <c r="BV23" s="2">
        <v>70</v>
      </c>
      <c r="BW23" s="2">
        <v>9.9874399999999994</v>
      </c>
      <c r="BX23" s="2">
        <v>403.13839999999999</v>
      </c>
      <c r="BY23" s="3">
        <v>0.60626599999999997</v>
      </c>
      <c r="BZ23" s="3">
        <v>0.15038660000000001</v>
      </c>
      <c r="CA23" s="2">
        <v>1.849</v>
      </c>
      <c r="CB23" s="3">
        <v>0.15038660000000001</v>
      </c>
      <c r="CC23" s="3">
        <v>19.352820000000001</v>
      </c>
      <c r="CD23" s="3">
        <v>19.485659999999999</v>
      </c>
      <c r="CE23" s="2">
        <v>0.68640710000000005</v>
      </c>
      <c r="CF23" s="3">
        <v>8785.18</v>
      </c>
      <c r="CG23" s="3">
        <v>8850.4079999999994</v>
      </c>
      <c r="CH23" s="2">
        <v>0.74248309999999995</v>
      </c>
      <c r="CI23" s="3">
        <v>743.35550000000001</v>
      </c>
      <c r="CJ23" s="2">
        <v>-5.8324100000000003</v>
      </c>
      <c r="CK23" s="3">
        <v>27138.560000000001</v>
      </c>
      <c r="CL23" s="3">
        <v>27198.76</v>
      </c>
      <c r="CM23" s="2">
        <v>0.22182460000000001</v>
      </c>
      <c r="CN23" s="3">
        <v>611.34410000000003</v>
      </c>
      <c r="CO23" s="3">
        <v>602.92349999999999</v>
      </c>
      <c r="CP23" s="3">
        <v>634.96540000000005</v>
      </c>
      <c r="CQ23" s="2">
        <v>11.59018</v>
      </c>
      <c r="CR23" s="2">
        <v>13.14869</v>
      </c>
      <c r="CS23" s="2">
        <v>7.4389339999999997</v>
      </c>
      <c r="CT23" s="2">
        <v>-1.3773979999999999</v>
      </c>
      <c r="CU23" s="2">
        <v>341.5917</v>
      </c>
      <c r="CV23" s="3">
        <v>0.1242057</v>
      </c>
      <c r="CW23" s="2">
        <v>4.01023</v>
      </c>
      <c r="CX23" s="2">
        <v>-1.0024919999999999</v>
      </c>
      <c r="CY23" s="2">
        <v>3.0924399999999999</v>
      </c>
      <c r="CZ23" s="2">
        <v>22.36364</v>
      </c>
    </row>
    <row r="24" spans="1:104" ht="15" customHeight="1" x14ac:dyDescent="0.2">
      <c r="A24" s="1">
        <f t="shared" si="0"/>
        <v>18</v>
      </c>
      <c r="B24" s="1" t="s">
        <v>63</v>
      </c>
      <c r="C24" s="1" t="s">
        <v>62</v>
      </c>
      <c r="D24" s="1" t="s">
        <v>46</v>
      </c>
      <c r="E24" s="1" t="s">
        <v>21</v>
      </c>
      <c r="F24" s="1" t="s">
        <v>64</v>
      </c>
      <c r="G24" s="2">
        <v>33474.31</v>
      </c>
      <c r="H24" s="2">
        <v>90.348500000000001</v>
      </c>
      <c r="I24" s="2">
        <v>30243.54</v>
      </c>
      <c r="J24" s="3">
        <v>66.099999999999994</v>
      </c>
      <c r="K24" s="3">
        <v>0</v>
      </c>
      <c r="L24" s="2">
        <v>3.025719</v>
      </c>
      <c r="M24" s="2">
        <v>3.1770040000000002</v>
      </c>
      <c r="N24" s="2">
        <v>3.3434189999999999</v>
      </c>
      <c r="O24" s="2">
        <v>3.5098340000000001</v>
      </c>
      <c r="P24" s="2">
        <v>10.200620000000001</v>
      </c>
      <c r="Q24" s="2">
        <v>10.73372</v>
      </c>
      <c r="R24" s="2">
        <v>10.34249</v>
      </c>
      <c r="S24" s="2">
        <v>9.5589289999999991</v>
      </c>
      <c r="T24" s="2">
        <v>4.4588989999999997</v>
      </c>
      <c r="U24" s="2">
        <v>5.6861300000000004</v>
      </c>
      <c r="V24" s="2">
        <v>5.5325959999999998</v>
      </c>
      <c r="W24" s="2">
        <v>5.0480340000000004</v>
      </c>
      <c r="X24" s="2">
        <v>1.506381</v>
      </c>
      <c r="Y24" s="2">
        <v>1.396503</v>
      </c>
      <c r="Z24" s="2">
        <v>1.286888</v>
      </c>
      <c r="AA24" s="2">
        <v>1.182469</v>
      </c>
      <c r="AB24" s="2">
        <v>6.3183020000000001</v>
      </c>
      <c r="AC24" s="2">
        <v>6.6505999999999998</v>
      </c>
      <c r="AD24" s="2">
        <v>6.5907429999999998</v>
      </c>
      <c r="AE24" s="2">
        <v>6.530119</v>
      </c>
      <c r="AF24" s="2">
        <v>7.5139750000000003</v>
      </c>
      <c r="AG24" s="2">
        <v>7.754302</v>
      </c>
      <c r="AH24" s="2">
        <v>8.3831159999999993</v>
      </c>
      <c r="AI24" s="2">
        <v>9.0774080000000001</v>
      </c>
      <c r="AJ24" s="2">
        <v>9.0522340000000003</v>
      </c>
      <c r="AK24" s="2">
        <v>9.3818479999999997</v>
      </c>
      <c r="AL24" s="3">
        <v>32.029649999999997</v>
      </c>
      <c r="AM24" s="3">
        <v>30.582339999999999</v>
      </c>
      <c r="AN24" s="2">
        <v>13.91976</v>
      </c>
      <c r="AO24" s="2">
        <v>14.748620000000001</v>
      </c>
      <c r="AP24" s="2">
        <v>14.6364</v>
      </c>
      <c r="AQ24" s="2">
        <v>14.78524</v>
      </c>
      <c r="AR24" s="2">
        <v>1.155125</v>
      </c>
      <c r="AS24" s="2">
        <v>0.97934129999999997</v>
      </c>
      <c r="AT24" s="2">
        <v>0.79327700000000001</v>
      </c>
      <c r="AU24" s="2">
        <v>0.53738160000000001</v>
      </c>
      <c r="AV24" s="1" t="s">
        <v>6</v>
      </c>
      <c r="AW24" s="3">
        <v>1.236842</v>
      </c>
      <c r="AX24" s="3">
        <v>72.5</v>
      </c>
      <c r="AY24" s="2">
        <v>9.6822979999999994</v>
      </c>
      <c r="AZ24" s="2">
        <v>13.01042</v>
      </c>
      <c r="BA24" s="2">
        <v>0.34006910000000001</v>
      </c>
      <c r="BB24" s="2">
        <v>40.638289999999998</v>
      </c>
      <c r="BC24" s="2">
        <v>44.797359999999998</v>
      </c>
      <c r="BD24" s="3">
        <v>43.984999999999999</v>
      </c>
      <c r="BE24" s="2">
        <v>50.278500000000001</v>
      </c>
      <c r="BF24" s="3">
        <v>66.790000000000006</v>
      </c>
      <c r="BG24" s="2">
        <v>-1.0330919999999999</v>
      </c>
      <c r="BH24" s="2">
        <v>31.27205</v>
      </c>
      <c r="BI24" s="2">
        <v>35.036209999999997</v>
      </c>
      <c r="BJ24" s="2">
        <v>35.447699999999998</v>
      </c>
      <c r="BK24" s="2">
        <v>35.499290000000002</v>
      </c>
      <c r="BL24" s="2">
        <v>18</v>
      </c>
      <c r="BM24" s="2">
        <v>17</v>
      </c>
      <c r="BN24" s="4">
        <v>19</v>
      </c>
      <c r="BO24" s="4">
        <v>0</v>
      </c>
      <c r="BP24" s="4">
        <v>0</v>
      </c>
      <c r="BQ24" s="4">
        <v>19</v>
      </c>
      <c r="BR24" s="2">
        <v>0</v>
      </c>
      <c r="BS24" s="4">
        <v>15</v>
      </c>
      <c r="BT24" s="4">
        <v>0</v>
      </c>
      <c r="BU24" s="4">
        <v>19</v>
      </c>
      <c r="BV24" s="2">
        <v>78.947370000000006</v>
      </c>
      <c r="BW24" s="2">
        <v>8.7697199999999995</v>
      </c>
      <c r="BX24" s="2">
        <v>506.41930000000002</v>
      </c>
      <c r="BY24" s="3">
        <v>1.151224</v>
      </c>
      <c r="BZ24" s="3">
        <v>0.22732630000000001</v>
      </c>
      <c r="CA24" s="2">
        <v>1.5064200000000001</v>
      </c>
      <c r="CB24" s="3">
        <v>0.22732630000000001</v>
      </c>
      <c r="CC24" s="3">
        <v>5.964493</v>
      </c>
      <c r="CD24" s="3">
        <v>6.068511</v>
      </c>
      <c r="CE24" s="2">
        <v>1.7439370000000001</v>
      </c>
      <c r="CF24" s="3">
        <v>5001.1019999999999</v>
      </c>
      <c r="CG24" s="3">
        <v>5095.3909999999996</v>
      </c>
      <c r="CH24" s="2">
        <v>1.8853660000000001</v>
      </c>
      <c r="CI24" s="3">
        <v>72.105260000000001</v>
      </c>
      <c r="CJ24" s="2">
        <v>0.54744479999999995</v>
      </c>
      <c r="CK24" s="3">
        <v>48451.45</v>
      </c>
      <c r="CL24" s="3">
        <v>48243.11</v>
      </c>
      <c r="CM24" s="2">
        <v>-0.42998189999999997</v>
      </c>
      <c r="CN24" s="3">
        <v>55.430430000000001</v>
      </c>
      <c r="CO24" s="3">
        <v>55.841270000000002</v>
      </c>
      <c r="CP24" s="3">
        <v>59.115380000000002</v>
      </c>
      <c r="CQ24" s="2">
        <v>19.24858</v>
      </c>
      <c r="CR24" s="2">
        <v>18.371220000000001</v>
      </c>
      <c r="CS24" s="2">
        <v>11.815239999999999</v>
      </c>
      <c r="CT24" s="2">
        <v>0.74119570000000001</v>
      </c>
      <c r="CU24" s="2">
        <v>70.062470000000005</v>
      </c>
      <c r="CV24" s="3">
        <v>0.20930219999999999</v>
      </c>
      <c r="CW24" s="2" t="e">
        <v>#N/A</v>
      </c>
      <c r="CX24" s="2">
        <v>0.48413270000000003</v>
      </c>
      <c r="CY24" s="2" t="e">
        <v>#N/A</v>
      </c>
      <c r="CZ24" s="2">
        <v>22.383839999999999</v>
      </c>
    </row>
    <row r="25" spans="1:104" ht="15" customHeight="1" x14ac:dyDescent="0.2">
      <c r="A25" s="1">
        <f t="shared" si="0"/>
        <v>19</v>
      </c>
      <c r="B25" s="1" t="s">
        <v>66</v>
      </c>
      <c r="C25" s="1" t="s">
        <v>65</v>
      </c>
      <c r="D25" s="1" t="s">
        <v>3</v>
      </c>
      <c r="E25" s="1" t="s">
        <v>16</v>
      </c>
      <c r="F25" s="1" t="s">
        <v>17</v>
      </c>
      <c r="G25" s="2">
        <v>75092.039999999994</v>
      </c>
      <c r="H25" s="2">
        <v>99.373000000000005</v>
      </c>
      <c r="I25" s="2">
        <v>74621.22</v>
      </c>
      <c r="J25" s="3">
        <v>11.824999999999999</v>
      </c>
      <c r="K25" s="3">
        <v>0</v>
      </c>
      <c r="L25" s="2">
        <v>4.143764</v>
      </c>
      <c r="M25" s="2">
        <v>4.4820289999999998</v>
      </c>
      <c r="N25" s="2">
        <v>4.6511630000000004</v>
      </c>
      <c r="O25" s="2">
        <v>4.9048619999999996</v>
      </c>
      <c r="P25" s="2">
        <v>17.91667</v>
      </c>
      <c r="Q25" s="2">
        <v>15.76667</v>
      </c>
      <c r="R25" s="2">
        <v>15.160259999999999</v>
      </c>
      <c r="S25" s="2">
        <v>14.2814</v>
      </c>
      <c r="T25" s="2">
        <v>8.5641590000000001</v>
      </c>
      <c r="U25" s="2">
        <v>8.0717970000000001</v>
      </c>
      <c r="V25" s="2">
        <v>8.3579310000000007</v>
      </c>
      <c r="W25" s="2">
        <v>8.0042679999999997</v>
      </c>
      <c r="X25" s="2">
        <v>1.7620119999999999</v>
      </c>
      <c r="Y25" s="2">
        <v>1.725195</v>
      </c>
      <c r="Z25" s="2">
        <v>1.629467</v>
      </c>
      <c r="AA25" s="2">
        <v>1.5738799999999999</v>
      </c>
      <c r="AB25" s="2">
        <v>7.9942080000000004</v>
      </c>
      <c r="AC25" s="2">
        <v>7.0689440000000001</v>
      </c>
      <c r="AD25" s="2">
        <v>6.71875</v>
      </c>
      <c r="AE25" s="2">
        <v>6.3924349999999999</v>
      </c>
      <c r="AF25" s="2">
        <v>1.658644</v>
      </c>
      <c r="AG25" s="2">
        <v>-3.5321129999999998</v>
      </c>
      <c r="AH25" s="2">
        <v>0.36985119999999999</v>
      </c>
      <c r="AI25" s="2">
        <v>2.596495</v>
      </c>
      <c r="AJ25" s="2">
        <v>-6.0338060000000002</v>
      </c>
      <c r="AK25" s="2">
        <v>0.64224769999999998</v>
      </c>
      <c r="AL25" s="3">
        <v>1.6636759999999999</v>
      </c>
      <c r="AM25" s="3">
        <v>1.6075759999999999</v>
      </c>
      <c r="AN25" s="2">
        <v>24.519449999999999</v>
      </c>
      <c r="AO25" s="2">
        <v>25.945329999999998</v>
      </c>
      <c r="AP25" s="2">
        <v>27.815429999999999</v>
      </c>
      <c r="AQ25" s="2">
        <v>28.36177</v>
      </c>
      <c r="AR25" s="2">
        <v>3.3073030000000001</v>
      </c>
      <c r="AS25" s="2">
        <v>2.9155250000000001</v>
      </c>
      <c r="AT25" s="2">
        <v>3.4653049999999999</v>
      </c>
      <c r="AU25" s="2">
        <v>3.3948499999999999</v>
      </c>
      <c r="AV25" s="1" t="s">
        <v>27</v>
      </c>
      <c r="AW25" s="3">
        <v>1.5</v>
      </c>
      <c r="AX25" s="3">
        <v>12.4</v>
      </c>
      <c r="AY25" s="2">
        <v>4.8625829999999999</v>
      </c>
      <c r="AZ25" s="2">
        <v>10.94204</v>
      </c>
      <c r="BA25" s="2">
        <v>9.4580160000000006</v>
      </c>
      <c r="BB25" s="2">
        <v>6.9651719999999999</v>
      </c>
      <c r="BC25" s="2">
        <v>8.1884619999999995</v>
      </c>
      <c r="BD25" s="3">
        <v>9.8819999999999997</v>
      </c>
      <c r="BE25" s="2">
        <v>19.662009999999999</v>
      </c>
      <c r="BF25" s="3">
        <v>12.244999999999999</v>
      </c>
      <c r="BG25" s="2">
        <v>-3.4299729999999999</v>
      </c>
      <c r="BH25" s="2">
        <v>72.764390000000006</v>
      </c>
      <c r="BI25" s="2">
        <v>70.619600000000005</v>
      </c>
      <c r="BJ25" s="2">
        <v>70.337440000000001</v>
      </c>
      <c r="BK25" s="2">
        <v>69.82741</v>
      </c>
      <c r="BL25" s="2">
        <v>19</v>
      </c>
      <c r="BM25" s="2">
        <v>18</v>
      </c>
      <c r="BN25" s="4">
        <v>24</v>
      </c>
      <c r="BO25" s="4">
        <v>4</v>
      </c>
      <c r="BP25" s="4">
        <v>0</v>
      </c>
      <c r="BQ25" s="4">
        <v>20</v>
      </c>
      <c r="BR25" s="2">
        <v>16.66667</v>
      </c>
      <c r="BS25" s="4">
        <v>13</v>
      </c>
      <c r="BT25" s="4">
        <v>0</v>
      </c>
      <c r="BU25" s="4">
        <v>24</v>
      </c>
      <c r="BV25" s="2">
        <v>54.166670000000003</v>
      </c>
      <c r="BW25" s="2">
        <v>6.4139400000000002</v>
      </c>
      <c r="BX25" s="2">
        <v>6350.2780000000002</v>
      </c>
      <c r="BY25" s="3">
        <v>11.49714</v>
      </c>
      <c r="BZ25" s="3">
        <v>0.1810493</v>
      </c>
      <c r="CA25" s="2">
        <v>0.698411</v>
      </c>
      <c r="CB25" s="3">
        <v>0.1810493</v>
      </c>
      <c r="CC25" s="3">
        <v>0.72874150000000004</v>
      </c>
      <c r="CD25" s="3">
        <v>0.75150600000000001</v>
      </c>
      <c r="CE25" s="2">
        <v>3.1238079999999999</v>
      </c>
      <c r="CF25" s="3">
        <v>9055.3330000000005</v>
      </c>
      <c r="CG25" s="3">
        <v>9165.4940000000006</v>
      </c>
      <c r="CH25" s="2">
        <v>1.216531</v>
      </c>
      <c r="CI25" s="3">
        <v>12.54191</v>
      </c>
      <c r="CJ25" s="2">
        <v>-1.1314630000000001</v>
      </c>
      <c r="CK25" s="3">
        <v>55618.94</v>
      </c>
      <c r="CL25" s="3">
        <v>55925.26</v>
      </c>
      <c r="CM25" s="2">
        <v>0.55075879999999999</v>
      </c>
      <c r="CN25" s="3">
        <v>11.19215</v>
      </c>
      <c r="CO25" s="3">
        <v>10.87628</v>
      </c>
      <c r="CP25" s="3">
        <v>11.278650000000001</v>
      </c>
      <c r="CQ25" s="2">
        <v>5.6544420000000004</v>
      </c>
      <c r="CR25" s="2">
        <v>8.7228779999999997</v>
      </c>
      <c r="CS25" s="2">
        <v>4.8440690000000002</v>
      </c>
      <c r="CT25" s="2">
        <v>-2.8222499999999999</v>
      </c>
      <c r="CU25" s="2">
        <v>116.2255</v>
      </c>
      <c r="CV25" s="3">
        <v>0.15477740000000001</v>
      </c>
      <c r="CW25" s="2">
        <v>16.26343</v>
      </c>
      <c r="CX25" s="2">
        <v>-26.172910000000002</v>
      </c>
      <c r="CY25" s="2">
        <v>6.2421449999999998</v>
      </c>
      <c r="CZ25" s="2">
        <v>22.47475</v>
      </c>
    </row>
    <row r="26" spans="1:104" ht="15" customHeight="1" x14ac:dyDescent="0.2">
      <c r="A26" s="1">
        <f t="shared" si="0"/>
        <v>20</v>
      </c>
      <c r="B26" s="1" t="s">
        <v>68</v>
      </c>
      <c r="C26" s="1" t="s">
        <v>67</v>
      </c>
      <c r="D26" s="1" t="s">
        <v>46</v>
      </c>
      <c r="E26" s="1" t="s">
        <v>60</v>
      </c>
      <c r="F26" s="1" t="s">
        <v>69</v>
      </c>
      <c r="G26" s="2">
        <v>68694.95</v>
      </c>
      <c r="H26" s="2">
        <v>81.833200000000005</v>
      </c>
      <c r="I26" s="2">
        <v>56215.27</v>
      </c>
      <c r="J26" s="3">
        <v>160.78</v>
      </c>
      <c r="K26" s="3">
        <v>0</v>
      </c>
      <c r="L26" s="2">
        <v>0.83965670000000003</v>
      </c>
      <c r="M26" s="2">
        <v>1.3383750000000001</v>
      </c>
      <c r="N26" s="2">
        <v>1.6762030000000001</v>
      </c>
      <c r="O26" s="2">
        <v>2.0234610000000002</v>
      </c>
      <c r="P26" s="2">
        <v>59.992530000000002</v>
      </c>
      <c r="Q26" s="2">
        <v>30.27872</v>
      </c>
      <c r="R26" s="2">
        <v>24.546559999999999</v>
      </c>
      <c r="S26" s="2">
        <v>20.066690000000001</v>
      </c>
      <c r="T26" s="2">
        <v>14.387549999999999</v>
      </c>
      <c r="U26" s="2">
        <v>15.540240000000001</v>
      </c>
      <c r="V26" s="2">
        <v>12.83527</v>
      </c>
      <c r="W26" s="2">
        <v>10.7926</v>
      </c>
      <c r="X26" s="2">
        <v>6.5812530000000002</v>
      </c>
      <c r="Y26" s="2">
        <v>6.1226200000000004</v>
      </c>
      <c r="Z26" s="2">
        <v>5.3185580000000003</v>
      </c>
      <c r="AA26" s="2">
        <v>4.5676139999999998</v>
      </c>
      <c r="AB26" s="2">
        <v>23.309190000000001</v>
      </c>
      <c r="AC26" s="2">
        <v>17.76052</v>
      </c>
      <c r="AD26" s="2">
        <v>16.43967</v>
      </c>
      <c r="AE26" s="2">
        <v>14.51343</v>
      </c>
      <c r="AF26" s="2">
        <v>4.1544559999999997</v>
      </c>
      <c r="AG26" s="2">
        <v>4.21143</v>
      </c>
      <c r="AH26" s="2">
        <v>5.0102909999999996</v>
      </c>
      <c r="AI26" s="2">
        <v>4.1184700000000003</v>
      </c>
      <c r="AJ26" s="2">
        <v>4.0876609999999998</v>
      </c>
      <c r="AK26" s="2">
        <v>4.760389</v>
      </c>
      <c r="AL26" s="3">
        <v>0.81792399999999998</v>
      </c>
      <c r="AM26" s="3">
        <v>0.66118140000000003</v>
      </c>
      <c r="AN26" s="2">
        <v>18.234829999999999</v>
      </c>
      <c r="AO26" s="2">
        <v>18.838529999999999</v>
      </c>
      <c r="AP26" s="2">
        <v>19.613710000000001</v>
      </c>
      <c r="AQ26" s="2">
        <v>20.298100000000002</v>
      </c>
      <c r="AR26" s="2">
        <v>-4.0334200000000002E-3</v>
      </c>
      <c r="AS26" s="2">
        <v>-0.13578560000000001</v>
      </c>
      <c r="AT26" s="2">
        <v>-0.3886348</v>
      </c>
      <c r="AU26" s="2">
        <v>-0.56656799999999996</v>
      </c>
      <c r="AV26" s="1" t="s">
        <v>6</v>
      </c>
      <c r="AW26" s="3">
        <v>1.357143</v>
      </c>
      <c r="AX26" s="3">
        <v>174</v>
      </c>
      <c r="AY26" s="2">
        <v>8.2224129999999995</v>
      </c>
      <c r="AZ26" s="2">
        <v>20.220870000000001</v>
      </c>
      <c r="BA26" s="2">
        <v>34.338679999999997</v>
      </c>
      <c r="BB26" s="2">
        <v>36.06973</v>
      </c>
      <c r="BC26" s="2">
        <v>37.512830000000001</v>
      </c>
      <c r="BD26" s="3">
        <v>114.56</v>
      </c>
      <c r="BE26" s="2">
        <v>40.345669999999998</v>
      </c>
      <c r="BF26" s="3">
        <v>168.76</v>
      </c>
      <c r="BG26" s="2">
        <v>-4.7286029999999997</v>
      </c>
      <c r="BH26" s="2">
        <v>51.52646</v>
      </c>
      <c r="BI26" s="2">
        <v>38.897419999999997</v>
      </c>
      <c r="BJ26" s="2">
        <v>39.824509999999997</v>
      </c>
      <c r="BK26" s="2">
        <v>39.771850000000001</v>
      </c>
      <c r="BL26" s="2">
        <v>19</v>
      </c>
      <c r="BM26" s="2">
        <v>18</v>
      </c>
      <c r="BN26" s="4">
        <v>21</v>
      </c>
      <c r="BO26" s="4">
        <v>0</v>
      </c>
      <c r="BP26" s="4">
        <v>1</v>
      </c>
      <c r="BQ26" s="4">
        <v>20</v>
      </c>
      <c r="BR26" s="2">
        <v>0</v>
      </c>
      <c r="BS26" s="4">
        <v>15</v>
      </c>
      <c r="BT26" s="4">
        <v>0</v>
      </c>
      <c r="BU26" s="4">
        <v>21</v>
      </c>
      <c r="BV26" s="2">
        <v>71.428569999999993</v>
      </c>
      <c r="BW26" s="2">
        <v>7.2655099999999999</v>
      </c>
      <c r="BX26" s="2">
        <v>427.26060000000001</v>
      </c>
      <c r="BY26" s="3">
        <v>0.60313779999999995</v>
      </c>
      <c r="BZ26" s="3">
        <v>0.14116390000000001</v>
      </c>
      <c r="CA26" s="2">
        <v>1.07942</v>
      </c>
      <c r="CB26" s="3">
        <v>0.14116390000000001</v>
      </c>
      <c r="CC26" s="3">
        <v>5.1546250000000002</v>
      </c>
      <c r="CD26" s="3">
        <v>5.3739239999999997</v>
      </c>
      <c r="CE26" s="2">
        <v>4.2544009999999997</v>
      </c>
      <c r="CF26" s="3">
        <v>3122.9650000000001</v>
      </c>
      <c r="CG26" s="3">
        <v>3165.6370000000002</v>
      </c>
      <c r="CH26" s="2">
        <v>1.366401</v>
      </c>
      <c r="CI26" s="3">
        <v>170.7158</v>
      </c>
      <c r="CJ26" s="2">
        <v>1.9237880000000001</v>
      </c>
      <c r="CK26" s="3">
        <v>23231.040000000001</v>
      </c>
      <c r="CL26" s="3">
        <v>23269.57</v>
      </c>
      <c r="CM26" s="2">
        <v>0.16583200000000001</v>
      </c>
      <c r="CN26" s="3">
        <v>144.82089999999999</v>
      </c>
      <c r="CO26" s="3">
        <v>154.90790000000001</v>
      </c>
      <c r="CP26" s="3">
        <v>160.76</v>
      </c>
      <c r="CQ26" s="2">
        <v>11.0199</v>
      </c>
      <c r="CR26" s="2">
        <v>3.7907359999999999</v>
      </c>
      <c r="CS26" s="2">
        <v>1.244545E-2</v>
      </c>
      <c r="CT26" s="2">
        <v>6.9651249999999996</v>
      </c>
      <c r="CU26" s="2">
        <v>89.374080000000006</v>
      </c>
      <c r="CV26" s="3">
        <v>0.13010279999999999</v>
      </c>
      <c r="CW26" s="2" t="e">
        <v>#N/A</v>
      </c>
      <c r="CX26" s="2">
        <v>1.0714440000000001</v>
      </c>
      <c r="CY26" s="2" t="e">
        <v>#N/A</v>
      </c>
      <c r="CZ26" s="2">
        <v>23.19192</v>
      </c>
    </row>
    <row r="27" spans="1:104" ht="15" customHeight="1" x14ac:dyDescent="0.2">
      <c r="A27" s="1">
        <f t="shared" si="0"/>
        <v>21</v>
      </c>
      <c r="B27" s="1" t="s">
        <v>71</v>
      </c>
      <c r="C27" s="1" t="s">
        <v>70</v>
      </c>
      <c r="D27" s="1" t="s">
        <v>3</v>
      </c>
      <c r="E27" s="1" t="s">
        <v>72</v>
      </c>
      <c r="F27" s="1" t="s">
        <v>73</v>
      </c>
      <c r="G27" s="2">
        <v>120333.9</v>
      </c>
      <c r="H27" s="2">
        <v>40.584499999999998</v>
      </c>
      <c r="I27" s="2">
        <v>48836.93</v>
      </c>
      <c r="J27" s="3">
        <v>38.61</v>
      </c>
      <c r="K27" s="3">
        <v>0</v>
      </c>
      <c r="L27" s="2">
        <v>3.1080030000000001</v>
      </c>
      <c r="M27" s="2">
        <v>3.962704</v>
      </c>
      <c r="N27" s="2">
        <v>4.3627560000000001</v>
      </c>
      <c r="O27" s="2">
        <v>4.7267549999999998</v>
      </c>
      <c r="P27" s="2">
        <v>29.09571</v>
      </c>
      <c r="Q27" s="2">
        <v>22.460229999999999</v>
      </c>
      <c r="R27" s="2">
        <v>20.504960000000001</v>
      </c>
      <c r="S27" s="2">
        <v>19.079930000000001</v>
      </c>
      <c r="T27" s="2">
        <v>7.7903580000000003</v>
      </c>
      <c r="U27" s="2">
        <v>11.054550000000001</v>
      </c>
      <c r="V27" s="2">
        <v>10.19279</v>
      </c>
      <c r="W27" s="2">
        <v>9.5568050000000007</v>
      </c>
      <c r="X27" s="2">
        <v>7.0668470000000001</v>
      </c>
      <c r="Y27" s="2">
        <v>6.4673369999999997</v>
      </c>
      <c r="Z27" s="2">
        <v>6.0612240000000002</v>
      </c>
      <c r="AA27" s="2">
        <v>5.7671659999999996</v>
      </c>
      <c r="AB27" s="2">
        <v>21.45</v>
      </c>
      <c r="AC27" s="2">
        <v>15.301410000000001</v>
      </c>
      <c r="AD27" s="2">
        <v>13.529769999999999</v>
      </c>
      <c r="AE27" s="2">
        <v>14.90734</v>
      </c>
      <c r="AF27" s="2">
        <v>5.3657940000000002</v>
      </c>
      <c r="AG27" s="2">
        <v>5.8265640000000003</v>
      </c>
      <c r="AH27" s="2">
        <v>6.2325949999999999</v>
      </c>
      <c r="AI27" s="2">
        <v>4.8430549999999997</v>
      </c>
      <c r="AJ27" s="2">
        <v>5.205597</v>
      </c>
      <c r="AK27" s="2">
        <v>5.5304000000000002</v>
      </c>
      <c r="AL27" s="3">
        <v>1.7184809999999999</v>
      </c>
      <c r="AM27" s="3">
        <v>1.5745389999999999</v>
      </c>
      <c r="AN27" s="2">
        <v>26.55593</v>
      </c>
      <c r="AO27" s="2">
        <v>27.308350000000001</v>
      </c>
      <c r="AP27" s="2">
        <v>27.373919999999998</v>
      </c>
      <c r="AQ27" s="2">
        <v>27.289400000000001</v>
      </c>
      <c r="AR27" s="2">
        <v>-1.1642969999999999</v>
      </c>
      <c r="AS27" s="2">
        <v>-1.193181</v>
      </c>
      <c r="AT27" s="2">
        <v>-1.215883</v>
      </c>
      <c r="AU27" s="2">
        <v>-1.213428</v>
      </c>
      <c r="AV27" s="1" t="s">
        <v>6</v>
      </c>
      <c r="AW27" s="3">
        <v>1.5172410000000001</v>
      </c>
      <c r="AX27" s="3">
        <v>40.5</v>
      </c>
      <c r="AY27" s="2">
        <v>4.8951029999999998</v>
      </c>
      <c r="AZ27" s="2">
        <v>28.794619999999998</v>
      </c>
      <c r="BA27" s="2">
        <v>14.96265</v>
      </c>
      <c r="BB27" s="2">
        <v>51.293100000000003</v>
      </c>
      <c r="BC27" s="2">
        <v>55.372239999999998</v>
      </c>
      <c r="BD27" s="3">
        <v>24.19</v>
      </c>
      <c r="BE27" s="2">
        <v>59.611400000000003</v>
      </c>
      <c r="BF27" s="3">
        <v>39</v>
      </c>
      <c r="BG27" s="2">
        <v>-0.99999899999999997</v>
      </c>
      <c r="BH27" s="2">
        <v>90.393649999999994</v>
      </c>
      <c r="BI27" s="2">
        <v>89.289249999999996</v>
      </c>
      <c r="BJ27" s="2">
        <v>89.529830000000004</v>
      </c>
      <c r="BK27" s="2">
        <v>88.090100000000007</v>
      </c>
      <c r="BL27" s="2">
        <v>27</v>
      </c>
      <c r="BM27" s="2">
        <v>26</v>
      </c>
      <c r="BN27" s="4">
        <v>29</v>
      </c>
      <c r="BO27" s="4">
        <v>1</v>
      </c>
      <c r="BP27" s="4">
        <v>0</v>
      </c>
      <c r="BQ27" s="4">
        <v>26</v>
      </c>
      <c r="BR27" s="2">
        <v>3.7037040000000001</v>
      </c>
      <c r="BS27" s="4">
        <v>17</v>
      </c>
      <c r="BT27" s="4">
        <v>2</v>
      </c>
      <c r="BU27" s="4">
        <v>29</v>
      </c>
      <c r="BV27" s="2">
        <v>58.620690000000003</v>
      </c>
      <c r="BW27" s="2">
        <v>7.96957</v>
      </c>
      <c r="BX27" s="2">
        <v>3116.652</v>
      </c>
      <c r="BY27" s="3">
        <v>3.0229330000000001</v>
      </c>
      <c r="BZ27" s="3">
        <v>9.6992960000000003E-2</v>
      </c>
      <c r="CA27" s="2">
        <v>1.25518</v>
      </c>
      <c r="CB27" s="3">
        <v>9.6992960000000003E-2</v>
      </c>
      <c r="CC27" s="3">
        <v>1.6714910000000001</v>
      </c>
      <c r="CD27" s="3">
        <v>1.7158500000000001</v>
      </c>
      <c r="CE27" s="2">
        <v>2.6538729999999999</v>
      </c>
      <c r="CF27" s="3">
        <v>6601.8980000000001</v>
      </c>
      <c r="CG27" s="3">
        <v>6760.5590000000002</v>
      </c>
      <c r="CH27" s="2">
        <v>2.4032589999999998</v>
      </c>
      <c r="CI27" s="3">
        <v>37.979619999999997</v>
      </c>
      <c r="CJ27" s="2">
        <v>6.6361309999999998</v>
      </c>
      <c r="CK27" s="3">
        <v>36154.93</v>
      </c>
      <c r="CL27" s="3">
        <v>36025.129999999997</v>
      </c>
      <c r="CM27" s="2">
        <v>-0.35900470000000001</v>
      </c>
      <c r="CN27" s="3">
        <v>33.570540000000001</v>
      </c>
      <c r="CO27" s="3">
        <v>35.49353</v>
      </c>
      <c r="CP27" s="3">
        <v>36.926160000000003</v>
      </c>
      <c r="CQ27" s="2">
        <v>15.01155</v>
      </c>
      <c r="CR27" s="2">
        <v>8.7803839999999997</v>
      </c>
      <c r="CS27" s="2">
        <v>4.5600300000000002</v>
      </c>
      <c r="CT27" s="2">
        <v>5.7282089999999997</v>
      </c>
      <c r="CU27" s="2">
        <v>121.79559999999999</v>
      </c>
      <c r="CV27" s="3">
        <v>0.1012147</v>
      </c>
      <c r="CW27" s="2">
        <v>0.54109320000000005</v>
      </c>
      <c r="CX27" s="2">
        <v>-1.296818</v>
      </c>
      <c r="CY27" s="2">
        <v>2.9481459999999999</v>
      </c>
      <c r="CZ27" s="2">
        <v>23.505050000000001</v>
      </c>
    </row>
    <row r="28" spans="1:104" ht="15" customHeight="1" x14ac:dyDescent="0.2">
      <c r="A28" s="1">
        <f t="shared" si="0"/>
        <v>22</v>
      </c>
      <c r="B28" s="1" t="s">
        <v>75</v>
      </c>
      <c r="C28" s="1" t="s">
        <v>74</v>
      </c>
      <c r="D28" s="1" t="s">
        <v>46</v>
      </c>
      <c r="E28" s="1" t="s">
        <v>60</v>
      </c>
      <c r="F28" s="1" t="s">
        <v>69</v>
      </c>
      <c r="G28" s="2">
        <v>110711.8</v>
      </c>
      <c r="H28" s="2">
        <v>74.042699999999996</v>
      </c>
      <c r="I28" s="2">
        <v>81973.97</v>
      </c>
      <c r="J28" s="3">
        <v>140.06</v>
      </c>
      <c r="K28" s="3">
        <v>0</v>
      </c>
      <c r="L28" s="2">
        <v>1.285164</v>
      </c>
      <c r="M28" s="2">
        <v>1.427959</v>
      </c>
      <c r="N28" s="2">
        <v>1.8152060000000001</v>
      </c>
      <c r="O28" s="2">
        <v>2.3204340000000001</v>
      </c>
      <c r="P28" s="2">
        <v>25.93704</v>
      </c>
      <c r="Q28" s="2">
        <v>24.627579999999998</v>
      </c>
      <c r="R28" s="2">
        <v>20.483129999999999</v>
      </c>
      <c r="S28" s="2">
        <v>16.210560000000001</v>
      </c>
      <c r="T28" s="2">
        <v>9.3582070000000002</v>
      </c>
      <c r="U28" s="2">
        <v>11.425459999999999</v>
      </c>
      <c r="V28" s="2">
        <v>9.5804530000000003</v>
      </c>
      <c r="W28" s="2">
        <v>7.656434</v>
      </c>
      <c r="X28" s="2">
        <v>8.5134559999999997</v>
      </c>
      <c r="Y28" s="2">
        <v>6.9317169999999999</v>
      </c>
      <c r="Z28" s="2">
        <v>5.5845289999999999</v>
      </c>
      <c r="AA28" s="2">
        <v>4.5082570000000004</v>
      </c>
      <c r="AB28" s="2">
        <v>16.872810000000001</v>
      </c>
      <c r="AC28" s="2">
        <v>18.6996</v>
      </c>
      <c r="AD28" s="2">
        <v>13.88035</v>
      </c>
      <c r="AE28" s="2">
        <v>11.36408</v>
      </c>
      <c r="AF28" s="2">
        <v>3.0433140000000001</v>
      </c>
      <c r="AG28" s="2">
        <v>5.0917070000000004</v>
      </c>
      <c r="AH28" s="2">
        <v>6.7465919999999997</v>
      </c>
      <c r="AI28" s="2">
        <v>2.7327059999999999</v>
      </c>
      <c r="AJ28" s="2">
        <v>4.4752229999999997</v>
      </c>
      <c r="AK28" s="2">
        <v>5.68858</v>
      </c>
      <c r="AL28" s="3">
        <v>1.0452049999999999</v>
      </c>
      <c r="AM28" s="3">
        <v>0.85848769999999996</v>
      </c>
      <c r="AN28" s="2">
        <v>14.197710000000001</v>
      </c>
      <c r="AO28" s="2">
        <v>13.53302</v>
      </c>
      <c r="AP28" s="2">
        <v>14.200939999999999</v>
      </c>
      <c r="AQ28" s="2">
        <v>15.08278</v>
      </c>
      <c r="AR28" s="2">
        <v>-1.130409</v>
      </c>
      <c r="AS28" s="2">
        <v>-1.2986580000000001</v>
      </c>
      <c r="AT28" s="2">
        <v>-1.3197559999999999</v>
      </c>
      <c r="AU28" s="2">
        <v>-1.4240109999999999</v>
      </c>
      <c r="AV28" s="1" t="s">
        <v>6</v>
      </c>
      <c r="AW28" s="3">
        <v>1.36</v>
      </c>
      <c r="AX28" s="3">
        <v>156.62039999999999</v>
      </c>
      <c r="AY28" s="2">
        <v>11.8238</v>
      </c>
      <c r="AZ28" s="2">
        <v>28.146159999999998</v>
      </c>
      <c r="BA28" s="2">
        <v>24.015830000000001</v>
      </c>
      <c r="BB28" s="2">
        <v>23.946909999999999</v>
      </c>
      <c r="BC28" s="2">
        <v>26.157450000000001</v>
      </c>
      <c r="BD28" s="3">
        <v>108.88</v>
      </c>
      <c r="BE28" s="2">
        <v>28.637029999999999</v>
      </c>
      <c r="BF28" s="3">
        <v>143.97999999999999</v>
      </c>
      <c r="BG28" s="2">
        <v>-2.7225969999999999</v>
      </c>
      <c r="BH28" s="2">
        <v>33.209879999999998</v>
      </c>
      <c r="BI28" s="2">
        <v>36.276739999999997</v>
      </c>
      <c r="BJ28" s="2">
        <v>36.530299999999997</v>
      </c>
      <c r="BK28" s="2">
        <v>36.606949999999998</v>
      </c>
      <c r="BL28" s="2">
        <v>22</v>
      </c>
      <c r="BM28" s="2">
        <v>20</v>
      </c>
      <c r="BN28" s="4">
        <v>25</v>
      </c>
      <c r="BO28" s="4">
        <v>1</v>
      </c>
      <c r="BP28" s="4">
        <v>0</v>
      </c>
      <c r="BQ28" s="4">
        <v>21</v>
      </c>
      <c r="BR28" s="2">
        <v>4.5454549999999996</v>
      </c>
      <c r="BS28" s="4">
        <v>20</v>
      </c>
      <c r="BT28" s="4">
        <v>2</v>
      </c>
      <c r="BU28" s="4">
        <v>25</v>
      </c>
      <c r="BV28" s="2">
        <v>80</v>
      </c>
      <c r="BW28" s="2">
        <v>7.6569599999999998</v>
      </c>
      <c r="BX28" s="2">
        <v>790.45950000000005</v>
      </c>
      <c r="BY28" s="3">
        <v>0.96391369999999998</v>
      </c>
      <c r="BZ28" s="3">
        <v>0.1219435</v>
      </c>
      <c r="CA28" s="2">
        <v>1.19798</v>
      </c>
      <c r="CB28" s="3">
        <v>0.1219435</v>
      </c>
      <c r="CC28" s="3">
        <v>5.6119139999999996</v>
      </c>
      <c r="CD28" s="3">
        <v>5.5797530000000002</v>
      </c>
      <c r="CE28" s="2">
        <v>-0.57308669999999995</v>
      </c>
      <c r="CF28" s="3">
        <v>6083.808</v>
      </c>
      <c r="CG28" s="3">
        <v>5948.5339999999997</v>
      </c>
      <c r="CH28" s="2">
        <v>-2.2235100000000001</v>
      </c>
      <c r="CI28" s="3">
        <v>149.35</v>
      </c>
      <c r="CJ28" s="2">
        <v>4.8680310000000002</v>
      </c>
      <c r="CK28" s="3">
        <v>64122.720000000001</v>
      </c>
      <c r="CL28" s="3">
        <v>64373.56</v>
      </c>
      <c r="CM28" s="2">
        <v>0.39118530000000001</v>
      </c>
      <c r="CN28" s="3">
        <v>128.54</v>
      </c>
      <c r="CO28" s="3">
        <v>130.62469999999999</v>
      </c>
      <c r="CP28" s="3">
        <v>135.40700000000001</v>
      </c>
      <c r="CQ28" s="2">
        <v>8.9621779999999998</v>
      </c>
      <c r="CR28" s="2">
        <v>7.2232130000000003</v>
      </c>
      <c r="CS28" s="2">
        <v>3.4363389999999998</v>
      </c>
      <c r="CT28" s="2">
        <v>1.6218189999999999</v>
      </c>
      <c r="CU28" s="2">
        <v>120.46850000000001</v>
      </c>
      <c r="CV28" s="3">
        <v>0.1088128</v>
      </c>
      <c r="CW28" s="2">
        <v>-13.567069999999999</v>
      </c>
      <c r="CX28" s="2">
        <v>-1.4947090000000001</v>
      </c>
      <c r="CY28" s="2">
        <v>-14.231450000000001</v>
      </c>
      <c r="CZ28" s="2">
        <v>23.686869999999999</v>
      </c>
    </row>
    <row r="29" spans="1:104" ht="15" customHeight="1" x14ac:dyDescent="0.2">
      <c r="A29" s="1">
        <f t="shared" si="0"/>
        <v>23</v>
      </c>
      <c r="B29" s="1" t="s">
        <v>77</v>
      </c>
      <c r="C29" s="1" t="s">
        <v>76</v>
      </c>
      <c r="D29" s="1" t="s">
        <v>46</v>
      </c>
      <c r="E29" s="1" t="s">
        <v>4</v>
      </c>
      <c r="F29" s="1" t="s">
        <v>5</v>
      </c>
      <c r="G29" s="2">
        <v>72153.38</v>
      </c>
      <c r="H29" s="2">
        <v>89.696899999999999</v>
      </c>
      <c r="I29" s="2">
        <v>64719.34</v>
      </c>
      <c r="J29" s="3">
        <v>62.88</v>
      </c>
      <c r="K29" s="3">
        <v>0</v>
      </c>
      <c r="L29" s="2">
        <v>6.2022899999999996</v>
      </c>
      <c r="M29" s="2">
        <v>7.1564880000000004</v>
      </c>
      <c r="N29" s="2">
        <v>7.5019830000000001</v>
      </c>
      <c r="O29" s="2">
        <v>8.381043</v>
      </c>
      <c r="P29" s="2">
        <v>8.0594560000000008</v>
      </c>
      <c r="Q29" s="2">
        <v>7.5942030000000003</v>
      </c>
      <c r="R29" s="2">
        <v>6.646935</v>
      </c>
      <c r="S29" s="2">
        <v>6.0114720000000004</v>
      </c>
      <c r="T29" s="2" t="e">
        <v>#N/A</v>
      </c>
      <c r="U29" s="2" t="e">
        <v>#N/A</v>
      </c>
      <c r="V29" s="2" t="e">
        <v>#N/A</v>
      </c>
      <c r="W29" s="2" t="e">
        <v>#N/A</v>
      </c>
      <c r="X29" s="2">
        <v>0.7060012</v>
      </c>
      <c r="Y29" s="2">
        <v>0.66641010000000001</v>
      </c>
      <c r="Z29" s="2">
        <v>0.6354476</v>
      </c>
      <c r="AA29" s="2">
        <v>0.59780390000000005</v>
      </c>
      <c r="AB29" s="2" t="e">
        <v>#N/A</v>
      </c>
      <c r="AC29" s="2" t="e">
        <v>#N/A</v>
      </c>
      <c r="AD29" s="2" t="e">
        <v>#N/A</v>
      </c>
      <c r="AE29" s="2" t="e">
        <v>#N/A</v>
      </c>
      <c r="AF29" s="2" t="e">
        <v>#N/A</v>
      </c>
      <c r="AG29" s="2" t="e">
        <v>#N/A</v>
      </c>
      <c r="AH29" s="2" t="e">
        <v>#N/A</v>
      </c>
      <c r="AI29" s="2" t="e">
        <v>#N/A</v>
      </c>
      <c r="AJ29" s="2" t="e">
        <v>#N/A</v>
      </c>
      <c r="AK29" s="2" t="e">
        <v>#N/A</v>
      </c>
      <c r="AL29" s="3">
        <v>0.57845060000000004</v>
      </c>
      <c r="AM29" s="3">
        <v>0.5199182</v>
      </c>
      <c r="AN29" s="2" t="e">
        <v>#N/A</v>
      </c>
      <c r="AO29" s="2" t="e">
        <v>#N/A</v>
      </c>
      <c r="AP29" s="2" t="e">
        <v>#N/A</v>
      </c>
      <c r="AQ29" s="2" t="e">
        <v>#N/A</v>
      </c>
      <c r="AR29" s="2" t="e">
        <v>#N/A</v>
      </c>
      <c r="AS29" s="2" t="e">
        <v>#N/A</v>
      </c>
      <c r="AT29" s="2" t="e">
        <v>#N/A</v>
      </c>
      <c r="AU29" s="2" t="e">
        <v>#N/A</v>
      </c>
      <c r="AV29" s="1" t="s">
        <v>6</v>
      </c>
      <c r="AW29" s="3">
        <v>1.295455</v>
      </c>
      <c r="AX29" s="3">
        <v>76</v>
      </c>
      <c r="AY29" s="2">
        <v>20.86514</v>
      </c>
      <c r="AZ29" s="2">
        <v>8.7752479999999995</v>
      </c>
      <c r="BA29" s="2">
        <v>12.89902</v>
      </c>
      <c r="BB29" s="2">
        <v>17.510750000000002</v>
      </c>
      <c r="BC29" s="2">
        <v>18.084510000000002</v>
      </c>
      <c r="BD29" s="3">
        <v>47.02</v>
      </c>
      <c r="BE29" s="2">
        <v>33.730330000000002</v>
      </c>
      <c r="BF29" s="3">
        <v>67.02</v>
      </c>
      <c r="BG29" s="2">
        <v>-6.1772530000000003</v>
      </c>
      <c r="BH29" s="2">
        <v>49.687840000000001</v>
      </c>
      <c r="BI29" s="2">
        <v>53.759250000000002</v>
      </c>
      <c r="BJ29" s="2">
        <v>50.500030000000002</v>
      </c>
      <c r="BK29" s="2">
        <v>50.596020000000003</v>
      </c>
      <c r="BL29" s="2">
        <v>21</v>
      </c>
      <c r="BM29" s="2">
        <v>10</v>
      </c>
      <c r="BN29" s="4">
        <v>22</v>
      </c>
      <c r="BO29" s="4">
        <v>0</v>
      </c>
      <c r="BP29" s="4">
        <v>0</v>
      </c>
      <c r="BQ29" s="4">
        <v>22</v>
      </c>
      <c r="BR29" s="2">
        <v>0</v>
      </c>
      <c r="BS29" s="4">
        <v>16</v>
      </c>
      <c r="BT29" s="4">
        <v>0</v>
      </c>
      <c r="BU29" s="4">
        <v>22</v>
      </c>
      <c r="BV29" s="2">
        <v>72.727270000000004</v>
      </c>
      <c r="BW29" s="2">
        <v>8.71678</v>
      </c>
      <c r="BX29" s="2">
        <v>1147.4770000000001</v>
      </c>
      <c r="BY29" s="3">
        <v>3.0942270000000001</v>
      </c>
      <c r="BZ29" s="3">
        <v>0.26965470000000002</v>
      </c>
      <c r="CA29" s="2">
        <v>1.3480099999999999</v>
      </c>
      <c r="CB29" s="3">
        <v>0.26965470000000002</v>
      </c>
      <c r="CC29" s="3">
        <v>8.5981030000000001</v>
      </c>
      <c r="CD29" s="3">
        <v>8.4273220000000002</v>
      </c>
      <c r="CE29" s="2">
        <v>-1.986253</v>
      </c>
      <c r="CF29" s="3">
        <v>16091.09</v>
      </c>
      <c r="CG29" s="3">
        <v>16315.71</v>
      </c>
      <c r="CH29" s="2">
        <v>1.3959410000000001</v>
      </c>
      <c r="CI29" s="3">
        <v>77.330449999999999</v>
      </c>
      <c r="CJ29" s="2">
        <v>-1.7204759999999999</v>
      </c>
      <c r="CK29" s="3">
        <v>47211.13</v>
      </c>
      <c r="CL29" s="3">
        <v>46708.93</v>
      </c>
      <c r="CM29" s="2">
        <v>-1.0637220000000001</v>
      </c>
      <c r="CN29" s="3">
        <v>57.592559999999999</v>
      </c>
      <c r="CO29" s="3">
        <v>57.459209999999999</v>
      </c>
      <c r="CP29" s="3">
        <v>58.034230000000001</v>
      </c>
      <c r="CQ29" s="2">
        <v>9.1807599999999994</v>
      </c>
      <c r="CR29" s="2">
        <v>9.4341519999999992</v>
      </c>
      <c r="CS29" s="2">
        <v>8.3498479999999997</v>
      </c>
      <c r="CT29" s="2">
        <v>-0.2315402</v>
      </c>
      <c r="CU29" s="2">
        <v>155.11080000000001</v>
      </c>
      <c r="CV29" s="3">
        <v>0.21497379999999999</v>
      </c>
      <c r="CW29" s="2">
        <v>2.2403240000000002</v>
      </c>
      <c r="CX29" s="2">
        <v>0.2851302</v>
      </c>
      <c r="CY29" s="2">
        <v>11.46157</v>
      </c>
      <c r="CZ29" s="2">
        <v>23.727270000000001</v>
      </c>
    </row>
    <row r="30" spans="1:104" ht="15" customHeight="1" x14ac:dyDescent="0.2">
      <c r="A30" s="1">
        <f t="shared" si="0"/>
        <v>24</v>
      </c>
      <c r="B30" s="1" t="s">
        <v>79</v>
      </c>
      <c r="C30" s="1" t="s">
        <v>78</v>
      </c>
      <c r="D30" s="1" t="s">
        <v>46</v>
      </c>
      <c r="E30" s="1" t="s">
        <v>4</v>
      </c>
      <c r="F30" s="1" t="s">
        <v>43</v>
      </c>
      <c r="G30" s="2">
        <v>66388.02</v>
      </c>
      <c r="H30" s="2">
        <v>91.798400000000001</v>
      </c>
      <c r="I30" s="2">
        <v>60943.14</v>
      </c>
      <c r="J30" s="3">
        <v>29.254999999999999</v>
      </c>
      <c r="K30" s="3">
        <v>0</v>
      </c>
      <c r="L30" s="2">
        <v>5.8109729999999997</v>
      </c>
      <c r="M30" s="2">
        <v>6.3920700000000004</v>
      </c>
      <c r="N30" s="2">
        <v>6.9040160000000004</v>
      </c>
      <c r="O30" s="2">
        <v>7.3833539999999998</v>
      </c>
      <c r="P30" s="2">
        <v>9.4983769999999996</v>
      </c>
      <c r="Q30" s="2">
        <v>8.6922960000000007</v>
      </c>
      <c r="R30" s="2">
        <v>8.1151180000000007</v>
      </c>
      <c r="S30" s="2">
        <v>7.6237779999999997</v>
      </c>
      <c r="T30" s="2">
        <v>8.7060910000000007</v>
      </c>
      <c r="U30" s="2">
        <v>8.0269650000000006</v>
      </c>
      <c r="V30" s="2">
        <v>7.5726250000000004</v>
      </c>
      <c r="W30" s="2">
        <v>7.3847269999999998</v>
      </c>
      <c r="X30" s="2">
        <v>1.482016</v>
      </c>
      <c r="Y30" s="2">
        <v>1.398501</v>
      </c>
      <c r="Z30" s="2">
        <v>1.302894</v>
      </c>
      <c r="AA30" s="2">
        <v>1.227654</v>
      </c>
      <c r="AB30" s="2">
        <v>10.83311</v>
      </c>
      <c r="AC30" s="2">
        <v>9.7515239999999999</v>
      </c>
      <c r="AD30" s="2">
        <v>8.6392600000000002</v>
      </c>
      <c r="AE30" s="2" t="e">
        <v>#N/A</v>
      </c>
      <c r="AF30" s="2">
        <v>5.7807009999999996</v>
      </c>
      <c r="AG30" s="2">
        <v>6.3754119999999999</v>
      </c>
      <c r="AH30" s="2">
        <v>6.7121719999999998</v>
      </c>
      <c r="AI30" s="2">
        <v>6.9279070000000003</v>
      </c>
      <c r="AJ30" s="2">
        <v>7.6406400000000003</v>
      </c>
      <c r="AK30" s="2">
        <v>8.0442309999999999</v>
      </c>
      <c r="AL30" s="3">
        <v>0.39956900000000001</v>
      </c>
      <c r="AM30" s="3">
        <v>0.36877140000000003</v>
      </c>
      <c r="AN30" s="2">
        <v>8.7420010000000001</v>
      </c>
      <c r="AO30" s="2">
        <v>9.6809809999999992</v>
      </c>
      <c r="AP30" s="2">
        <v>9.8792329999999993</v>
      </c>
      <c r="AQ30" s="2">
        <v>9.8122039999999995</v>
      </c>
      <c r="AR30" s="2">
        <v>1.8589469999999999</v>
      </c>
      <c r="AS30" s="2">
        <v>1.3292010000000001</v>
      </c>
      <c r="AT30" s="2">
        <v>1.2539659999999999</v>
      </c>
      <c r="AU30" s="2">
        <v>1.2228520000000001</v>
      </c>
      <c r="AV30" s="1" t="s">
        <v>6</v>
      </c>
      <c r="AW30" s="3">
        <v>1.2</v>
      </c>
      <c r="AX30" s="3">
        <v>34</v>
      </c>
      <c r="AY30" s="2">
        <v>16.219449999999998</v>
      </c>
      <c r="AZ30" s="2">
        <v>16.08897</v>
      </c>
      <c r="BA30" s="2">
        <v>21.932300000000001</v>
      </c>
      <c r="BB30" s="2">
        <v>8.0317500000000006</v>
      </c>
      <c r="BC30" s="2">
        <v>12.281700000000001</v>
      </c>
      <c r="BD30" s="3">
        <v>24.6</v>
      </c>
      <c r="BE30" s="2">
        <v>18.92276</v>
      </c>
      <c r="BF30" s="3">
        <v>30.34</v>
      </c>
      <c r="BG30" s="2">
        <v>-3.5761419999999999</v>
      </c>
      <c r="BH30" s="2">
        <v>54.68535</v>
      </c>
      <c r="BI30" s="2">
        <v>55.708489999999998</v>
      </c>
      <c r="BJ30" s="2">
        <v>55.805680000000002</v>
      </c>
      <c r="BK30" s="2">
        <v>55.544449999999998</v>
      </c>
      <c r="BL30" s="2">
        <v>17</v>
      </c>
      <c r="BM30" s="2">
        <v>6</v>
      </c>
      <c r="BN30" s="4">
        <v>20</v>
      </c>
      <c r="BO30" s="4">
        <v>0</v>
      </c>
      <c r="BP30" s="4">
        <v>0</v>
      </c>
      <c r="BQ30" s="4">
        <v>19</v>
      </c>
      <c r="BR30" s="2">
        <v>0</v>
      </c>
      <c r="BS30" s="4">
        <v>17</v>
      </c>
      <c r="BT30" s="4">
        <v>0</v>
      </c>
      <c r="BU30" s="4">
        <v>20</v>
      </c>
      <c r="BV30" s="2">
        <v>85</v>
      </c>
      <c r="BW30" s="2">
        <v>6.5772300000000001</v>
      </c>
      <c r="BX30" s="2">
        <v>2269.288</v>
      </c>
      <c r="BY30" s="3">
        <v>3.8175409999999999</v>
      </c>
      <c r="BZ30" s="3">
        <v>0.1682264</v>
      </c>
      <c r="CA30" s="2">
        <v>0.97453199999999995</v>
      </c>
      <c r="CB30" s="3">
        <v>0.1682264</v>
      </c>
      <c r="CC30" s="3">
        <v>3.4051819999999999</v>
      </c>
      <c r="CD30" s="3">
        <v>3.3382900000000002</v>
      </c>
      <c r="CE30" s="2">
        <v>-1.9644200000000001</v>
      </c>
      <c r="CF30" s="3">
        <v>8879.4830000000002</v>
      </c>
      <c r="CG30" s="3">
        <v>8598.8610000000008</v>
      </c>
      <c r="CH30" s="2">
        <v>-3.1603400000000001</v>
      </c>
      <c r="CI30" s="3">
        <v>33.664070000000002</v>
      </c>
      <c r="CJ30" s="2">
        <v>0.99787709999999996</v>
      </c>
      <c r="CK30" s="3">
        <v>65596.639999999999</v>
      </c>
      <c r="CL30" s="3">
        <v>102319.8</v>
      </c>
      <c r="CM30" s="2">
        <v>55.983220000000003</v>
      </c>
      <c r="CN30" s="3">
        <v>27.815550000000002</v>
      </c>
      <c r="CO30" s="3">
        <v>28.310690000000001</v>
      </c>
      <c r="CP30" s="3">
        <v>28.732890000000001</v>
      </c>
      <c r="CQ30" s="2">
        <v>5.1749710000000002</v>
      </c>
      <c r="CR30" s="2">
        <v>3.3355359999999998</v>
      </c>
      <c r="CS30" s="2">
        <v>1.8171189999999999</v>
      </c>
      <c r="CT30" s="2">
        <v>1.780057</v>
      </c>
      <c r="CU30" s="2">
        <v>88.09599</v>
      </c>
      <c r="CV30" s="3">
        <v>0.1326986</v>
      </c>
      <c r="CW30" s="2" t="e">
        <v>#N/A</v>
      </c>
      <c r="CX30" s="2" t="e">
        <v>#N/A</v>
      </c>
      <c r="CY30" s="2" t="e">
        <v>#N/A</v>
      </c>
      <c r="CZ30" s="2">
        <v>23.959599999999998</v>
      </c>
    </row>
    <row r="31" spans="1:104" ht="15" customHeight="1" x14ac:dyDescent="0.2">
      <c r="A31" s="1">
        <f t="shared" si="0"/>
        <v>25</v>
      </c>
      <c r="B31" s="1" t="s">
        <v>81</v>
      </c>
      <c r="C31" s="1" t="s">
        <v>80</v>
      </c>
      <c r="D31" s="1" t="s">
        <v>20</v>
      </c>
      <c r="E31" s="1" t="s">
        <v>82</v>
      </c>
      <c r="F31" s="1" t="s">
        <v>83</v>
      </c>
      <c r="G31" s="2">
        <v>108405.6</v>
      </c>
      <c r="H31" s="2">
        <v>64.753600000000006</v>
      </c>
      <c r="I31" s="2">
        <v>70196.53</v>
      </c>
      <c r="J31" s="3">
        <v>21.74</v>
      </c>
      <c r="K31" s="3">
        <v>0</v>
      </c>
      <c r="L31" s="2">
        <v>3.2198709999999999</v>
      </c>
      <c r="M31" s="2">
        <v>3.541858</v>
      </c>
      <c r="N31" s="2">
        <v>3.9558420000000001</v>
      </c>
      <c r="O31" s="2">
        <v>4.4618219999999997</v>
      </c>
      <c r="P31" s="2">
        <v>11.87978</v>
      </c>
      <c r="Q31" s="2">
        <v>13.09639</v>
      </c>
      <c r="R31" s="2">
        <v>11.62567</v>
      </c>
      <c r="S31" s="2">
        <v>10.493869999999999</v>
      </c>
      <c r="T31" s="2">
        <v>5.8536260000000002</v>
      </c>
      <c r="U31" s="2">
        <v>6.0392029999999997</v>
      </c>
      <c r="V31" s="2">
        <v>5.6446909999999999</v>
      </c>
      <c r="W31" s="2">
        <v>5.2911650000000003</v>
      </c>
      <c r="X31" s="2">
        <v>2.2290930000000002</v>
      </c>
      <c r="Y31" s="2">
        <v>1.878997</v>
      </c>
      <c r="Z31" s="2">
        <v>1.796694</v>
      </c>
      <c r="AA31" s="2">
        <v>1.8011600000000001</v>
      </c>
      <c r="AB31" s="2">
        <v>3.470653</v>
      </c>
      <c r="AC31" s="2">
        <v>3.3470019999999998</v>
      </c>
      <c r="AD31" s="2">
        <v>3.1280579999999998</v>
      </c>
      <c r="AE31" s="2">
        <v>3.081026</v>
      </c>
      <c r="AF31" s="2">
        <v>7.3383710000000004</v>
      </c>
      <c r="AG31" s="2">
        <v>7.775067</v>
      </c>
      <c r="AH31" s="2">
        <v>8.5967459999999996</v>
      </c>
      <c r="AI31" s="2">
        <v>16.672529999999998</v>
      </c>
      <c r="AJ31" s="2">
        <v>17.58201</v>
      </c>
      <c r="AK31" s="2">
        <v>19.145849999999999</v>
      </c>
      <c r="AL31" s="3">
        <v>2.000963</v>
      </c>
      <c r="AM31" s="3">
        <v>1.807412</v>
      </c>
      <c r="AN31" s="2">
        <v>35.142859999999999</v>
      </c>
      <c r="AO31" s="2">
        <v>36.713090000000001</v>
      </c>
      <c r="AP31" s="2">
        <v>38.104430000000001</v>
      </c>
      <c r="AQ31" s="2">
        <v>39.049419999999998</v>
      </c>
      <c r="AR31" s="2">
        <v>3.5422060000000002</v>
      </c>
      <c r="AS31" s="2">
        <v>3.3810630000000002</v>
      </c>
      <c r="AT31" s="2">
        <v>3.1485110000000001</v>
      </c>
      <c r="AU31" s="2">
        <v>2.9153609999999999</v>
      </c>
      <c r="AV31" s="1" t="s">
        <v>6</v>
      </c>
      <c r="AW31" s="3">
        <v>1.142857</v>
      </c>
      <c r="AX31" s="3">
        <v>26.8</v>
      </c>
      <c r="AY31" s="2">
        <v>23.275069999999999</v>
      </c>
      <c r="AZ31" s="2">
        <v>14.34745</v>
      </c>
      <c r="BA31" s="2">
        <v>6.5443699999999998</v>
      </c>
      <c r="BB31" s="2">
        <v>13.430020000000001</v>
      </c>
      <c r="BC31" s="2">
        <v>16.643419999999999</v>
      </c>
      <c r="BD31" s="3">
        <v>18.501999999999999</v>
      </c>
      <c r="BE31" s="2">
        <v>17.500800000000002</v>
      </c>
      <c r="BF31" s="3">
        <v>23.125</v>
      </c>
      <c r="BG31" s="2">
        <v>-5.9891880000000004</v>
      </c>
      <c r="BH31" s="2">
        <v>38.209330000000001</v>
      </c>
      <c r="BI31" s="2">
        <v>46.466839999999998</v>
      </c>
      <c r="BJ31" s="2">
        <v>48.198169999999998</v>
      </c>
      <c r="BK31" s="2">
        <v>48.699579999999997</v>
      </c>
      <c r="BL31" s="2">
        <v>15</v>
      </c>
      <c r="BM31" s="2">
        <v>11</v>
      </c>
      <c r="BN31" s="4">
        <v>21</v>
      </c>
      <c r="BO31" s="4">
        <v>0</v>
      </c>
      <c r="BP31" s="4">
        <v>0</v>
      </c>
      <c r="BQ31" s="4">
        <v>21</v>
      </c>
      <c r="BR31" s="2">
        <v>0</v>
      </c>
      <c r="BS31" s="4">
        <v>19</v>
      </c>
      <c r="BT31" s="4">
        <v>0</v>
      </c>
      <c r="BU31" s="4">
        <v>21</v>
      </c>
      <c r="BV31" s="2">
        <v>90.476190000000003</v>
      </c>
      <c r="BW31" s="2">
        <v>5.17692</v>
      </c>
      <c r="BX31" s="2">
        <v>4986.4579999999996</v>
      </c>
      <c r="BY31" s="3">
        <v>6.6907370000000004</v>
      </c>
      <c r="BZ31" s="3">
        <v>0.13417809999999999</v>
      </c>
      <c r="CA31" s="2">
        <v>0.56568499999999999</v>
      </c>
      <c r="CB31" s="3">
        <v>0.13417809999999999</v>
      </c>
      <c r="CC31" s="3">
        <v>1.7164969999999999</v>
      </c>
      <c r="CD31" s="3">
        <v>1.6601699999999999</v>
      </c>
      <c r="CE31" s="2">
        <v>-3.2814739999999998</v>
      </c>
      <c r="CF31" s="3">
        <v>22539.599999999999</v>
      </c>
      <c r="CG31" s="3">
        <v>22259.89</v>
      </c>
      <c r="CH31" s="2">
        <v>-1.240969</v>
      </c>
      <c r="CI31" s="3">
        <v>26.324999999999999</v>
      </c>
      <c r="CJ31" s="2">
        <v>1.8043640000000001</v>
      </c>
      <c r="CK31" s="3">
        <v>111003.8</v>
      </c>
      <c r="CL31" s="3">
        <v>111124.3</v>
      </c>
      <c r="CM31" s="2">
        <v>0.108552</v>
      </c>
      <c r="CN31" s="3">
        <v>20.715150000000001</v>
      </c>
      <c r="CO31" s="3">
        <v>21.289349999999999</v>
      </c>
      <c r="CP31" s="3">
        <v>21.994810000000001</v>
      </c>
      <c r="CQ31" s="2">
        <v>4.947317</v>
      </c>
      <c r="CR31" s="2">
        <v>2.1167639999999999</v>
      </c>
      <c r="CS31" s="2">
        <v>-1.1584939999999999</v>
      </c>
      <c r="CT31" s="2">
        <v>2.7718780000000001</v>
      </c>
      <c r="CU31" s="2">
        <v>129.6386</v>
      </c>
      <c r="CV31" s="3">
        <v>0.1195866</v>
      </c>
      <c r="CW31" s="2">
        <v>-1.3432329999999999</v>
      </c>
      <c r="CX31" s="2">
        <v>-6.4168649999999994E-2</v>
      </c>
      <c r="CY31" s="2">
        <v>3.6581640000000002</v>
      </c>
      <c r="CZ31" s="2">
        <v>24.464649999999999</v>
      </c>
    </row>
    <row r="32" spans="1:104" ht="15" customHeight="1" x14ac:dyDescent="0.2">
      <c r="A32" s="1">
        <f t="shared" si="0"/>
        <v>26</v>
      </c>
      <c r="B32" s="1" t="s">
        <v>85</v>
      </c>
      <c r="C32" s="1" t="s">
        <v>84</v>
      </c>
      <c r="D32" s="1" t="s">
        <v>20</v>
      </c>
      <c r="E32" s="1" t="s">
        <v>86</v>
      </c>
      <c r="F32" s="1" t="s">
        <v>87</v>
      </c>
      <c r="G32" s="2">
        <v>35532</v>
      </c>
      <c r="H32" s="2">
        <v>88.214100000000002</v>
      </c>
      <c r="I32" s="2">
        <v>31344.23</v>
      </c>
      <c r="J32" s="3">
        <v>197.4</v>
      </c>
      <c r="K32" s="3">
        <v>0</v>
      </c>
      <c r="L32" s="2">
        <v>0.35460989999999998</v>
      </c>
      <c r="M32" s="2">
        <v>0.35460989999999998</v>
      </c>
      <c r="N32" s="2">
        <v>0.84599800000000003</v>
      </c>
      <c r="O32" s="2">
        <v>1.5724359999999999</v>
      </c>
      <c r="P32" s="2">
        <v>157.91999999999999</v>
      </c>
      <c r="Q32" s="2" t="e">
        <v>#N/A</v>
      </c>
      <c r="R32" s="2">
        <v>44.76191</v>
      </c>
      <c r="S32" s="2">
        <v>24.83286</v>
      </c>
      <c r="T32" s="2">
        <v>13.32179</v>
      </c>
      <c r="U32" s="2">
        <v>26.625260000000001</v>
      </c>
      <c r="V32" s="2">
        <v>15.28664</v>
      </c>
      <c r="W32" s="2">
        <v>11.13353</v>
      </c>
      <c r="X32" s="2">
        <v>7.246696</v>
      </c>
      <c r="Y32" s="2">
        <v>7.1991240000000003</v>
      </c>
      <c r="Z32" s="2">
        <v>6.1919700000000004</v>
      </c>
      <c r="AA32" s="2">
        <v>5.2153239999999998</v>
      </c>
      <c r="AB32" s="2" t="e">
        <v>#N/A</v>
      </c>
      <c r="AC32" s="2">
        <v>15.31358</v>
      </c>
      <c r="AD32" s="2">
        <v>15.543369999999999</v>
      </c>
      <c r="AE32" s="2">
        <v>12.97791</v>
      </c>
      <c r="AF32" s="2">
        <v>3.3785120000000002</v>
      </c>
      <c r="AG32" s="2">
        <v>2.9470779999999999</v>
      </c>
      <c r="AH32" s="2">
        <v>4.0976379999999999</v>
      </c>
      <c r="AI32" s="2">
        <v>3.5865550000000002</v>
      </c>
      <c r="AJ32" s="2">
        <v>3.119027</v>
      </c>
      <c r="AK32" s="2">
        <v>4.2999359999999998</v>
      </c>
      <c r="AL32" s="3" t="e">
        <v>#N/A</v>
      </c>
      <c r="AM32" s="3">
        <v>0.57018290000000005</v>
      </c>
      <c r="AN32" s="2">
        <v>8.5424900000000008</v>
      </c>
      <c r="AO32" s="2">
        <v>6.544556</v>
      </c>
      <c r="AP32" s="2">
        <v>10.49855</v>
      </c>
      <c r="AQ32" s="2">
        <v>13.082800000000001</v>
      </c>
      <c r="AR32" s="2">
        <v>1.3910560000000001</v>
      </c>
      <c r="AS32" s="2">
        <v>1.5444340000000001</v>
      </c>
      <c r="AT32" s="2">
        <v>0.84273620000000005</v>
      </c>
      <c r="AU32" s="2">
        <v>0.52379549999999997</v>
      </c>
      <c r="AV32" s="1" t="s">
        <v>88</v>
      </c>
      <c r="AW32" s="3">
        <v>1.78125</v>
      </c>
      <c r="AX32" s="3">
        <v>202</v>
      </c>
      <c r="AY32" s="2">
        <v>2.3302909999999999</v>
      </c>
      <c r="AZ32" s="2">
        <v>-1.0229760000000001</v>
      </c>
      <c r="BA32" s="2">
        <v>80.599999999999994</v>
      </c>
      <c r="BB32" s="2">
        <v>59.21922</v>
      </c>
      <c r="BC32" s="2">
        <v>54.872109999999999</v>
      </c>
      <c r="BD32" s="3">
        <v>116.66</v>
      </c>
      <c r="BE32" s="2">
        <v>69.20966</v>
      </c>
      <c r="BF32" s="3">
        <v>198.8</v>
      </c>
      <c r="BG32" s="2">
        <v>-0.70422890000000005</v>
      </c>
      <c r="BH32" s="2">
        <v>63.858759999999997</v>
      </c>
      <c r="BI32" s="2" t="e">
        <v>#N/A</v>
      </c>
      <c r="BJ32" s="2">
        <v>37.203879999999998</v>
      </c>
      <c r="BK32" s="2">
        <v>36.953879999999998</v>
      </c>
      <c r="BL32" s="2">
        <v>28</v>
      </c>
      <c r="BM32" s="2">
        <v>27</v>
      </c>
      <c r="BN32" s="4">
        <v>32</v>
      </c>
      <c r="BO32" s="4">
        <v>0</v>
      </c>
      <c r="BP32" s="4">
        <v>0</v>
      </c>
      <c r="BQ32" s="4">
        <v>31</v>
      </c>
      <c r="BR32" s="2">
        <v>0</v>
      </c>
      <c r="BS32" s="4">
        <v>12</v>
      </c>
      <c r="BT32" s="4">
        <v>5</v>
      </c>
      <c r="BU32" s="4">
        <v>32</v>
      </c>
      <c r="BV32" s="2">
        <v>37.5</v>
      </c>
      <c r="BW32" s="2">
        <v>10.455</v>
      </c>
      <c r="BX32" s="2">
        <v>180</v>
      </c>
      <c r="BY32" s="3">
        <v>0.52286619999999995</v>
      </c>
      <c r="BZ32" s="3">
        <v>0.29048119999999999</v>
      </c>
      <c r="CA32" s="2">
        <v>1.1266499999999999</v>
      </c>
      <c r="CB32" s="3">
        <v>0.29048119999999999</v>
      </c>
      <c r="CC32" s="3">
        <v>-0.3463637</v>
      </c>
      <c r="CD32" s="3">
        <v>-0.25532539999999998</v>
      </c>
      <c r="CE32" s="2">
        <v>-26.284020000000002</v>
      </c>
      <c r="CF32" s="3">
        <v>131.85409999999999</v>
      </c>
      <c r="CG32" s="3">
        <v>283.1968</v>
      </c>
      <c r="CH32" s="2">
        <v>114.7804</v>
      </c>
      <c r="CI32" s="3">
        <v>185.44640000000001</v>
      </c>
      <c r="CJ32" s="2">
        <v>8.92638</v>
      </c>
      <c r="CK32" s="3">
        <v>21640.82</v>
      </c>
      <c r="CL32" s="3">
        <v>21623.84</v>
      </c>
      <c r="CM32" s="2">
        <v>-7.848144E-2</v>
      </c>
      <c r="CN32" s="3">
        <v>169.71209999999999</v>
      </c>
      <c r="CO32" s="3">
        <v>177.9691</v>
      </c>
      <c r="CP32" s="3">
        <v>186.72149999999999</v>
      </c>
      <c r="CQ32" s="2">
        <v>16.314599999999999</v>
      </c>
      <c r="CR32" s="2">
        <v>10.918150000000001</v>
      </c>
      <c r="CS32" s="2">
        <v>5.7189230000000002</v>
      </c>
      <c r="CT32" s="2">
        <v>4.8652410000000001</v>
      </c>
      <c r="CU32" s="2">
        <v>89.696269999999998</v>
      </c>
      <c r="CV32" s="3">
        <v>0.252438</v>
      </c>
      <c r="CW32" s="2">
        <v>28.858149999999998</v>
      </c>
      <c r="CX32" s="2">
        <v>1.4758739999999999</v>
      </c>
      <c r="CY32" s="2">
        <v>-2.8750310000000001E-2</v>
      </c>
      <c r="CZ32" s="2">
        <v>24.52525</v>
      </c>
    </row>
    <row r="33" spans="1:104" ht="15" customHeight="1" x14ac:dyDescent="0.2">
      <c r="A33" s="1">
        <f t="shared" si="0"/>
        <v>27</v>
      </c>
      <c r="B33" s="1" t="s">
        <v>90</v>
      </c>
      <c r="C33" s="1" t="s">
        <v>89</v>
      </c>
      <c r="D33" s="1" t="s">
        <v>46</v>
      </c>
      <c r="E33" s="1" t="s">
        <v>21</v>
      </c>
      <c r="F33" s="1" t="s">
        <v>91</v>
      </c>
      <c r="G33" s="2">
        <v>102537.60000000001</v>
      </c>
      <c r="H33" s="2">
        <v>93.638499999999993</v>
      </c>
      <c r="I33" s="2">
        <v>96014.69</v>
      </c>
      <c r="J33" s="3">
        <v>179</v>
      </c>
      <c r="K33" s="3">
        <v>0</v>
      </c>
      <c r="L33" s="2">
        <v>1.7597769999999999</v>
      </c>
      <c r="M33" s="2">
        <v>1.9385479999999999</v>
      </c>
      <c r="N33" s="2">
        <v>2.1284920000000001</v>
      </c>
      <c r="O33" s="2">
        <v>2.3415219999999999</v>
      </c>
      <c r="P33" s="2">
        <v>25.175809999999998</v>
      </c>
      <c r="Q33" s="2">
        <v>22.710709999999999</v>
      </c>
      <c r="R33" s="2">
        <v>20.93975</v>
      </c>
      <c r="S33" s="2">
        <v>18.792259999999999</v>
      </c>
      <c r="T33" s="2">
        <v>12.192030000000001</v>
      </c>
      <c r="U33" s="2">
        <v>15.094139999999999</v>
      </c>
      <c r="V33" s="2">
        <v>14.021319999999999</v>
      </c>
      <c r="W33" s="2">
        <v>12.55247</v>
      </c>
      <c r="X33" s="2">
        <v>3.9307059999999998</v>
      </c>
      <c r="Y33" s="2">
        <v>3.6964739999999998</v>
      </c>
      <c r="Z33" s="2">
        <v>3.4060009999999998</v>
      </c>
      <c r="AA33" s="2">
        <v>3.1192069999999998</v>
      </c>
      <c r="AB33" s="2">
        <v>22.759060000000002</v>
      </c>
      <c r="AC33" s="2">
        <v>19.638359999999999</v>
      </c>
      <c r="AD33" s="2">
        <v>16.949339999999999</v>
      </c>
      <c r="AE33" s="2">
        <v>15.384679999999999</v>
      </c>
      <c r="AF33" s="2">
        <v>3.4798640000000001</v>
      </c>
      <c r="AG33" s="2">
        <v>4.0850580000000001</v>
      </c>
      <c r="AH33" s="2">
        <v>4.6636860000000002</v>
      </c>
      <c r="AI33" s="2">
        <v>3.7920400000000001</v>
      </c>
      <c r="AJ33" s="2">
        <v>4.3734000000000002</v>
      </c>
      <c r="AK33" s="2">
        <v>4.8865049999999997</v>
      </c>
      <c r="AL33" s="3">
        <v>2.8638780000000001</v>
      </c>
      <c r="AM33" s="3">
        <v>2.619062</v>
      </c>
      <c r="AN33" s="2">
        <v>19.511209999999998</v>
      </c>
      <c r="AO33" s="2">
        <v>20.565149999999999</v>
      </c>
      <c r="AP33" s="2">
        <v>20.716670000000001</v>
      </c>
      <c r="AQ33" s="2">
        <v>21.28978</v>
      </c>
      <c r="AR33" s="2">
        <v>0.99652830000000003</v>
      </c>
      <c r="AS33" s="2">
        <v>1.2426109999999999</v>
      </c>
      <c r="AT33" s="2">
        <v>0.92443690000000001</v>
      </c>
      <c r="AU33" s="2">
        <v>0.57237990000000005</v>
      </c>
      <c r="AV33" s="1" t="s">
        <v>92</v>
      </c>
      <c r="AW33" s="3">
        <v>1.5</v>
      </c>
      <c r="AX33" s="3">
        <v>182</v>
      </c>
      <c r="AY33" s="2">
        <v>1.675975</v>
      </c>
      <c r="AZ33" s="2">
        <v>16.276350000000001</v>
      </c>
      <c r="BA33" s="2">
        <v>10.1</v>
      </c>
      <c r="BB33" s="2">
        <v>28.31541</v>
      </c>
      <c r="BC33" s="2">
        <v>36.933900000000001</v>
      </c>
      <c r="BD33" s="3">
        <v>129.56</v>
      </c>
      <c r="BE33" s="2">
        <v>38.159930000000003</v>
      </c>
      <c r="BF33" s="3">
        <v>180.3</v>
      </c>
      <c r="BG33" s="2">
        <v>-0.72101950000000004</v>
      </c>
      <c r="BH33" s="2">
        <v>43.785690000000002</v>
      </c>
      <c r="BI33" s="2">
        <v>45.748460000000001</v>
      </c>
      <c r="BJ33" s="2">
        <v>45.321249999999999</v>
      </c>
      <c r="BK33" s="2">
        <v>44.415590000000002</v>
      </c>
      <c r="BL33" s="2">
        <v>20</v>
      </c>
      <c r="BM33" s="2">
        <v>20</v>
      </c>
      <c r="BN33" s="4">
        <v>22</v>
      </c>
      <c r="BO33" s="4">
        <v>1</v>
      </c>
      <c r="BP33" s="4">
        <v>0</v>
      </c>
      <c r="BQ33" s="4">
        <v>21</v>
      </c>
      <c r="BR33" s="2">
        <v>4.5454549999999996</v>
      </c>
      <c r="BS33" s="4">
        <v>14</v>
      </c>
      <c r="BT33" s="4">
        <v>2</v>
      </c>
      <c r="BU33" s="4">
        <v>22</v>
      </c>
      <c r="BV33" s="2">
        <v>63.636360000000003</v>
      </c>
      <c r="BW33" s="2">
        <v>7.7317400000000003</v>
      </c>
      <c r="BX33" s="2">
        <v>572.83590000000004</v>
      </c>
      <c r="BY33" s="3">
        <v>0.79012850000000001</v>
      </c>
      <c r="BZ33" s="3">
        <v>0.13793279999999999</v>
      </c>
      <c r="CA33" s="2">
        <v>1.2987500000000001</v>
      </c>
      <c r="CB33" s="3">
        <v>0.13793279999999999</v>
      </c>
      <c r="CC33" s="3">
        <v>7.8901139999999996</v>
      </c>
      <c r="CD33" s="3">
        <v>7.781854</v>
      </c>
      <c r="CE33" s="2">
        <v>-1.372099</v>
      </c>
      <c r="CF33" s="3">
        <v>6122.7879999999996</v>
      </c>
      <c r="CG33" s="3">
        <v>6149.6260000000002</v>
      </c>
      <c r="CH33" s="2">
        <v>0.43833260000000002</v>
      </c>
      <c r="CI33" s="3">
        <v>175.6</v>
      </c>
      <c r="CJ33" s="2">
        <v>3.6446450000000001</v>
      </c>
      <c r="CK33" s="3">
        <v>36011.33</v>
      </c>
      <c r="CL33" s="3">
        <v>35998.839999999997</v>
      </c>
      <c r="CM33" s="2">
        <v>-3.4677979999999997E-2</v>
      </c>
      <c r="CN33" s="3">
        <v>157.5102</v>
      </c>
      <c r="CO33" s="3">
        <v>158.48670000000001</v>
      </c>
      <c r="CP33" s="3">
        <v>168.13849999999999</v>
      </c>
      <c r="CQ33" s="2">
        <v>13.643459999999999</v>
      </c>
      <c r="CR33" s="2">
        <v>12.943239999999999</v>
      </c>
      <c r="CS33" s="2">
        <v>6.4598800000000001</v>
      </c>
      <c r="CT33" s="2">
        <v>0.61997179999999996</v>
      </c>
      <c r="CU33" s="2">
        <v>131.8914</v>
      </c>
      <c r="CV33" s="3">
        <v>0.1286274</v>
      </c>
      <c r="CW33" s="2" t="e">
        <v>#N/A</v>
      </c>
      <c r="CX33" s="2">
        <v>-1.203619</v>
      </c>
      <c r="CY33" s="2" t="e">
        <v>#N/A</v>
      </c>
      <c r="CZ33" s="2">
        <v>24.868690000000001</v>
      </c>
    </row>
    <row r="34" spans="1:104" ht="15" customHeight="1" x14ac:dyDescent="0.2">
      <c r="A34" s="1">
        <f t="shared" si="0"/>
        <v>28</v>
      </c>
      <c r="B34" s="1" t="s">
        <v>94</v>
      </c>
      <c r="C34" s="1" t="s">
        <v>93</v>
      </c>
      <c r="D34" s="1" t="s">
        <v>20</v>
      </c>
      <c r="E34" s="1" t="s">
        <v>12</v>
      </c>
      <c r="F34" s="1" t="s">
        <v>13</v>
      </c>
      <c r="G34" s="2">
        <v>59452.24</v>
      </c>
      <c r="H34" s="2">
        <v>48.322299999999998</v>
      </c>
      <c r="I34" s="2">
        <v>28728.69</v>
      </c>
      <c r="J34" s="3">
        <v>102.54</v>
      </c>
      <c r="K34" s="3">
        <v>0</v>
      </c>
      <c r="L34" s="2">
        <v>8.2894480000000001</v>
      </c>
      <c r="M34" s="2">
        <v>5.6563299999999996</v>
      </c>
      <c r="N34" s="2">
        <v>5.319661</v>
      </c>
      <c r="O34" s="2">
        <v>5.2590209999999997</v>
      </c>
      <c r="P34" s="2">
        <v>3.7546689999999998</v>
      </c>
      <c r="Q34" s="2">
        <v>5.5517060000000003</v>
      </c>
      <c r="R34" s="2">
        <v>6.1651999999999996</v>
      </c>
      <c r="S34" s="2">
        <v>6.1035719999999998</v>
      </c>
      <c r="T34" s="2">
        <v>1.8132269999999999</v>
      </c>
      <c r="U34" s="2">
        <v>1.7423580000000001</v>
      </c>
      <c r="V34" s="2">
        <v>1.929476</v>
      </c>
      <c r="W34" s="2">
        <v>1.868727</v>
      </c>
      <c r="X34" s="2">
        <v>0.77450050000000004</v>
      </c>
      <c r="Y34" s="2">
        <v>0.70775809999999995</v>
      </c>
      <c r="Z34" s="2">
        <v>0.65603389999999995</v>
      </c>
      <c r="AA34" s="2">
        <v>0.60852209999999995</v>
      </c>
      <c r="AB34" s="2">
        <v>4.5735950000000001</v>
      </c>
      <c r="AC34" s="2">
        <v>3.4077769999999998</v>
      </c>
      <c r="AD34" s="2">
        <v>3.6542089999999998</v>
      </c>
      <c r="AE34" s="2">
        <v>3.6148169999999999</v>
      </c>
      <c r="AF34" s="2">
        <v>15.0281</v>
      </c>
      <c r="AG34" s="2">
        <v>19.04261</v>
      </c>
      <c r="AH34" s="2">
        <v>22.816700000000001</v>
      </c>
      <c r="AI34" s="2">
        <v>10.402229999999999</v>
      </c>
      <c r="AJ34" s="2">
        <v>13.239750000000001</v>
      </c>
      <c r="AK34" s="2">
        <v>15.351559999999999</v>
      </c>
      <c r="AL34" s="3" t="e">
        <v>#N/A</v>
      </c>
      <c r="AM34" s="3" t="e">
        <v>#N/A</v>
      </c>
      <c r="AN34" s="2">
        <v>15.82287</v>
      </c>
      <c r="AO34" s="2">
        <v>17.40738</v>
      </c>
      <c r="AP34" s="2">
        <v>15.75421</v>
      </c>
      <c r="AQ34" s="2">
        <v>15.458220000000001</v>
      </c>
      <c r="AR34" s="2">
        <v>-0.62062930000000005</v>
      </c>
      <c r="AS34" s="2">
        <v>-0.68401350000000005</v>
      </c>
      <c r="AT34" s="2">
        <v>-0.74694380000000005</v>
      </c>
      <c r="AU34" s="2">
        <v>-0.79952009999999996</v>
      </c>
      <c r="AV34" s="1" t="s">
        <v>88</v>
      </c>
      <c r="AW34" s="3">
        <v>1.7708330000000001</v>
      </c>
      <c r="AX34" s="3">
        <v>109</v>
      </c>
      <c r="AY34" s="2">
        <v>6.2999840000000003</v>
      </c>
      <c r="AZ34" s="2">
        <v>12.748480000000001</v>
      </c>
      <c r="BA34" s="2">
        <v>-15.20613</v>
      </c>
      <c r="BB34" s="2">
        <v>22.2898</v>
      </c>
      <c r="BC34" s="2">
        <v>22.979140000000001</v>
      </c>
      <c r="BD34" s="3">
        <v>82.16</v>
      </c>
      <c r="BE34" s="2">
        <v>24.805250000000001</v>
      </c>
      <c r="BF34" s="3">
        <v>113.46</v>
      </c>
      <c r="BG34" s="2">
        <v>-9.6245349999999998</v>
      </c>
      <c r="BH34" s="2">
        <v>31.371289999999998</v>
      </c>
      <c r="BI34" s="2">
        <v>30.9574</v>
      </c>
      <c r="BJ34" s="2">
        <v>32.936079999999997</v>
      </c>
      <c r="BK34" s="2">
        <v>33.404260000000001</v>
      </c>
      <c r="BL34" s="2">
        <v>21</v>
      </c>
      <c r="BM34" s="2">
        <v>21</v>
      </c>
      <c r="BN34" s="4">
        <v>24</v>
      </c>
      <c r="BO34" s="4">
        <v>1</v>
      </c>
      <c r="BP34" s="4">
        <v>1</v>
      </c>
      <c r="BQ34" s="4">
        <v>22</v>
      </c>
      <c r="BR34" s="2">
        <v>4.1666670000000003</v>
      </c>
      <c r="BS34" s="4">
        <v>9</v>
      </c>
      <c r="BT34" s="4">
        <v>3</v>
      </c>
      <c r="BU34" s="4">
        <v>24</v>
      </c>
      <c r="BV34" s="2">
        <v>37.5</v>
      </c>
      <c r="BW34" s="2">
        <v>7.5216000000000003</v>
      </c>
      <c r="BX34" s="2">
        <v>579.79570000000001</v>
      </c>
      <c r="BY34" s="3">
        <v>1.0288569999999999</v>
      </c>
      <c r="BZ34" s="3">
        <v>0.17745169999999999</v>
      </c>
      <c r="CA34" s="2">
        <v>1.2079899999999999</v>
      </c>
      <c r="CB34" s="3">
        <v>0.17745169999999999</v>
      </c>
      <c r="CC34" s="3">
        <v>17.576509999999999</v>
      </c>
      <c r="CD34" s="3">
        <v>18.301100000000002</v>
      </c>
      <c r="CE34" s="2">
        <v>4.1225189999999996</v>
      </c>
      <c r="CF34" s="3">
        <v>16574.87</v>
      </c>
      <c r="CG34" s="3">
        <v>17347.669999999998</v>
      </c>
      <c r="CH34" s="2">
        <v>4.66249</v>
      </c>
      <c r="CI34" s="3">
        <v>110.17919999999999</v>
      </c>
      <c r="CJ34" s="2">
        <v>-1.070219</v>
      </c>
      <c r="CK34" s="3">
        <v>148853.29999999999</v>
      </c>
      <c r="CL34" s="3">
        <v>151882.1</v>
      </c>
      <c r="CM34" s="2">
        <v>2.034748</v>
      </c>
      <c r="CN34" s="3">
        <v>100.5471</v>
      </c>
      <c r="CO34" s="3">
        <v>94.857839999999996</v>
      </c>
      <c r="CP34" s="3">
        <v>96.087299999999999</v>
      </c>
      <c r="CQ34" s="2">
        <v>1.9820450000000001</v>
      </c>
      <c r="CR34" s="2">
        <v>8.0986019999999996</v>
      </c>
      <c r="CS34" s="2">
        <v>6.715465</v>
      </c>
      <c r="CT34" s="2">
        <v>-5.6583110000000003</v>
      </c>
      <c r="CU34" s="2">
        <v>93.084680000000006</v>
      </c>
      <c r="CV34" s="3">
        <v>0.1565705</v>
      </c>
      <c r="CW34" s="2">
        <v>1.3895329999999999</v>
      </c>
      <c r="CX34" s="2">
        <v>3.3199589999999999</v>
      </c>
      <c r="CY34" s="2">
        <v>4.701911</v>
      </c>
      <c r="CZ34" s="2">
        <v>25.171720000000001</v>
      </c>
    </row>
    <row r="35" spans="1:104" ht="15" customHeight="1" x14ac:dyDescent="0.2">
      <c r="A35" s="1">
        <f t="shared" si="0"/>
        <v>29</v>
      </c>
      <c r="B35" s="1" t="s">
        <v>96</v>
      </c>
      <c r="C35" s="1" t="s">
        <v>95</v>
      </c>
      <c r="D35" s="1" t="s">
        <v>20</v>
      </c>
      <c r="E35" s="1" t="s">
        <v>4</v>
      </c>
      <c r="F35" s="1" t="s">
        <v>97</v>
      </c>
      <c r="G35" s="2">
        <v>33563.5</v>
      </c>
      <c r="H35" s="2">
        <v>96.704700000000003</v>
      </c>
      <c r="I35" s="2">
        <v>32457.48</v>
      </c>
      <c r="J35" s="3">
        <v>176.65</v>
      </c>
      <c r="K35" s="3">
        <v>0</v>
      </c>
      <c r="L35" s="2">
        <v>2.037928</v>
      </c>
      <c r="M35" s="2">
        <v>2.1511459999999998</v>
      </c>
      <c r="N35" s="2">
        <v>2.2564030000000002</v>
      </c>
      <c r="O35" s="2">
        <v>2.377583</v>
      </c>
      <c r="P35" s="2">
        <v>20.516839999999998</v>
      </c>
      <c r="Q35" s="2">
        <v>18.683240000000001</v>
      </c>
      <c r="R35" s="2">
        <v>17.361180000000001</v>
      </c>
      <c r="S35" s="2">
        <v>16.680260000000001</v>
      </c>
      <c r="T35" s="2">
        <v>13.38058</v>
      </c>
      <c r="U35" s="2">
        <v>13.47847</v>
      </c>
      <c r="V35" s="2">
        <v>12.08567</v>
      </c>
      <c r="W35" s="2">
        <v>11.216189999999999</v>
      </c>
      <c r="X35" s="2">
        <v>4.0516059999999996</v>
      </c>
      <c r="Y35" s="2">
        <v>3.4367700000000001</v>
      </c>
      <c r="Z35" s="2">
        <v>3.085051</v>
      </c>
      <c r="AA35" s="2">
        <v>2.7714150000000002</v>
      </c>
      <c r="AB35" s="2">
        <v>17.20045</v>
      </c>
      <c r="AC35" s="2">
        <v>15.1229</v>
      </c>
      <c r="AD35" s="2">
        <v>13.726050000000001</v>
      </c>
      <c r="AE35" s="2">
        <v>13.36233</v>
      </c>
      <c r="AF35" s="2">
        <v>2.170229</v>
      </c>
      <c r="AG35" s="2">
        <v>4.8726630000000002</v>
      </c>
      <c r="AH35" s="2">
        <v>3.7246950000000001</v>
      </c>
      <c r="AI35" s="2">
        <v>2.5603500000000001</v>
      </c>
      <c r="AJ35" s="2">
        <v>5.642684</v>
      </c>
      <c r="AK35" s="2">
        <v>4.2201969999999998</v>
      </c>
      <c r="AL35" s="3">
        <v>1.8743970000000001</v>
      </c>
      <c r="AM35" s="3">
        <v>1.758278</v>
      </c>
      <c r="AN35" s="2">
        <v>58.225749999999998</v>
      </c>
      <c r="AO35" s="2">
        <v>58.469270000000002</v>
      </c>
      <c r="AP35" s="2">
        <v>56.612740000000002</v>
      </c>
      <c r="AQ35" s="2">
        <v>57.373719999999999</v>
      </c>
      <c r="AR35" s="2">
        <v>1.238518</v>
      </c>
      <c r="AS35" s="2">
        <v>2.053722</v>
      </c>
      <c r="AT35" s="2">
        <v>1.649254</v>
      </c>
      <c r="AU35" s="2">
        <v>1.3169150000000001</v>
      </c>
      <c r="AV35" s="1" t="s">
        <v>88</v>
      </c>
      <c r="AW35" s="3">
        <v>1.6363639999999999</v>
      </c>
      <c r="AX35" s="3">
        <v>203</v>
      </c>
      <c r="AY35" s="2">
        <v>14.916499999999999</v>
      </c>
      <c r="AZ35" s="2">
        <v>18.394939999999998</v>
      </c>
      <c r="BA35" s="2">
        <v>9.8456659999999996</v>
      </c>
      <c r="BB35" s="2">
        <v>4.5885090000000002</v>
      </c>
      <c r="BC35" s="2">
        <v>9.4485759999999992</v>
      </c>
      <c r="BD35" s="3">
        <v>152.6</v>
      </c>
      <c r="BE35" s="2">
        <v>15.760149999999999</v>
      </c>
      <c r="BF35" s="3">
        <v>186.35</v>
      </c>
      <c r="BG35" s="2">
        <v>-5.2052680000000002</v>
      </c>
      <c r="BH35" s="2">
        <v>41.893819999999998</v>
      </c>
      <c r="BI35" s="2">
        <v>40.05057</v>
      </c>
      <c r="BJ35" s="2">
        <v>39.298929999999999</v>
      </c>
      <c r="BK35" s="2">
        <v>39.114629999999998</v>
      </c>
      <c r="BL35" s="2">
        <v>20</v>
      </c>
      <c r="BM35" s="2">
        <v>16</v>
      </c>
      <c r="BN35" s="4">
        <v>22</v>
      </c>
      <c r="BO35" s="4">
        <v>0</v>
      </c>
      <c r="BP35" s="4">
        <v>0</v>
      </c>
      <c r="BQ35" s="4">
        <v>22</v>
      </c>
      <c r="BR35" s="2">
        <v>0</v>
      </c>
      <c r="BS35" s="4">
        <v>9</v>
      </c>
      <c r="BT35" s="4">
        <v>1</v>
      </c>
      <c r="BU35" s="4">
        <v>22</v>
      </c>
      <c r="BV35" s="2">
        <v>40.909089999999999</v>
      </c>
      <c r="BW35" s="2">
        <v>5.2459499999999997</v>
      </c>
      <c r="BX35" s="2">
        <v>190</v>
      </c>
      <c r="BY35" s="3">
        <v>0.34977049999999998</v>
      </c>
      <c r="BZ35" s="3">
        <v>0.1840898</v>
      </c>
      <c r="CA35" s="2">
        <v>0.45165</v>
      </c>
      <c r="CB35" s="3">
        <v>0.1840898</v>
      </c>
      <c r="CC35" s="3">
        <v>9.6164000000000005</v>
      </c>
      <c r="CD35" s="3">
        <v>9.5720949999999991</v>
      </c>
      <c r="CE35" s="2">
        <v>-0.46072010000000002</v>
      </c>
      <c r="CF35" s="3">
        <v>2563.1759999999999</v>
      </c>
      <c r="CG35" s="3">
        <v>2522.8069999999998</v>
      </c>
      <c r="CH35" s="2">
        <v>-1.574945</v>
      </c>
      <c r="CI35" s="3">
        <v>194.52629999999999</v>
      </c>
      <c r="CJ35" s="2">
        <v>4.3560619999999997</v>
      </c>
      <c r="CK35" s="3">
        <v>4881.59</v>
      </c>
      <c r="CL35" s="3">
        <v>5013.8609999999999</v>
      </c>
      <c r="CM35" s="2">
        <v>2.7095910000000001</v>
      </c>
      <c r="CN35" s="3">
        <v>168.5094</v>
      </c>
      <c r="CO35" s="3">
        <v>166.5539</v>
      </c>
      <c r="CP35" s="3">
        <v>173.61150000000001</v>
      </c>
      <c r="CQ35" s="2">
        <v>4.830921</v>
      </c>
      <c r="CR35" s="2">
        <v>6.0617450000000002</v>
      </c>
      <c r="CS35" s="2">
        <v>1.7501469999999999</v>
      </c>
      <c r="CT35" s="2">
        <v>-1.160479</v>
      </c>
      <c r="CU35" s="2">
        <v>56.639130000000002</v>
      </c>
      <c r="CV35" s="3">
        <v>0.16875209999999999</v>
      </c>
      <c r="CW35" s="2">
        <v>-2.377713</v>
      </c>
      <c r="CX35" s="2">
        <v>7.1655040000000003E-2</v>
      </c>
      <c r="CY35" s="2">
        <v>-10.92266</v>
      </c>
      <c r="CZ35" s="2">
        <v>25.454550000000001</v>
      </c>
    </row>
    <row r="36" spans="1:104" ht="15" customHeight="1" x14ac:dyDescent="0.2">
      <c r="A36" s="1">
        <f t="shared" si="0"/>
        <v>30</v>
      </c>
      <c r="B36" s="1" t="s">
        <v>99</v>
      </c>
      <c r="C36" s="1" t="s">
        <v>98</v>
      </c>
      <c r="D36" s="1" t="s">
        <v>20</v>
      </c>
      <c r="E36" s="1" t="s">
        <v>60</v>
      </c>
      <c r="F36" s="1" t="s">
        <v>61</v>
      </c>
      <c r="G36" s="2">
        <v>50121.26</v>
      </c>
      <c r="H36" s="2">
        <v>99.541799999999995</v>
      </c>
      <c r="I36" s="2">
        <v>49891.61</v>
      </c>
      <c r="J36" s="3">
        <v>38.380000000000003</v>
      </c>
      <c r="K36" s="3">
        <v>0</v>
      </c>
      <c r="L36" s="2">
        <v>0.91193329999999995</v>
      </c>
      <c r="M36" s="2">
        <v>0.91193329999999995</v>
      </c>
      <c r="N36" s="2">
        <v>1.016154</v>
      </c>
      <c r="O36" s="2">
        <v>1.1203749999999999</v>
      </c>
      <c r="P36" s="2">
        <v>14.48302</v>
      </c>
      <c r="Q36" s="2">
        <v>16.181149999999999</v>
      </c>
      <c r="R36" s="2">
        <v>13.60993</v>
      </c>
      <c r="S36" s="2">
        <v>12.03135</v>
      </c>
      <c r="T36" s="2">
        <v>8.7972389999999994</v>
      </c>
      <c r="U36" s="2">
        <v>8.9103139999999996</v>
      </c>
      <c r="V36" s="2">
        <v>7.4488839999999996</v>
      </c>
      <c r="W36" s="2">
        <v>6.320481</v>
      </c>
      <c r="X36" s="2">
        <v>2.9409960000000002</v>
      </c>
      <c r="Y36" s="2">
        <v>2.603799</v>
      </c>
      <c r="Z36" s="2">
        <v>2.2777449999999999</v>
      </c>
      <c r="AA36" s="2">
        <v>1.968205</v>
      </c>
      <c r="AB36" s="2">
        <v>12.62861</v>
      </c>
      <c r="AC36" s="2">
        <v>10.970079999999999</v>
      </c>
      <c r="AD36" s="2">
        <v>9.7045999999999992</v>
      </c>
      <c r="AE36" s="2">
        <v>8.361656</v>
      </c>
      <c r="AF36" s="2">
        <v>2.4824510000000002</v>
      </c>
      <c r="AG36" s="2">
        <v>3.7917830000000001</v>
      </c>
      <c r="AH36" s="2">
        <v>5.3948609999999997</v>
      </c>
      <c r="AI36" s="2">
        <v>2.5432030000000001</v>
      </c>
      <c r="AJ36" s="2">
        <v>3.785428</v>
      </c>
      <c r="AK36" s="2">
        <v>5.2026899999999996</v>
      </c>
      <c r="AL36" s="3">
        <v>2.033074</v>
      </c>
      <c r="AM36" s="3">
        <v>1.7333240000000001</v>
      </c>
      <c r="AN36" s="2">
        <v>35.863419999999998</v>
      </c>
      <c r="AO36" s="2">
        <v>34.074869999999997</v>
      </c>
      <c r="AP36" s="2">
        <v>35.89631</v>
      </c>
      <c r="AQ36" s="2">
        <v>36.935519999999997</v>
      </c>
      <c r="AR36" s="2">
        <v>0.227989</v>
      </c>
      <c r="AS36" s="2">
        <v>0.21284829999999999</v>
      </c>
      <c r="AT36" s="2">
        <v>-1.2504940000000001E-2</v>
      </c>
      <c r="AU36" s="2">
        <v>-0.2334579</v>
      </c>
      <c r="AV36" s="1" t="s">
        <v>6</v>
      </c>
      <c r="AW36" s="3">
        <v>1.25</v>
      </c>
      <c r="AX36" s="3">
        <v>45</v>
      </c>
      <c r="AY36" s="2">
        <v>17.248560000000001</v>
      </c>
      <c r="AZ36" s="2">
        <v>16.091560000000001</v>
      </c>
      <c r="BA36" s="2">
        <v>9.6999999999999993</v>
      </c>
      <c r="BB36" s="2">
        <v>20.691839999999999</v>
      </c>
      <c r="BC36" s="2">
        <v>34.998240000000003</v>
      </c>
      <c r="BD36" s="3">
        <v>27.07</v>
      </c>
      <c r="BE36" s="2">
        <v>41.78058</v>
      </c>
      <c r="BF36" s="3">
        <v>40.270000000000003</v>
      </c>
      <c r="BG36" s="2">
        <v>-4.6933170000000004</v>
      </c>
      <c r="BH36" s="2">
        <v>13.207549999999999</v>
      </c>
      <c r="BI36" s="2">
        <v>15.76525</v>
      </c>
      <c r="BJ36" s="2">
        <v>15.13682</v>
      </c>
      <c r="BK36" s="2">
        <v>15.74347</v>
      </c>
      <c r="BL36" s="2">
        <v>22</v>
      </c>
      <c r="BM36" s="2">
        <v>19</v>
      </c>
      <c r="BN36" s="4">
        <v>24</v>
      </c>
      <c r="BO36" s="4">
        <v>1</v>
      </c>
      <c r="BP36" s="4">
        <v>0</v>
      </c>
      <c r="BQ36" s="4">
        <v>22</v>
      </c>
      <c r="BR36" s="2">
        <v>4.3478260000000004</v>
      </c>
      <c r="BS36" s="4">
        <v>20</v>
      </c>
      <c r="BT36" s="4">
        <v>0</v>
      </c>
      <c r="BU36" s="4">
        <v>24</v>
      </c>
      <c r="BV36" s="2">
        <v>83.333330000000004</v>
      </c>
      <c r="BW36" s="2">
        <v>11.699299999999999</v>
      </c>
      <c r="BX36" s="2">
        <v>1305.921</v>
      </c>
      <c r="BY36" s="3">
        <v>3.767048</v>
      </c>
      <c r="BZ36" s="3">
        <v>0.28845910000000002</v>
      </c>
      <c r="CA36" s="2">
        <v>1.8765799999999999</v>
      </c>
      <c r="CB36" s="3">
        <v>0.28845910000000002</v>
      </c>
      <c r="CC36" s="3">
        <v>2.5738379999999998</v>
      </c>
      <c r="CD36" s="3">
        <v>2.3672599999999999</v>
      </c>
      <c r="CE36" s="2">
        <v>-8.0260569999999998</v>
      </c>
      <c r="CF36" s="3">
        <v>4202.7870000000003</v>
      </c>
      <c r="CG36" s="3">
        <v>3881.8040000000001</v>
      </c>
      <c r="CH36" s="2">
        <v>-7.6373759999999997</v>
      </c>
      <c r="CI36" s="3">
        <v>46.477269999999997</v>
      </c>
      <c r="CJ36" s="2">
        <v>-3.1784829999999999</v>
      </c>
      <c r="CK36" s="3">
        <v>17070.5</v>
      </c>
      <c r="CL36" s="3">
        <v>16831.939999999999</v>
      </c>
      <c r="CM36" s="2">
        <v>-1.3974789999999999</v>
      </c>
      <c r="CN36" s="3">
        <v>34.177959999999999</v>
      </c>
      <c r="CO36" s="3">
        <v>32.364510000000003</v>
      </c>
      <c r="CP36" s="3">
        <v>34.437309999999997</v>
      </c>
      <c r="CQ36" s="2">
        <v>12.294589999999999</v>
      </c>
      <c r="CR36" s="2">
        <v>18.586680000000001</v>
      </c>
      <c r="CS36" s="2">
        <v>11.44891</v>
      </c>
      <c r="CT36" s="2">
        <v>-5.3058920000000001</v>
      </c>
      <c r="CU36" s="2">
        <v>135.5326</v>
      </c>
      <c r="CV36" s="3">
        <v>0.27040950000000002</v>
      </c>
      <c r="CW36" s="2">
        <v>10.045859999999999</v>
      </c>
      <c r="CX36" s="2">
        <v>1.907837</v>
      </c>
      <c r="CY36" s="2">
        <v>5.1398419999999998</v>
      </c>
      <c r="CZ36" s="2">
        <v>25.707070000000002</v>
      </c>
    </row>
    <row r="37" spans="1:104" ht="15" customHeight="1" x14ac:dyDescent="0.2">
      <c r="A37" s="1">
        <f t="shared" si="0"/>
        <v>31</v>
      </c>
      <c r="B37" s="1" t="s">
        <v>101</v>
      </c>
      <c r="C37" s="1" t="s">
        <v>100</v>
      </c>
      <c r="D37" s="1" t="s">
        <v>46</v>
      </c>
      <c r="E37" s="1" t="s">
        <v>102</v>
      </c>
      <c r="F37" s="1" t="s">
        <v>103</v>
      </c>
      <c r="G37" s="2">
        <v>91709.98</v>
      </c>
      <c r="H37" s="2">
        <v>99.751499999999993</v>
      </c>
      <c r="I37" s="2">
        <v>91482.08</v>
      </c>
      <c r="J37" s="3">
        <v>175.1</v>
      </c>
      <c r="K37" s="3">
        <v>0</v>
      </c>
      <c r="L37" s="2">
        <v>1.684752</v>
      </c>
      <c r="M37" s="2">
        <v>1.8261849999999999</v>
      </c>
      <c r="N37" s="2">
        <v>1.9446030000000001</v>
      </c>
      <c r="O37" s="2">
        <v>2.1130779999999998</v>
      </c>
      <c r="P37" s="2">
        <v>28.91028</v>
      </c>
      <c r="Q37" s="2">
        <v>26.978960000000001</v>
      </c>
      <c r="R37" s="2">
        <v>24.836880000000001</v>
      </c>
      <c r="S37" s="2">
        <v>22.77298</v>
      </c>
      <c r="T37" s="2">
        <v>10.857760000000001</v>
      </c>
      <c r="U37" s="2">
        <v>13.415929999999999</v>
      </c>
      <c r="V37" s="2">
        <v>12.481640000000001</v>
      </c>
      <c r="W37" s="2">
        <v>11.668670000000001</v>
      </c>
      <c r="X37" s="2">
        <v>3.8510589999999998</v>
      </c>
      <c r="Y37" s="2">
        <v>3.6174300000000001</v>
      </c>
      <c r="Z37" s="2">
        <v>3.3622130000000001</v>
      </c>
      <c r="AA37" s="2">
        <v>3.1317970000000002</v>
      </c>
      <c r="AB37" s="2">
        <v>15.772779999999999</v>
      </c>
      <c r="AC37" s="2">
        <v>15.35965</v>
      </c>
      <c r="AD37" s="2">
        <v>14.50704</v>
      </c>
      <c r="AE37" s="2">
        <v>13.458880000000001</v>
      </c>
      <c r="AF37" s="2">
        <v>2.4924330000000001</v>
      </c>
      <c r="AG37" s="2">
        <v>2.6914709999999999</v>
      </c>
      <c r="AH37" s="2">
        <v>2.9937330000000002</v>
      </c>
      <c r="AI37" s="2">
        <v>2.767385</v>
      </c>
      <c r="AJ37" s="2">
        <v>2.972213</v>
      </c>
      <c r="AK37" s="2">
        <v>3.287166</v>
      </c>
      <c r="AL37" s="3">
        <v>3.5931690000000001</v>
      </c>
      <c r="AM37" s="3">
        <v>3.312462</v>
      </c>
      <c r="AN37" s="2">
        <v>24.479520000000001</v>
      </c>
      <c r="AO37" s="2">
        <v>27.374960000000002</v>
      </c>
      <c r="AP37" s="2">
        <v>27.759779999999999</v>
      </c>
      <c r="AQ37" s="2">
        <v>28.276230000000002</v>
      </c>
      <c r="AR37" s="2">
        <v>1.400344</v>
      </c>
      <c r="AS37" s="2">
        <v>1.332929</v>
      </c>
      <c r="AT37" s="2">
        <v>1.178957</v>
      </c>
      <c r="AU37" s="2">
        <v>1.0416160000000001</v>
      </c>
      <c r="AV37" s="1" t="s">
        <v>6</v>
      </c>
      <c r="AW37" s="3">
        <v>1.4090910000000001</v>
      </c>
      <c r="AX37" s="3">
        <v>185</v>
      </c>
      <c r="AY37" s="2">
        <v>5.6539060000000001</v>
      </c>
      <c r="AZ37" s="2">
        <v>13.408340000000001</v>
      </c>
      <c r="BA37" s="2">
        <v>8.1613860000000003</v>
      </c>
      <c r="BB37" s="2">
        <v>26.737120000000001</v>
      </c>
      <c r="BC37" s="2">
        <v>32.25076</v>
      </c>
      <c r="BD37" s="3">
        <v>131.86000000000001</v>
      </c>
      <c r="BE37" s="2">
        <v>32.792349999999999</v>
      </c>
      <c r="BF37" s="3">
        <v>180.3</v>
      </c>
      <c r="BG37" s="2">
        <v>-2.8840780000000001</v>
      </c>
      <c r="BH37" s="2">
        <v>48.685400000000001</v>
      </c>
      <c r="BI37" s="2">
        <v>49.098959999999998</v>
      </c>
      <c r="BJ37" s="2">
        <v>48.41827</v>
      </c>
      <c r="BK37" s="2">
        <v>47.06494</v>
      </c>
      <c r="BL37" s="2">
        <v>21</v>
      </c>
      <c r="BM37" s="2">
        <v>18</v>
      </c>
      <c r="BN37" s="4">
        <v>22</v>
      </c>
      <c r="BO37" s="4">
        <v>0</v>
      </c>
      <c r="BP37" s="4">
        <v>0</v>
      </c>
      <c r="BQ37" s="4">
        <v>22</v>
      </c>
      <c r="BR37" s="2">
        <v>0</v>
      </c>
      <c r="BS37" s="4">
        <v>16</v>
      </c>
      <c r="BT37" s="4">
        <v>1</v>
      </c>
      <c r="BU37" s="4">
        <v>22</v>
      </c>
      <c r="BV37" s="2">
        <v>72.727270000000004</v>
      </c>
      <c r="BW37" s="2">
        <v>5.7393299999999998</v>
      </c>
      <c r="BX37" s="2">
        <v>523.7577</v>
      </c>
      <c r="BY37" s="3">
        <v>0.65281699999999998</v>
      </c>
      <c r="BZ37" s="3">
        <v>0.124641</v>
      </c>
      <c r="CA37" s="2">
        <v>0.88902499999999995</v>
      </c>
      <c r="CB37" s="3">
        <v>0.124641</v>
      </c>
      <c r="CC37" s="3">
        <v>6.5199819999999997</v>
      </c>
      <c r="CD37" s="3">
        <v>6.4561120000000001</v>
      </c>
      <c r="CE37" s="2">
        <v>-0.97960829999999999</v>
      </c>
      <c r="CF37" s="3">
        <v>5121.7539999999999</v>
      </c>
      <c r="CG37" s="3">
        <v>5082.4520000000002</v>
      </c>
      <c r="CH37" s="2">
        <v>-0.76735620000000004</v>
      </c>
      <c r="CI37" s="3">
        <v>177.95</v>
      </c>
      <c r="CJ37" s="2">
        <v>3.9617900000000001</v>
      </c>
      <c r="CK37" s="3">
        <v>28627.59</v>
      </c>
      <c r="CL37" s="3">
        <v>27973.47</v>
      </c>
      <c r="CM37" s="2">
        <v>-2.2849439999999999</v>
      </c>
      <c r="CN37" s="3">
        <v>161.358</v>
      </c>
      <c r="CO37" s="3">
        <v>166.26150000000001</v>
      </c>
      <c r="CP37" s="3">
        <v>172.5154</v>
      </c>
      <c r="CQ37" s="2">
        <v>8.5164910000000003</v>
      </c>
      <c r="CR37" s="2">
        <v>5.3160189999999998</v>
      </c>
      <c r="CS37" s="2">
        <v>1.4981990000000001</v>
      </c>
      <c r="CT37" s="2">
        <v>3.0389309999999998</v>
      </c>
      <c r="CU37" s="2">
        <v>99.909199999999998</v>
      </c>
      <c r="CV37" s="3">
        <v>0.10894040000000001</v>
      </c>
      <c r="CW37" s="2" t="e">
        <v>#N/A</v>
      </c>
      <c r="CX37" s="2">
        <v>-1.8464449999999999</v>
      </c>
      <c r="CY37" s="2" t="e">
        <v>#N/A</v>
      </c>
      <c r="CZ37" s="2">
        <v>26.161619999999999</v>
      </c>
    </row>
    <row r="38" spans="1:104" ht="15" customHeight="1" x14ac:dyDescent="0.2">
      <c r="A38" s="1">
        <f t="shared" si="0"/>
        <v>32</v>
      </c>
      <c r="B38" s="1" t="s">
        <v>105</v>
      </c>
      <c r="C38" s="1" t="s">
        <v>104</v>
      </c>
      <c r="D38" s="1" t="s">
        <v>46</v>
      </c>
      <c r="E38" s="1" t="s">
        <v>106</v>
      </c>
      <c r="F38" s="1" t="s">
        <v>107</v>
      </c>
      <c r="G38" s="2">
        <v>83951.79</v>
      </c>
      <c r="H38" s="2">
        <v>66.442999999999998</v>
      </c>
      <c r="I38" s="2">
        <v>55780.09</v>
      </c>
      <c r="J38" s="3">
        <v>185.08</v>
      </c>
      <c r="K38" s="3">
        <v>0</v>
      </c>
      <c r="L38" s="2">
        <v>1.7451909999999999</v>
      </c>
      <c r="M38" s="2">
        <v>1.8303510000000001</v>
      </c>
      <c r="N38" s="2">
        <v>2.04236</v>
      </c>
      <c r="O38" s="2">
        <v>2.258483</v>
      </c>
      <c r="P38" s="2">
        <v>38.318840000000002</v>
      </c>
      <c r="Q38" s="2">
        <v>27.358460000000001</v>
      </c>
      <c r="R38" s="2">
        <v>24.677330000000001</v>
      </c>
      <c r="S38" s="2">
        <v>22.254819999999999</v>
      </c>
      <c r="T38" s="2">
        <v>13.46083</v>
      </c>
      <c r="U38" s="2">
        <v>13.91287</v>
      </c>
      <c r="V38" s="2">
        <v>12.60768</v>
      </c>
      <c r="W38" s="2">
        <v>11.397690000000001</v>
      </c>
      <c r="X38" s="2">
        <v>2.1851240000000001</v>
      </c>
      <c r="Y38" s="2">
        <v>2.115926</v>
      </c>
      <c r="Z38" s="2">
        <v>2.040146</v>
      </c>
      <c r="AA38" s="2">
        <v>1.959573</v>
      </c>
      <c r="AB38" s="2">
        <v>16.51735</v>
      </c>
      <c r="AC38" s="2">
        <v>15.09625</v>
      </c>
      <c r="AD38" s="2">
        <v>13.88822</v>
      </c>
      <c r="AE38" s="2">
        <v>12.801399999999999</v>
      </c>
      <c r="AF38" s="2">
        <v>3.2731659999999998</v>
      </c>
      <c r="AG38" s="2">
        <v>4.2431460000000003</v>
      </c>
      <c r="AH38" s="2">
        <v>4.8116690000000002</v>
      </c>
      <c r="AI38" s="2">
        <v>3.5936910000000002</v>
      </c>
      <c r="AJ38" s="2">
        <v>4.5319459999999996</v>
      </c>
      <c r="AK38" s="2">
        <v>5.0323099999999998</v>
      </c>
      <c r="AL38" s="3">
        <v>2.857424</v>
      </c>
      <c r="AM38" s="3">
        <v>2.575637</v>
      </c>
      <c r="AN38" s="2">
        <v>25.283740000000002</v>
      </c>
      <c r="AO38" s="2">
        <v>26.054259999999999</v>
      </c>
      <c r="AP38" s="2">
        <v>26.479019999999998</v>
      </c>
      <c r="AQ38" s="2">
        <v>27.15774</v>
      </c>
      <c r="AR38" s="2">
        <v>1.230583</v>
      </c>
      <c r="AS38" s="2">
        <v>1.2409060000000001</v>
      </c>
      <c r="AT38" s="2">
        <v>0.8034308</v>
      </c>
      <c r="AU38" s="2">
        <v>0.4997316</v>
      </c>
      <c r="AV38" s="1" t="s">
        <v>6</v>
      </c>
      <c r="AW38" s="3">
        <v>1.3409089999999999</v>
      </c>
      <c r="AX38" s="3">
        <v>192.5</v>
      </c>
      <c r="AY38" s="2">
        <v>4.00908</v>
      </c>
      <c r="AZ38" s="2">
        <v>7.7340799999999996</v>
      </c>
      <c r="BA38" s="2">
        <v>9.5303419999999992</v>
      </c>
      <c r="BB38" s="2">
        <v>0.64165589999999995</v>
      </c>
      <c r="BC38" s="2">
        <v>9.3853469999999994</v>
      </c>
      <c r="BD38" s="3">
        <v>155.15</v>
      </c>
      <c r="BE38" s="2">
        <v>19.29102</v>
      </c>
      <c r="BF38" s="3">
        <v>188.84</v>
      </c>
      <c r="BG38" s="2">
        <v>-1.991099</v>
      </c>
      <c r="BH38" s="2">
        <v>68.454729999999998</v>
      </c>
      <c r="BI38" s="2">
        <v>49.309190000000001</v>
      </c>
      <c r="BJ38" s="2">
        <v>49.041710000000002</v>
      </c>
      <c r="BK38" s="2">
        <v>49.136009999999999</v>
      </c>
      <c r="BL38" s="2">
        <v>20</v>
      </c>
      <c r="BM38" s="2">
        <v>18</v>
      </c>
      <c r="BN38" s="4">
        <v>22</v>
      </c>
      <c r="BO38" s="4">
        <v>2</v>
      </c>
      <c r="BP38" s="4">
        <v>0</v>
      </c>
      <c r="BQ38" s="4">
        <v>21</v>
      </c>
      <c r="BR38" s="2">
        <v>8.6956520000000008</v>
      </c>
      <c r="BS38" s="4">
        <v>15</v>
      </c>
      <c r="BT38" s="4">
        <v>0</v>
      </c>
      <c r="BU38" s="4">
        <v>22</v>
      </c>
      <c r="BV38" s="2">
        <v>68.181820000000002</v>
      </c>
      <c r="BW38" s="2">
        <v>6.3937099999999996</v>
      </c>
      <c r="BX38" s="2">
        <v>453.59730000000002</v>
      </c>
      <c r="BY38" s="3">
        <v>0.45282650000000002</v>
      </c>
      <c r="BZ38" s="3">
        <v>9.9830080000000002E-2</v>
      </c>
      <c r="CA38" s="2">
        <v>0.94081499999999996</v>
      </c>
      <c r="CB38" s="3">
        <v>9.9830080000000002E-2</v>
      </c>
      <c r="CC38" s="3">
        <v>6.7664390000000001</v>
      </c>
      <c r="CD38" s="3">
        <v>6.7963579999999997</v>
      </c>
      <c r="CE38" s="2">
        <v>0.44215919999999997</v>
      </c>
      <c r="CF38" s="3">
        <v>4358.1059999999998</v>
      </c>
      <c r="CG38" s="3">
        <v>4347.491</v>
      </c>
      <c r="CH38" s="2">
        <v>-0.24356249999999999</v>
      </c>
      <c r="CI38" s="3">
        <v>196.60730000000001</v>
      </c>
      <c r="CJ38" s="2">
        <v>-2.0891009999999999</v>
      </c>
      <c r="CK38" s="3">
        <v>25501.54</v>
      </c>
      <c r="CL38" s="3">
        <v>25446.3</v>
      </c>
      <c r="CM38" s="2">
        <v>-0.21659729999999999</v>
      </c>
      <c r="CN38" s="3">
        <v>172.7687</v>
      </c>
      <c r="CO38" s="3">
        <v>173.35919999999999</v>
      </c>
      <c r="CP38" s="3">
        <v>179.00229999999999</v>
      </c>
      <c r="CQ38" s="2">
        <v>7.125902</v>
      </c>
      <c r="CR38" s="2">
        <v>6.7609789999999998</v>
      </c>
      <c r="CS38" s="2">
        <v>3.3953190000000002</v>
      </c>
      <c r="CT38" s="2">
        <v>0.34180880000000002</v>
      </c>
      <c r="CU38" s="2">
        <v>71.239850000000004</v>
      </c>
      <c r="CV38" s="3">
        <v>8.4858039999999996E-2</v>
      </c>
      <c r="CW38" s="2" t="e">
        <v>#N/A</v>
      </c>
      <c r="CX38" s="2">
        <v>-0.11644350000000001</v>
      </c>
      <c r="CY38" s="2" t="e">
        <v>#N/A</v>
      </c>
      <c r="CZ38" s="2">
        <v>27.424240000000001</v>
      </c>
    </row>
    <row r="39" spans="1:104" ht="15" customHeight="1" x14ac:dyDescent="0.2">
      <c r="A39" s="1">
        <f t="shared" si="0"/>
        <v>33</v>
      </c>
      <c r="B39" s="1" t="s">
        <v>109</v>
      </c>
      <c r="C39" s="1" t="s">
        <v>108</v>
      </c>
      <c r="D39" s="1" t="s">
        <v>32</v>
      </c>
      <c r="E39" s="1" t="s">
        <v>72</v>
      </c>
      <c r="F39" s="1" t="s">
        <v>110</v>
      </c>
      <c r="G39" s="2">
        <v>80079.179999999993</v>
      </c>
      <c r="H39" s="2">
        <v>54.635300000000001</v>
      </c>
      <c r="I39" s="2">
        <v>43751.5</v>
      </c>
      <c r="J39" s="3">
        <v>30.11</v>
      </c>
      <c r="K39" s="3">
        <v>0</v>
      </c>
      <c r="L39" s="2">
        <v>0.2478001</v>
      </c>
      <c r="M39" s="2">
        <v>0.25047069999999999</v>
      </c>
      <c r="N39" s="2">
        <v>0.26540249999999999</v>
      </c>
      <c r="O39" s="2">
        <v>0.1158786</v>
      </c>
      <c r="P39" s="2">
        <v>38.816630000000004</v>
      </c>
      <c r="Q39" s="2">
        <v>16.26754</v>
      </c>
      <c r="R39" s="2">
        <v>13.736280000000001</v>
      </c>
      <c r="S39" s="2">
        <v>10.73077</v>
      </c>
      <c r="T39" s="2" t="e">
        <v>#N/A</v>
      </c>
      <c r="U39" s="2" t="e">
        <v>#N/A</v>
      </c>
      <c r="V39" s="2">
        <v>546.18110000000001</v>
      </c>
      <c r="W39" s="2">
        <v>220.06559999999999</v>
      </c>
      <c r="X39" s="2">
        <v>1.8747419999999999</v>
      </c>
      <c r="Y39" s="2">
        <v>1.6486879999999999</v>
      </c>
      <c r="Z39" s="2">
        <v>1.4778770000000001</v>
      </c>
      <c r="AA39" s="2">
        <v>1.3241780000000001</v>
      </c>
      <c r="AB39" s="2" t="e">
        <v>#N/A</v>
      </c>
      <c r="AC39" s="2">
        <v>97.715479999999999</v>
      </c>
      <c r="AD39" s="2">
        <v>106.35039999999999</v>
      </c>
      <c r="AE39" s="2">
        <v>84.643330000000006</v>
      </c>
      <c r="AF39" s="2">
        <v>0.44634859999999998</v>
      </c>
      <c r="AG39" s="2">
        <v>0.39819719999999997</v>
      </c>
      <c r="AH39" s="2">
        <v>0.85287769999999996</v>
      </c>
      <c r="AI39" s="2">
        <v>0.44577909999999998</v>
      </c>
      <c r="AJ39" s="2">
        <v>0.39626549999999999</v>
      </c>
      <c r="AK39" s="2">
        <v>0.84802460000000002</v>
      </c>
      <c r="AL39" s="3" t="e">
        <v>#N/A</v>
      </c>
      <c r="AM39" s="3" t="e">
        <v>#N/A</v>
      </c>
      <c r="AN39" s="2">
        <v>-8.2063880000000005</v>
      </c>
      <c r="AO39" s="2">
        <v>-1.192958</v>
      </c>
      <c r="AP39" s="2">
        <v>2.4811679999999998</v>
      </c>
      <c r="AQ39" s="2">
        <v>5.5121599999999997</v>
      </c>
      <c r="AR39" s="2">
        <v>4.1916170000000003E-2</v>
      </c>
      <c r="AS39" s="2">
        <v>1.6798360000000001</v>
      </c>
      <c r="AT39" s="2">
        <v>-2.66153</v>
      </c>
      <c r="AU39" s="2">
        <v>-1.2589980000000001</v>
      </c>
      <c r="AV39" s="1" t="s">
        <v>6</v>
      </c>
      <c r="AW39" s="3">
        <v>1.2</v>
      </c>
      <c r="AX39" s="3">
        <v>41.698729999999998</v>
      </c>
      <c r="AY39" s="2">
        <v>38.488</v>
      </c>
      <c r="AZ39" s="2">
        <v>10.134829999999999</v>
      </c>
      <c r="BA39" s="2" t="e">
        <v>#N/A</v>
      </c>
      <c r="BB39" s="2">
        <v>-1.371014</v>
      </c>
      <c r="BC39" s="2">
        <v>1.827359</v>
      </c>
      <c r="BD39" s="3">
        <v>25.49</v>
      </c>
      <c r="BE39" s="2">
        <v>18.124759999999998</v>
      </c>
      <c r="BF39" s="3">
        <v>36.414960000000001</v>
      </c>
      <c r="BG39" s="2">
        <v>-17.31419</v>
      </c>
      <c r="BH39" s="2">
        <v>6.4989140000000001</v>
      </c>
      <c r="BI39" s="2">
        <v>3.8393389999999998</v>
      </c>
      <c r="BJ39" s="2">
        <v>2.9533809999999998</v>
      </c>
      <c r="BK39" s="2">
        <v>5.4301510000000004</v>
      </c>
      <c r="BL39" s="2">
        <v>16</v>
      </c>
      <c r="BM39" s="2">
        <v>13</v>
      </c>
      <c r="BN39" s="4">
        <v>20</v>
      </c>
      <c r="BO39" s="4">
        <v>0</v>
      </c>
      <c r="BP39" s="4">
        <v>0</v>
      </c>
      <c r="BQ39" s="4">
        <v>20</v>
      </c>
      <c r="BR39" s="2">
        <v>0</v>
      </c>
      <c r="BS39" s="4">
        <v>17</v>
      </c>
      <c r="BT39" s="4">
        <v>0</v>
      </c>
      <c r="BU39" s="4">
        <v>20</v>
      </c>
      <c r="BV39" s="2">
        <v>85</v>
      </c>
      <c r="BW39" s="2">
        <v>12.389699999999999</v>
      </c>
      <c r="BX39" s="2">
        <v>2659.5540000000001</v>
      </c>
      <c r="BY39" s="3">
        <v>3.6719040000000001</v>
      </c>
      <c r="BZ39" s="3">
        <v>0.13806470000000001</v>
      </c>
      <c r="CA39" s="2">
        <v>0.87860899999999997</v>
      </c>
      <c r="CB39" s="3">
        <v>0.13806470000000001</v>
      </c>
      <c r="CC39" s="3">
        <v>1.5573319999999999</v>
      </c>
      <c r="CD39" s="3">
        <v>1.8152969999999999</v>
      </c>
      <c r="CE39" s="2">
        <v>16.564579999999999</v>
      </c>
      <c r="CF39" s="3">
        <v>-445.88279999999997</v>
      </c>
      <c r="CG39" s="3">
        <v>-312.63929999999999</v>
      </c>
      <c r="CH39" s="2">
        <v>-29.88308</v>
      </c>
      <c r="CI39" s="3">
        <v>39.700789999999998</v>
      </c>
      <c r="CJ39" s="2">
        <v>5.0325040000000003</v>
      </c>
      <c r="CK39" s="3">
        <v>6037.5860000000002</v>
      </c>
      <c r="CL39" s="3">
        <v>5600.134</v>
      </c>
      <c r="CM39" s="2">
        <v>-7.2454809999999998</v>
      </c>
      <c r="CN39" s="3">
        <v>29.957709999999999</v>
      </c>
      <c r="CO39" s="3">
        <v>28.705690000000001</v>
      </c>
      <c r="CP39" s="3">
        <v>30.05904</v>
      </c>
      <c r="CQ39" s="2">
        <v>0.50836800000000004</v>
      </c>
      <c r="CR39" s="2">
        <v>4.8921109999999999</v>
      </c>
      <c r="CS39" s="2">
        <v>0.16953950000000001</v>
      </c>
      <c r="CT39" s="2">
        <v>-4.1792930000000004</v>
      </c>
      <c r="CU39" s="2">
        <v>90.604190000000003</v>
      </c>
      <c r="CV39" s="3">
        <v>0.1131433</v>
      </c>
      <c r="CW39" s="2" t="e">
        <v>#N/A</v>
      </c>
      <c r="CX39" s="2" t="e">
        <v>#N/A</v>
      </c>
      <c r="CY39" s="2" t="e">
        <v>#N/A</v>
      </c>
      <c r="CZ39" s="2">
        <v>27.737369999999999</v>
      </c>
    </row>
    <row r="40" spans="1:104" ht="15" customHeight="1" x14ac:dyDescent="0.2">
      <c r="A40" s="1">
        <f t="shared" si="0"/>
        <v>34</v>
      </c>
      <c r="B40" s="1" t="s">
        <v>112</v>
      </c>
      <c r="C40" s="1" t="s">
        <v>111</v>
      </c>
      <c r="D40" s="1" t="s">
        <v>46</v>
      </c>
      <c r="E40" s="1" t="s">
        <v>86</v>
      </c>
      <c r="F40" s="1" t="s">
        <v>113</v>
      </c>
      <c r="G40" s="2">
        <v>39446.39</v>
      </c>
      <c r="H40" s="2">
        <v>92.489900000000006</v>
      </c>
      <c r="I40" s="2">
        <v>36483.93</v>
      </c>
      <c r="J40" s="3">
        <v>58.2</v>
      </c>
      <c r="K40" s="3">
        <v>0</v>
      </c>
      <c r="L40" s="2">
        <v>3.436426</v>
      </c>
      <c r="M40" s="2">
        <v>3.5389629999999999</v>
      </c>
      <c r="N40" s="2">
        <v>3.6769759999999998</v>
      </c>
      <c r="O40" s="2">
        <v>3.8659789999999998</v>
      </c>
      <c r="P40" s="2">
        <v>16.967929999999999</v>
      </c>
      <c r="Q40" s="2">
        <v>16.95412</v>
      </c>
      <c r="R40" s="2">
        <v>16.35894</v>
      </c>
      <c r="S40" s="2">
        <v>15.17221</v>
      </c>
      <c r="T40" s="2">
        <v>9.5866209999999992</v>
      </c>
      <c r="U40" s="2">
        <v>10.630140000000001</v>
      </c>
      <c r="V40" s="2">
        <v>10.34409</v>
      </c>
      <c r="W40" s="2">
        <v>9.6005540000000007</v>
      </c>
      <c r="X40" s="2">
        <v>2.0819749999999999</v>
      </c>
      <c r="Y40" s="2">
        <v>2.0127410000000001</v>
      </c>
      <c r="Z40" s="2">
        <v>1.9232800000000001</v>
      </c>
      <c r="AA40" s="2">
        <v>1.83114</v>
      </c>
      <c r="AB40" s="2">
        <v>12.559469999999999</v>
      </c>
      <c r="AC40" s="2">
        <v>10.860910000000001</v>
      </c>
      <c r="AD40" s="2">
        <v>11.057650000000001</v>
      </c>
      <c r="AE40" s="2">
        <v>10.27234</v>
      </c>
      <c r="AF40" s="2">
        <v>4.2888659999999996</v>
      </c>
      <c r="AG40" s="2">
        <v>4.7698429999999998</v>
      </c>
      <c r="AH40" s="2">
        <v>5.173254</v>
      </c>
      <c r="AI40" s="2">
        <v>5.3454680000000003</v>
      </c>
      <c r="AJ40" s="2">
        <v>5.8487580000000001</v>
      </c>
      <c r="AK40" s="2">
        <v>6.2463449999999998</v>
      </c>
      <c r="AL40" s="3">
        <v>5.7146350000000004</v>
      </c>
      <c r="AM40" s="3">
        <v>5.5081850000000001</v>
      </c>
      <c r="AN40" s="2">
        <v>16.358409999999999</v>
      </c>
      <c r="AO40" s="2">
        <v>16.60425</v>
      </c>
      <c r="AP40" s="2">
        <v>16.735410000000002</v>
      </c>
      <c r="AQ40" s="2">
        <v>17.142589999999998</v>
      </c>
      <c r="AR40" s="2">
        <v>2.233641</v>
      </c>
      <c r="AS40" s="2">
        <v>2.1011869999999999</v>
      </c>
      <c r="AT40" s="2">
        <v>1.9081650000000001</v>
      </c>
      <c r="AU40" s="2">
        <v>1.649327</v>
      </c>
      <c r="AV40" s="1" t="s">
        <v>114</v>
      </c>
      <c r="AW40" s="3">
        <v>1.7083330000000001</v>
      </c>
      <c r="AX40" s="3">
        <v>59.339309999999998</v>
      </c>
      <c r="AY40" s="2">
        <v>1.9575720000000001</v>
      </c>
      <c r="AZ40" s="2">
        <v>11.871689999999999</v>
      </c>
      <c r="BA40" s="2">
        <v>2.9007939999999999</v>
      </c>
      <c r="BB40" s="2">
        <v>17.031980000000001</v>
      </c>
      <c r="BC40" s="2">
        <v>18.220600000000001</v>
      </c>
      <c r="BD40" s="3">
        <v>48.034999999999997</v>
      </c>
      <c r="BE40" s="2">
        <v>21.161650000000002</v>
      </c>
      <c r="BF40" s="3">
        <v>61.88</v>
      </c>
      <c r="BG40" s="2">
        <v>-5.9469940000000001</v>
      </c>
      <c r="BH40" s="2">
        <v>58.407440000000001</v>
      </c>
      <c r="BI40" s="2">
        <v>59.87724</v>
      </c>
      <c r="BJ40" s="2">
        <v>60.001899999999999</v>
      </c>
      <c r="BK40" s="2">
        <v>58.822200000000002</v>
      </c>
      <c r="BL40" s="2">
        <v>23</v>
      </c>
      <c r="BM40" s="2">
        <v>22</v>
      </c>
      <c r="BN40" s="4">
        <v>24</v>
      </c>
      <c r="BO40" s="4">
        <v>1</v>
      </c>
      <c r="BP40" s="4">
        <v>0</v>
      </c>
      <c r="BQ40" s="4">
        <v>23</v>
      </c>
      <c r="BR40" s="2">
        <v>4.1666670000000003</v>
      </c>
      <c r="BS40" s="4">
        <v>12</v>
      </c>
      <c r="BT40" s="4">
        <v>5</v>
      </c>
      <c r="BU40" s="4">
        <v>24</v>
      </c>
      <c r="BV40" s="2">
        <v>50</v>
      </c>
      <c r="BW40" s="2">
        <v>4.9609800000000002</v>
      </c>
      <c r="BX40" s="2">
        <v>677.7731</v>
      </c>
      <c r="BY40" s="3">
        <v>1.2146790000000001</v>
      </c>
      <c r="BZ40" s="3">
        <v>0.17921619999999999</v>
      </c>
      <c r="CA40" s="2">
        <v>0.376413</v>
      </c>
      <c r="CB40" s="3">
        <v>0.17921619999999999</v>
      </c>
      <c r="CC40" s="3">
        <v>3.43445</v>
      </c>
      <c r="CD40" s="3">
        <v>3.439174</v>
      </c>
      <c r="CE40" s="2">
        <v>0.13754369999999999</v>
      </c>
      <c r="CF40" s="3">
        <v>3463.8130000000001</v>
      </c>
      <c r="CG40" s="3">
        <v>3433.4119999999998</v>
      </c>
      <c r="CH40" s="2">
        <v>-0.87767839999999997</v>
      </c>
      <c r="CI40" s="3">
        <v>59.172730000000001</v>
      </c>
      <c r="CJ40" s="2">
        <v>0.2815127</v>
      </c>
      <c r="CK40" s="3">
        <v>27853.78</v>
      </c>
      <c r="CL40" s="3">
        <v>27883.32</v>
      </c>
      <c r="CM40" s="2">
        <v>0.1060605</v>
      </c>
      <c r="CN40" s="3">
        <v>56.101649999999999</v>
      </c>
      <c r="CO40" s="3">
        <v>56.73706</v>
      </c>
      <c r="CP40" s="3">
        <v>58.507309999999997</v>
      </c>
      <c r="CQ40" s="2">
        <v>3.7402630000000001</v>
      </c>
      <c r="CR40" s="2">
        <v>2.578449</v>
      </c>
      <c r="CS40" s="2">
        <v>-0.52524210000000005</v>
      </c>
      <c r="CT40" s="2">
        <v>1.1326069999999999</v>
      </c>
      <c r="CU40" s="2">
        <v>61.114600000000003</v>
      </c>
      <c r="CV40" s="3">
        <v>0.15493080000000001</v>
      </c>
      <c r="CW40" s="2" t="e">
        <v>#N/A</v>
      </c>
      <c r="CX40" s="2">
        <v>2.8986350000000001E-3</v>
      </c>
      <c r="CY40" s="2" t="e">
        <v>#N/A</v>
      </c>
      <c r="CZ40" s="2">
        <v>27.848479999999999</v>
      </c>
    </row>
    <row r="41" spans="1:104" ht="15" customHeight="1" x14ac:dyDescent="0.2">
      <c r="A41" s="1">
        <f t="shared" si="0"/>
        <v>35</v>
      </c>
      <c r="B41" s="1" t="s">
        <v>116</v>
      </c>
      <c r="C41" s="1" t="s">
        <v>115</v>
      </c>
      <c r="D41" s="1" t="s">
        <v>20</v>
      </c>
      <c r="E41" s="1" t="s">
        <v>12</v>
      </c>
      <c r="F41" s="1" t="s">
        <v>13</v>
      </c>
      <c r="G41" s="2">
        <v>23866.22</v>
      </c>
      <c r="H41" s="2">
        <v>97.526200000000003</v>
      </c>
      <c r="I41" s="2">
        <v>23275.81</v>
      </c>
      <c r="J41" s="3">
        <v>115.74</v>
      </c>
      <c r="K41" s="3">
        <v>0</v>
      </c>
      <c r="L41" s="2">
        <v>7.5168480000000004</v>
      </c>
      <c r="M41" s="2">
        <v>7.568689</v>
      </c>
      <c r="N41" s="2">
        <v>7.6634609999999999</v>
      </c>
      <c r="O41" s="2">
        <v>7.8840510000000004</v>
      </c>
      <c r="P41" s="2">
        <v>3.9061759999999999</v>
      </c>
      <c r="Q41" s="2">
        <v>3.8331780000000002</v>
      </c>
      <c r="R41" s="2">
        <v>3.8009849999999998</v>
      </c>
      <c r="S41" s="2">
        <v>3.6328939999999998</v>
      </c>
      <c r="T41" s="2">
        <v>0.52496169999999998</v>
      </c>
      <c r="U41" s="2">
        <v>0.54300190000000004</v>
      </c>
      <c r="V41" s="2">
        <v>0.47739219999999999</v>
      </c>
      <c r="W41" s="2">
        <v>0.44791160000000002</v>
      </c>
      <c r="X41" s="2">
        <v>0.35083360000000002</v>
      </c>
      <c r="Y41" s="2">
        <v>0.33674209999999999</v>
      </c>
      <c r="Z41" s="2">
        <v>0.32283830000000002</v>
      </c>
      <c r="AA41" s="2">
        <v>0.31034669999999998</v>
      </c>
      <c r="AB41" s="2">
        <v>1.9419459999999999</v>
      </c>
      <c r="AC41" s="2">
        <v>1.6977720000000001</v>
      </c>
      <c r="AD41" s="2">
        <v>1.612876</v>
      </c>
      <c r="AE41" s="2">
        <v>1.5633060000000001</v>
      </c>
      <c r="AF41" s="2">
        <v>-61.461129999999997</v>
      </c>
      <c r="AG41" s="2">
        <v>-56.593209999999999</v>
      </c>
      <c r="AH41" s="2">
        <v>-63.013080000000002</v>
      </c>
      <c r="AI41" s="2">
        <v>34.302869999999999</v>
      </c>
      <c r="AJ41" s="2">
        <v>37.696669999999997</v>
      </c>
      <c r="AK41" s="2">
        <v>44.79195</v>
      </c>
      <c r="AL41" s="3">
        <v>0.82083680000000003</v>
      </c>
      <c r="AM41" s="3">
        <v>0.82211400000000001</v>
      </c>
      <c r="AN41" s="2">
        <v>16.75564</v>
      </c>
      <c r="AO41" s="2">
        <v>13.794129999999999</v>
      </c>
      <c r="AP41" s="2">
        <v>13.885199999999999</v>
      </c>
      <c r="AQ41" s="2">
        <v>13.599460000000001</v>
      </c>
      <c r="AR41" s="2">
        <v>-0.91937729999999995</v>
      </c>
      <c r="AS41" s="2">
        <v>-0.85655300000000001</v>
      </c>
      <c r="AT41" s="2">
        <v>-0.90407150000000003</v>
      </c>
      <c r="AU41" s="2">
        <v>-0.91768289999999997</v>
      </c>
      <c r="AV41" s="1" t="s">
        <v>6</v>
      </c>
      <c r="AW41" s="3">
        <v>1.5</v>
      </c>
      <c r="AX41" s="3">
        <v>135</v>
      </c>
      <c r="AY41" s="2">
        <v>16.640750000000001</v>
      </c>
      <c r="AZ41" s="2">
        <v>8.7849319999999995</v>
      </c>
      <c r="BA41" s="2">
        <v>4.7055170000000004</v>
      </c>
      <c r="BB41" s="2">
        <v>-15.98432</v>
      </c>
      <c r="BC41" s="2">
        <v>-0.58408979999999999</v>
      </c>
      <c r="BD41" s="3">
        <v>97.83</v>
      </c>
      <c r="BE41" s="2">
        <v>18.307269999999999</v>
      </c>
      <c r="BF41" s="3">
        <v>143.19999999999999</v>
      </c>
      <c r="BG41" s="2">
        <v>-19.175979999999999</v>
      </c>
      <c r="BH41" s="2">
        <v>28.79974</v>
      </c>
      <c r="BI41" s="2">
        <v>29.180569999999999</v>
      </c>
      <c r="BJ41" s="2">
        <v>28.752269999999999</v>
      </c>
      <c r="BK41" s="2">
        <v>27.95337</v>
      </c>
      <c r="BL41" s="2">
        <v>21</v>
      </c>
      <c r="BM41" s="2">
        <v>20</v>
      </c>
      <c r="BN41" s="4">
        <v>23</v>
      </c>
      <c r="BO41" s="4">
        <v>3</v>
      </c>
      <c r="BP41" s="4">
        <v>1</v>
      </c>
      <c r="BQ41" s="4">
        <v>20</v>
      </c>
      <c r="BR41" s="2">
        <v>12.5</v>
      </c>
      <c r="BS41" s="4">
        <v>13</v>
      </c>
      <c r="BT41" s="4">
        <v>1</v>
      </c>
      <c r="BU41" s="4">
        <v>23</v>
      </c>
      <c r="BV41" s="2">
        <v>56.521740000000001</v>
      </c>
      <c r="BW41" s="2">
        <v>9.6753900000000002</v>
      </c>
      <c r="BX41" s="2">
        <v>206.2054</v>
      </c>
      <c r="BY41" s="3">
        <v>1.04312</v>
      </c>
      <c r="BZ41" s="3">
        <v>0.50586430000000004</v>
      </c>
      <c r="CA41" s="2">
        <v>1.3971499999999999</v>
      </c>
      <c r="CB41" s="3">
        <v>0.50586430000000004</v>
      </c>
      <c r="CC41" s="3">
        <v>31.224930000000001</v>
      </c>
      <c r="CD41" s="3">
        <v>29.965340000000001</v>
      </c>
      <c r="CE41" s="2">
        <v>-4.0339169999999998</v>
      </c>
      <c r="CF41" s="3">
        <v>23134.77</v>
      </c>
      <c r="CG41" s="3">
        <v>22006.25</v>
      </c>
      <c r="CH41" s="2">
        <v>-4.8780260000000002</v>
      </c>
      <c r="CI41" s="3">
        <v>153.7381</v>
      </c>
      <c r="CJ41" s="2">
        <v>-12.188330000000001</v>
      </c>
      <c r="CK41" s="3">
        <v>308605.90000000002</v>
      </c>
      <c r="CL41" s="3">
        <v>312374.7</v>
      </c>
      <c r="CM41" s="2">
        <v>1.2212400000000001</v>
      </c>
      <c r="CN41" s="3">
        <v>116.67440000000001</v>
      </c>
      <c r="CO41" s="3">
        <v>106.7906</v>
      </c>
      <c r="CP41" s="3">
        <v>109.0731</v>
      </c>
      <c r="CQ41" s="2">
        <v>-0.80087180000000002</v>
      </c>
      <c r="CR41" s="2">
        <v>8.3803289999999997</v>
      </c>
      <c r="CS41" s="2">
        <v>6.1123370000000001</v>
      </c>
      <c r="CT41" s="2">
        <v>-8.4712739999999993</v>
      </c>
      <c r="CU41" s="2">
        <v>101.57259999999999</v>
      </c>
      <c r="CV41" s="3">
        <v>0.42559170000000002</v>
      </c>
      <c r="CW41" s="2">
        <v>9.7983720000000005</v>
      </c>
      <c r="CX41" s="2">
        <v>2.899232</v>
      </c>
      <c r="CY41" s="2">
        <v>-10.93121</v>
      </c>
      <c r="CZ41" s="2">
        <v>28.343440000000001</v>
      </c>
    </row>
    <row r="42" spans="1:104" ht="15" customHeight="1" x14ac:dyDescent="0.2">
      <c r="A42" s="1">
        <f t="shared" si="0"/>
        <v>36</v>
      </c>
      <c r="B42" s="1" t="s">
        <v>118</v>
      </c>
      <c r="C42" s="1" t="s">
        <v>117</v>
      </c>
      <c r="D42" s="1" t="s">
        <v>46</v>
      </c>
      <c r="E42" s="1" t="s">
        <v>106</v>
      </c>
      <c r="F42" s="1" t="s">
        <v>119</v>
      </c>
      <c r="G42" s="2">
        <v>111326.8</v>
      </c>
      <c r="H42" s="2">
        <v>89.634200000000007</v>
      </c>
      <c r="I42" s="2">
        <v>99786.91</v>
      </c>
      <c r="J42" s="3">
        <v>88.02</v>
      </c>
      <c r="K42" s="3">
        <v>0</v>
      </c>
      <c r="L42" s="2">
        <v>4.0445349999999998</v>
      </c>
      <c r="M42" s="2">
        <v>4.1467850000000004</v>
      </c>
      <c r="N42" s="2">
        <v>4.2908470000000003</v>
      </c>
      <c r="O42" s="2">
        <v>4.5495520000000003</v>
      </c>
      <c r="P42" s="2">
        <v>10.656169999999999</v>
      </c>
      <c r="Q42" s="2">
        <v>10.800230000000001</v>
      </c>
      <c r="R42" s="2">
        <v>11.079040000000001</v>
      </c>
      <c r="S42" s="2">
        <v>9.7259659999999997</v>
      </c>
      <c r="T42" s="2">
        <v>8.2580139999999993</v>
      </c>
      <c r="U42" s="2">
        <v>8.2376170000000002</v>
      </c>
      <c r="V42" s="2">
        <v>7.7984780000000002</v>
      </c>
      <c r="W42" s="2">
        <v>6.6157250000000003</v>
      </c>
      <c r="X42" s="2">
        <v>1.513541</v>
      </c>
      <c r="Y42" s="2">
        <v>1.4110290000000001</v>
      </c>
      <c r="Z42" s="2">
        <v>1.341556</v>
      </c>
      <c r="AA42" s="2">
        <v>1.257708</v>
      </c>
      <c r="AB42" s="2">
        <v>10.24091</v>
      </c>
      <c r="AC42" s="2">
        <v>9.7656589999999994</v>
      </c>
      <c r="AD42" s="2">
        <v>9.6165859999999999</v>
      </c>
      <c r="AE42" s="2">
        <v>8.8515680000000003</v>
      </c>
      <c r="AF42" s="2">
        <v>7.2186849999999998</v>
      </c>
      <c r="AG42" s="2">
        <v>7.8745010000000004</v>
      </c>
      <c r="AH42" s="2">
        <v>9.2611530000000002</v>
      </c>
      <c r="AI42" s="2">
        <v>7.5746380000000002</v>
      </c>
      <c r="AJ42" s="2">
        <v>7.9511690000000002</v>
      </c>
      <c r="AK42" s="2">
        <v>9.0055069999999997</v>
      </c>
      <c r="AL42" s="3">
        <v>2.234118</v>
      </c>
      <c r="AM42" s="3">
        <v>2.2736269999999998</v>
      </c>
      <c r="AN42" s="2">
        <v>32.569560000000003</v>
      </c>
      <c r="AO42" s="2">
        <v>30.768619999999999</v>
      </c>
      <c r="AP42" s="2">
        <v>30.112459999999999</v>
      </c>
      <c r="AQ42" s="2">
        <v>32.253489999999999</v>
      </c>
      <c r="AR42" s="2">
        <v>0.55516469999999996</v>
      </c>
      <c r="AS42" s="2">
        <v>0.38711020000000002</v>
      </c>
      <c r="AT42" s="2">
        <v>7.5196860000000004E-2</v>
      </c>
      <c r="AU42" s="2">
        <v>-0.18780730000000001</v>
      </c>
      <c r="AV42" s="1" t="s">
        <v>6</v>
      </c>
      <c r="AW42" s="3">
        <v>1.4761899999999999</v>
      </c>
      <c r="AX42" s="3">
        <v>101.0749</v>
      </c>
      <c r="AY42" s="2">
        <v>14.83175</v>
      </c>
      <c r="AZ42" s="2">
        <v>13.0648</v>
      </c>
      <c r="BA42" s="2">
        <v>5</v>
      </c>
      <c r="BB42" s="2">
        <v>-2.221727</v>
      </c>
      <c r="BC42" s="2">
        <v>-2.0258250000000002</v>
      </c>
      <c r="BD42" s="3">
        <v>80.599999999999994</v>
      </c>
      <c r="BE42" s="2">
        <v>9.2059499999999996</v>
      </c>
      <c r="BF42" s="3">
        <v>105.18</v>
      </c>
      <c r="BG42" s="2">
        <v>-16.314889999999998</v>
      </c>
      <c r="BH42" s="2">
        <v>42.869250000000001</v>
      </c>
      <c r="BI42" s="2">
        <v>44.63335</v>
      </c>
      <c r="BJ42" s="2">
        <v>46.923090000000002</v>
      </c>
      <c r="BK42" s="2">
        <v>44.889499999999998</v>
      </c>
      <c r="BL42" s="2">
        <v>20</v>
      </c>
      <c r="BM42" s="2">
        <v>19</v>
      </c>
      <c r="BN42" s="4">
        <v>21</v>
      </c>
      <c r="BO42" s="4">
        <v>2</v>
      </c>
      <c r="BP42" s="4">
        <v>1</v>
      </c>
      <c r="BQ42" s="4">
        <v>19</v>
      </c>
      <c r="BR42" s="2">
        <v>9.0909089999999999</v>
      </c>
      <c r="BS42" s="4">
        <v>13</v>
      </c>
      <c r="BT42" s="4">
        <v>1</v>
      </c>
      <c r="BU42" s="4">
        <v>21</v>
      </c>
      <c r="BV42" s="2">
        <v>61.904760000000003</v>
      </c>
      <c r="BW42" s="2">
        <v>6.0151300000000001</v>
      </c>
      <c r="BX42" s="2">
        <v>1264.79</v>
      </c>
      <c r="BY42" s="3">
        <v>1.568689</v>
      </c>
      <c r="BZ42" s="3">
        <v>0.1240276</v>
      </c>
      <c r="CA42" s="2">
        <v>0.548342</v>
      </c>
      <c r="CB42" s="3">
        <v>0.1240276</v>
      </c>
      <c r="CC42" s="3">
        <v>8.208278</v>
      </c>
      <c r="CD42" s="3">
        <v>8.1666889999999999</v>
      </c>
      <c r="CE42" s="2">
        <v>-0.50666929999999999</v>
      </c>
      <c r="CF42" s="3">
        <v>12652.52</v>
      </c>
      <c r="CG42" s="3">
        <v>12665.25</v>
      </c>
      <c r="CH42" s="2">
        <v>0.1006365</v>
      </c>
      <c r="CI42" s="3">
        <v>114.3296</v>
      </c>
      <c r="CJ42" s="2">
        <v>-11.593439999999999</v>
      </c>
      <c r="CK42" s="3">
        <v>45347.42</v>
      </c>
      <c r="CL42" s="3">
        <v>45078.400000000001</v>
      </c>
      <c r="CM42" s="2">
        <v>-0.59323910000000002</v>
      </c>
      <c r="CN42" s="3">
        <v>96.2</v>
      </c>
      <c r="CO42" s="3">
        <v>90.716840000000005</v>
      </c>
      <c r="CP42" s="3">
        <v>85.955389999999994</v>
      </c>
      <c r="CQ42" s="2">
        <v>-8.5031269999999992</v>
      </c>
      <c r="CR42" s="2">
        <v>-2.972817</v>
      </c>
      <c r="CS42" s="2">
        <v>2.401948</v>
      </c>
      <c r="CT42" s="2">
        <v>-5.6997540000000004</v>
      </c>
      <c r="CU42" s="2">
        <v>159.07159999999999</v>
      </c>
      <c r="CV42" s="3">
        <v>0.14288709999999999</v>
      </c>
      <c r="CW42" s="2">
        <v>-2.0514589999999999</v>
      </c>
      <c r="CX42" s="2">
        <v>1.7967960000000001</v>
      </c>
      <c r="CY42" s="2">
        <v>-0.22247690000000001</v>
      </c>
      <c r="CZ42" s="2">
        <v>28.44444</v>
      </c>
    </row>
    <row r="43" spans="1:104" ht="15" customHeight="1" x14ac:dyDescent="0.2">
      <c r="A43" s="1">
        <f t="shared" si="0"/>
        <v>37</v>
      </c>
      <c r="B43" s="1" t="s">
        <v>121</v>
      </c>
      <c r="C43" s="1" t="s">
        <v>120</v>
      </c>
      <c r="D43" s="1" t="s">
        <v>32</v>
      </c>
      <c r="E43" s="1" t="s">
        <v>39</v>
      </c>
      <c r="F43" s="1" t="s">
        <v>40</v>
      </c>
      <c r="G43" s="2">
        <v>36802.14</v>
      </c>
      <c r="H43" s="2">
        <v>95.300200000000004</v>
      </c>
      <c r="I43" s="2">
        <v>35072.519999999997</v>
      </c>
      <c r="J43" s="3">
        <v>1186.4000000000001</v>
      </c>
      <c r="K43" s="3">
        <v>0</v>
      </c>
      <c r="L43" s="2">
        <v>0</v>
      </c>
      <c r="M43" s="2">
        <v>0</v>
      </c>
      <c r="N43" s="2">
        <v>0</v>
      </c>
      <c r="O43" s="2">
        <v>0</v>
      </c>
      <c r="P43" s="2">
        <v>65.294439999999994</v>
      </c>
      <c r="Q43" s="2">
        <v>59.32</v>
      </c>
      <c r="R43" s="2">
        <v>47.532049999999998</v>
      </c>
      <c r="S43" s="2">
        <v>37.571640000000002</v>
      </c>
      <c r="T43" s="2">
        <v>47.953409999999998</v>
      </c>
      <c r="U43" s="2">
        <v>42.68665</v>
      </c>
      <c r="V43" s="2">
        <v>32.740389999999998</v>
      </c>
      <c r="W43" s="2">
        <v>23.549679999999999</v>
      </c>
      <c r="X43" s="2">
        <v>15.268980000000001</v>
      </c>
      <c r="Y43" s="2">
        <v>12.04834</v>
      </c>
      <c r="Z43" s="2">
        <v>9.6220599999999994</v>
      </c>
      <c r="AA43" s="2">
        <v>7.6541940000000004</v>
      </c>
      <c r="AB43" s="2">
        <v>18.221920000000001</v>
      </c>
      <c r="AC43" s="2">
        <v>49.079230000000003</v>
      </c>
      <c r="AD43" s="2">
        <v>39.709609999999998</v>
      </c>
      <c r="AE43" s="2">
        <v>32.3157</v>
      </c>
      <c r="AF43" s="2">
        <v>2.4543270000000001</v>
      </c>
      <c r="AG43" s="2">
        <v>3.782791</v>
      </c>
      <c r="AH43" s="2">
        <v>5.2133180000000001</v>
      </c>
      <c r="AI43" s="2">
        <v>2.0006360000000001</v>
      </c>
      <c r="AJ43" s="2">
        <v>3.0179930000000001</v>
      </c>
      <c r="AK43" s="2">
        <v>4.0374169999999996</v>
      </c>
      <c r="AL43" s="3">
        <v>2.9928659999999998</v>
      </c>
      <c r="AM43" s="3">
        <v>2.4010509999999998</v>
      </c>
      <c r="AN43" s="2">
        <v>56.023069999999997</v>
      </c>
      <c r="AO43" s="2">
        <v>43.475160000000002</v>
      </c>
      <c r="AP43" s="2">
        <v>45.165819999999997</v>
      </c>
      <c r="AQ43" s="2">
        <v>49.291370000000001</v>
      </c>
      <c r="AR43" s="2">
        <v>-6.8392150000000003</v>
      </c>
      <c r="AS43" s="2">
        <v>-9.6801829999999995</v>
      </c>
      <c r="AT43" s="2">
        <v>-8.2968270000000004</v>
      </c>
      <c r="AU43" s="2">
        <v>-6.8588579999999997</v>
      </c>
      <c r="AV43" s="1" t="s">
        <v>88</v>
      </c>
      <c r="AW43" s="3">
        <v>1.5882350000000001</v>
      </c>
      <c r="AX43" s="3">
        <v>1000</v>
      </c>
      <c r="AY43" s="2">
        <v>-15.711399999999999</v>
      </c>
      <c r="AZ43" s="2">
        <v>20.310749999999999</v>
      </c>
      <c r="BA43" s="2">
        <v>21.208400000000001</v>
      </c>
      <c r="BB43" s="2">
        <v>-21.11702</v>
      </c>
      <c r="BC43" s="2">
        <v>-7.9167959999999997</v>
      </c>
      <c r="BD43" s="3">
        <v>602.79999999999995</v>
      </c>
      <c r="BE43" s="2">
        <v>96.814869999999999</v>
      </c>
      <c r="BF43" s="3">
        <v>1699.2</v>
      </c>
      <c r="BG43" s="2">
        <v>-30.178909999999998</v>
      </c>
      <c r="BH43" s="2">
        <v>0</v>
      </c>
      <c r="BI43" s="2">
        <v>0</v>
      </c>
      <c r="BJ43" s="2">
        <v>0</v>
      </c>
      <c r="BK43" s="2">
        <v>0</v>
      </c>
      <c r="BL43" s="2">
        <v>31</v>
      </c>
      <c r="BM43" s="2">
        <v>29</v>
      </c>
      <c r="BN43" s="4">
        <v>34</v>
      </c>
      <c r="BO43" s="4">
        <v>5</v>
      </c>
      <c r="BP43" s="4">
        <v>3</v>
      </c>
      <c r="BQ43" s="4">
        <v>28</v>
      </c>
      <c r="BR43" s="2">
        <v>13.88889</v>
      </c>
      <c r="BS43" s="4">
        <v>15</v>
      </c>
      <c r="BT43" s="4">
        <v>0</v>
      </c>
      <c r="BU43" s="4">
        <v>34</v>
      </c>
      <c r="BV43" s="2">
        <v>44.117649999999998</v>
      </c>
      <c r="BW43" s="2">
        <v>18.2835</v>
      </c>
      <c r="BX43" s="2">
        <v>31.020009999999999</v>
      </c>
      <c r="BY43" s="3">
        <v>9.9004629999999996E-2</v>
      </c>
      <c r="BZ43" s="3">
        <v>0.31916369999999999</v>
      </c>
      <c r="CA43" s="2">
        <v>2.5994899999999999</v>
      </c>
      <c r="CB43" s="3">
        <v>0.31916369999999999</v>
      </c>
      <c r="CC43" s="3">
        <v>20.013269999999999</v>
      </c>
      <c r="CD43" s="3">
        <v>19.936489999999999</v>
      </c>
      <c r="CE43" s="2">
        <v>-0.38362740000000001</v>
      </c>
      <c r="CF43" s="3">
        <v>626.06320000000005</v>
      </c>
      <c r="CG43" s="3">
        <v>621.49680000000001</v>
      </c>
      <c r="CH43" s="2">
        <v>-0.72938199999999997</v>
      </c>
      <c r="CI43" s="3">
        <v>1106.3800000000001</v>
      </c>
      <c r="CJ43" s="2">
        <v>-9.6151710000000001</v>
      </c>
      <c r="CK43" s="3">
        <v>1634.287</v>
      </c>
      <c r="CL43" s="3">
        <v>1626.836</v>
      </c>
      <c r="CM43" s="2">
        <v>-0.4559338</v>
      </c>
      <c r="CN43" s="3">
        <v>1209.875</v>
      </c>
      <c r="CO43" s="3">
        <v>892.94709999999998</v>
      </c>
      <c r="CP43" s="3">
        <v>1086.5889999999999</v>
      </c>
      <c r="CQ43" s="2">
        <v>-1.9402440000000001</v>
      </c>
      <c r="CR43" s="2">
        <v>32.863410000000002</v>
      </c>
      <c r="CS43" s="2">
        <v>9.1857550000000003</v>
      </c>
      <c r="CT43" s="2">
        <v>-26.195070000000001</v>
      </c>
      <c r="CU43" s="2">
        <v>108.961</v>
      </c>
      <c r="CV43" s="3">
        <v>0.29607250000000002</v>
      </c>
      <c r="CW43" s="2">
        <v>-3.2407409999999999</v>
      </c>
      <c r="CX43" s="2">
        <v>-9.6618350000000006E-2</v>
      </c>
      <c r="CY43" s="2" t="e">
        <v>#N/A</v>
      </c>
      <c r="CZ43" s="2">
        <v>29.010100000000001</v>
      </c>
    </row>
    <row r="44" spans="1:104" ht="15" customHeight="1" x14ac:dyDescent="0.2">
      <c r="A44" s="1">
        <f t="shared" si="0"/>
        <v>38</v>
      </c>
      <c r="B44" s="1" t="s">
        <v>123</v>
      </c>
      <c r="C44" s="1" t="s">
        <v>122</v>
      </c>
      <c r="D44" s="1" t="s">
        <v>20</v>
      </c>
      <c r="E44" s="1" t="s">
        <v>12</v>
      </c>
      <c r="F44" s="1" t="s">
        <v>13</v>
      </c>
      <c r="G44" s="2">
        <v>67934.67</v>
      </c>
      <c r="H44" s="2">
        <v>80.334199999999996</v>
      </c>
      <c r="I44" s="2">
        <v>54574.77</v>
      </c>
      <c r="J44" s="3">
        <v>63.5</v>
      </c>
      <c r="K44" s="3">
        <v>0</v>
      </c>
      <c r="L44" s="2">
        <v>8.1889760000000003</v>
      </c>
      <c r="M44" s="2">
        <v>8.1889760000000003</v>
      </c>
      <c r="N44" s="2">
        <v>8.0472439999999992</v>
      </c>
      <c r="O44" s="2">
        <v>8.2283460000000002</v>
      </c>
      <c r="P44" s="2">
        <v>4.6863469999999996</v>
      </c>
      <c r="Q44" s="2">
        <v>4.8252280000000001</v>
      </c>
      <c r="R44" s="2">
        <v>5.4357129999999998</v>
      </c>
      <c r="S44" s="2">
        <v>5.3421950000000002</v>
      </c>
      <c r="T44" s="2">
        <v>1.445519</v>
      </c>
      <c r="U44" s="2">
        <v>1.5115940000000001</v>
      </c>
      <c r="V44" s="2">
        <v>1.5884389999999999</v>
      </c>
      <c r="W44" s="2">
        <v>1.449983</v>
      </c>
      <c r="X44" s="2">
        <v>0.83762040000000004</v>
      </c>
      <c r="Y44" s="2">
        <v>0.72260369999999996</v>
      </c>
      <c r="Z44" s="2">
        <v>0.66951340000000004</v>
      </c>
      <c r="AA44" s="2">
        <v>0.62224400000000002</v>
      </c>
      <c r="AB44" s="2">
        <v>4.0357229999999999</v>
      </c>
      <c r="AC44" s="2">
        <v>3.730318</v>
      </c>
      <c r="AD44" s="2">
        <v>3.9030429999999998</v>
      </c>
      <c r="AE44" s="2">
        <v>3.734289</v>
      </c>
      <c r="AF44" s="2">
        <v>25.11374</v>
      </c>
      <c r="AG44" s="2">
        <v>23.991420000000002</v>
      </c>
      <c r="AH44" s="2">
        <v>27.417149999999999</v>
      </c>
      <c r="AI44" s="2">
        <v>14.490769999999999</v>
      </c>
      <c r="AJ44" s="2">
        <v>13.65986</v>
      </c>
      <c r="AK44" s="2">
        <v>14.08503</v>
      </c>
      <c r="AL44" s="3" t="e">
        <v>#N/A</v>
      </c>
      <c r="AM44" s="3" t="e">
        <v>#N/A</v>
      </c>
      <c r="AN44" s="2">
        <v>18.01662</v>
      </c>
      <c r="AO44" s="2">
        <v>17.06288</v>
      </c>
      <c r="AP44" s="2">
        <v>15.86125</v>
      </c>
      <c r="AQ44" s="2">
        <v>15.26394</v>
      </c>
      <c r="AR44" s="2">
        <v>-0.98484899999999997</v>
      </c>
      <c r="AS44" s="2">
        <v>-1.1081289999999999</v>
      </c>
      <c r="AT44" s="2">
        <v>-1.2014089999999999</v>
      </c>
      <c r="AU44" s="2">
        <v>-1.3724749999999999</v>
      </c>
      <c r="AV44" s="1" t="s">
        <v>6</v>
      </c>
      <c r="AW44" s="3">
        <v>1.4583330000000001</v>
      </c>
      <c r="AX44" s="3">
        <v>78</v>
      </c>
      <c r="AY44" s="2">
        <v>22.83465</v>
      </c>
      <c r="AZ44" s="2">
        <v>14.975529999999999</v>
      </c>
      <c r="BA44" s="2">
        <v>-4.3237639999999997</v>
      </c>
      <c r="BB44" s="2">
        <v>-1.6418809999999999</v>
      </c>
      <c r="BC44" s="2">
        <v>3.4201980000000001</v>
      </c>
      <c r="BD44" s="3">
        <v>55.08</v>
      </c>
      <c r="BE44" s="2">
        <v>15.286849999999999</v>
      </c>
      <c r="BF44" s="3">
        <v>76.099999999999994</v>
      </c>
      <c r="BG44" s="2">
        <v>-16.55716</v>
      </c>
      <c r="BH44" s="2">
        <v>37.963099999999997</v>
      </c>
      <c r="BI44" s="2">
        <v>40.367260000000002</v>
      </c>
      <c r="BJ44" s="2">
        <v>42.750450000000001</v>
      </c>
      <c r="BK44" s="2">
        <v>42.516649999999998</v>
      </c>
      <c r="BL44" s="2">
        <v>21</v>
      </c>
      <c r="BM44" s="2">
        <v>20</v>
      </c>
      <c r="BN44" s="4">
        <v>24</v>
      </c>
      <c r="BO44" s="4">
        <v>1</v>
      </c>
      <c r="BP44" s="4">
        <v>3</v>
      </c>
      <c r="BQ44" s="4">
        <v>20</v>
      </c>
      <c r="BR44" s="2">
        <v>4.1666670000000003</v>
      </c>
      <c r="BS44" s="4">
        <v>15</v>
      </c>
      <c r="BT44" s="4">
        <v>2</v>
      </c>
      <c r="BU44" s="4">
        <v>24</v>
      </c>
      <c r="BV44" s="2">
        <v>62.5</v>
      </c>
      <c r="BW44" s="2">
        <v>7.4427500000000002</v>
      </c>
      <c r="BX44" s="2">
        <v>1069.837</v>
      </c>
      <c r="BY44" s="3">
        <v>2.4518909999999998</v>
      </c>
      <c r="BZ44" s="3">
        <v>0.22918359999999999</v>
      </c>
      <c r="CA44" s="2">
        <v>1.0594399999999999</v>
      </c>
      <c r="CB44" s="3">
        <v>0.22918359999999999</v>
      </c>
      <c r="CC44" s="3">
        <v>13.11196</v>
      </c>
      <c r="CD44" s="3">
        <v>12.899760000000001</v>
      </c>
      <c r="CE44" s="2">
        <v>-1.6183559999999999</v>
      </c>
      <c r="CF44" s="3">
        <v>19750.419999999998</v>
      </c>
      <c r="CG44" s="3">
        <v>18863.75</v>
      </c>
      <c r="CH44" s="2">
        <v>-4.4893450000000001</v>
      </c>
      <c r="CI44" s="3">
        <v>89.947980000000001</v>
      </c>
      <c r="CJ44" s="2">
        <v>-13.28321</v>
      </c>
      <c r="CK44" s="3">
        <v>153899.79999999999</v>
      </c>
      <c r="CL44" s="3">
        <v>152309.29999999999</v>
      </c>
      <c r="CM44" s="2">
        <v>-1.0334669999999999</v>
      </c>
      <c r="CN44" s="3">
        <v>67.489940000000004</v>
      </c>
      <c r="CO44" s="3">
        <v>60.283929999999998</v>
      </c>
      <c r="CP44" s="3">
        <v>59.679609999999997</v>
      </c>
      <c r="CQ44" s="2">
        <v>-5.9119109999999999</v>
      </c>
      <c r="CR44" s="2">
        <v>5.3348659999999999</v>
      </c>
      <c r="CS44" s="2">
        <v>6.4015029999999999</v>
      </c>
      <c r="CT44" s="2">
        <v>-10.67717</v>
      </c>
      <c r="CU44" s="2">
        <v>163.41929999999999</v>
      </c>
      <c r="CV44" s="3">
        <v>0.24055360000000001</v>
      </c>
      <c r="CW44" s="2">
        <v>7.0002040000000001</v>
      </c>
      <c r="CX44" s="2">
        <v>6.1431439999999997E-2</v>
      </c>
      <c r="CY44" s="2">
        <v>4.7208610000000002</v>
      </c>
      <c r="CZ44" s="2">
        <v>29.36364</v>
      </c>
    </row>
    <row r="45" spans="1:104" ht="15" customHeight="1" x14ac:dyDescent="0.2">
      <c r="A45" s="1">
        <f t="shared" si="0"/>
        <v>39</v>
      </c>
      <c r="B45" s="1" t="s">
        <v>125</v>
      </c>
      <c r="C45" s="1" t="s">
        <v>124</v>
      </c>
      <c r="D45" s="1" t="s">
        <v>46</v>
      </c>
      <c r="E45" s="1" t="s">
        <v>86</v>
      </c>
      <c r="F45" s="1" t="s">
        <v>126</v>
      </c>
      <c r="G45" s="2">
        <v>237177.5</v>
      </c>
      <c r="H45" s="2">
        <v>45.2727</v>
      </c>
      <c r="I45" s="2">
        <v>107376.6</v>
      </c>
      <c r="J45" s="3">
        <v>443.55</v>
      </c>
      <c r="K45" s="3">
        <v>0</v>
      </c>
      <c r="L45" s="2">
        <v>1.352722</v>
      </c>
      <c r="M45" s="2">
        <v>1.465449</v>
      </c>
      <c r="N45" s="2">
        <v>1.6018490000000001</v>
      </c>
      <c r="O45" s="2">
        <v>1.734307</v>
      </c>
      <c r="P45" s="2">
        <v>39.391649999999998</v>
      </c>
      <c r="Q45" s="2">
        <v>36.566360000000003</v>
      </c>
      <c r="R45" s="2">
        <v>33.627029999999998</v>
      </c>
      <c r="S45" s="2">
        <v>30.99719</v>
      </c>
      <c r="T45" s="2">
        <v>20.19041</v>
      </c>
      <c r="U45" s="2">
        <v>24.366350000000001</v>
      </c>
      <c r="V45" s="2">
        <v>22.233879999999999</v>
      </c>
      <c r="W45" s="2">
        <v>20.3245</v>
      </c>
      <c r="X45" s="2">
        <v>8.7744949999999999</v>
      </c>
      <c r="Y45" s="2">
        <v>7.963298</v>
      </c>
      <c r="Z45" s="2">
        <v>7.2239409999999999</v>
      </c>
      <c r="AA45" s="2">
        <v>6.5086459999999997</v>
      </c>
      <c r="AB45" s="2">
        <v>33.773890000000002</v>
      </c>
      <c r="AC45" s="2">
        <v>30.309699999999999</v>
      </c>
      <c r="AD45" s="2">
        <v>27.826219999999999</v>
      </c>
      <c r="AE45" s="2">
        <v>25.01932</v>
      </c>
      <c r="AF45" s="2">
        <v>2.6932100000000001</v>
      </c>
      <c r="AG45" s="2">
        <v>2.9781219999999999</v>
      </c>
      <c r="AH45" s="2">
        <v>3.2586040000000001</v>
      </c>
      <c r="AI45" s="2">
        <v>2.7167479999999999</v>
      </c>
      <c r="AJ45" s="2">
        <v>2.9741740000000001</v>
      </c>
      <c r="AK45" s="2">
        <v>3.2092269999999998</v>
      </c>
      <c r="AL45" s="3">
        <v>3.856287</v>
      </c>
      <c r="AM45" s="3">
        <v>3.537204</v>
      </c>
      <c r="AN45" s="2">
        <v>23.504470000000001</v>
      </c>
      <c r="AO45" s="2">
        <v>23.658380000000001</v>
      </c>
      <c r="AP45" s="2">
        <v>23.718990000000002</v>
      </c>
      <c r="AQ45" s="2">
        <v>24.13334</v>
      </c>
      <c r="AR45" s="2">
        <v>0.3372753</v>
      </c>
      <c r="AS45" s="2">
        <v>0.21111099999999999</v>
      </c>
      <c r="AT45" s="2">
        <v>-2.9510519999999998E-2</v>
      </c>
      <c r="AU45" s="2">
        <v>-0.31271110000000002</v>
      </c>
      <c r="AV45" s="1" t="s">
        <v>88</v>
      </c>
      <c r="AW45" s="3">
        <v>1.8333330000000001</v>
      </c>
      <c r="AX45" s="3">
        <v>425</v>
      </c>
      <c r="AY45" s="2">
        <v>-4.1821659999999996</v>
      </c>
      <c r="AZ45" s="2">
        <v>21.777660000000001</v>
      </c>
      <c r="BA45" s="2">
        <v>10.11992</v>
      </c>
      <c r="BB45" s="2">
        <v>24.76792</v>
      </c>
      <c r="BC45" s="2">
        <v>32.958629999999999</v>
      </c>
      <c r="BD45" s="3">
        <v>330</v>
      </c>
      <c r="BE45" s="2">
        <v>34.409080000000003</v>
      </c>
      <c r="BF45" s="3">
        <v>455.25</v>
      </c>
      <c r="BG45" s="2">
        <v>-2.5700210000000001</v>
      </c>
      <c r="BH45" s="2">
        <v>53.295830000000002</v>
      </c>
      <c r="BI45" s="2">
        <v>53.523609999999998</v>
      </c>
      <c r="BJ45" s="2">
        <v>53.208320000000001</v>
      </c>
      <c r="BK45" s="2">
        <v>53.440890000000003</v>
      </c>
      <c r="BL45" s="2">
        <v>23</v>
      </c>
      <c r="BM45" s="2">
        <v>20</v>
      </c>
      <c r="BN45" s="4">
        <v>24</v>
      </c>
      <c r="BO45" s="4">
        <v>1</v>
      </c>
      <c r="BP45" s="4">
        <v>1</v>
      </c>
      <c r="BQ45" s="4">
        <v>23</v>
      </c>
      <c r="BR45" s="2">
        <v>4</v>
      </c>
      <c r="BS45" s="4">
        <v>9</v>
      </c>
      <c r="BT45" s="4">
        <v>4</v>
      </c>
      <c r="BU45" s="4">
        <v>24</v>
      </c>
      <c r="BV45" s="2">
        <v>37.5</v>
      </c>
      <c r="BW45" s="2">
        <v>6.5664800000000003</v>
      </c>
      <c r="BX45" s="2">
        <v>534.72550000000001</v>
      </c>
      <c r="BY45" s="3">
        <v>0.31722830000000002</v>
      </c>
      <c r="BZ45" s="3">
        <v>5.9325450000000002E-2</v>
      </c>
      <c r="CA45" s="2">
        <v>1.05677</v>
      </c>
      <c r="CB45" s="3">
        <v>5.9325450000000002E-2</v>
      </c>
      <c r="CC45" s="3">
        <v>12.145630000000001</v>
      </c>
      <c r="CD45" s="3">
        <v>12.07178</v>
      </c>
      <c r="CE45" s="2">
        <v>-0.60803289999999999</v>
      </c>
      <c r="CF45" s="3">
        <v>8227.3230000000003</v>
      </c>
      <c r="CG45" s="3">
        <v>8185.9110000000001</v>
      </c>
      <c r="CH45" s="2">
        <v>-0.50335529999999995</v>
      </c>
      <c r="CI45" s="3">
        <v>425.27359999999999</v>
      </c>
      <c r="CJ45" s="2">
        <v>-6.4331289999999999E-2</v>
      </c>
      <c r="CK45" s="3">
        <v>41567.480000000003</v>
      </c>
      <c r="CL45" s="3">
        <v>41531.839999999997</v>
      </c>
      <c r="CM45" s="2">
        <v>-8.5729360000000004E-2</v>
      </c>
      <c r="CN45" s="3">
        <v>409.75409999999999</v>
      </c>
      <c r="CO45" s="3">
        <v>413.07549999999998</v>
      </c>
      <c r="CP45" s="3">
        <v>431.46539999999999</v>
      </c>
      <c r="CQ45" s="2">
        <v>8.247852</v>
      </c>
      <c r="CR45" s="2">
        <v>7.3774579999999998</v>
      </c>
      <c r="CS45" s="2">
        <v>2.8008220000000001</v>
      </c>
      <c r="CT45" s="2">
        <v>0.81059930000000002</v>
      </c>
      <c r="CU45" s="2">
        <v>135.10480000000001</v>
      </c>
      <c r="CV45" s="3">
        <v>5.6963609999999998E-2</v>
      </c>
      <c r="CW45" s="2" t="e">
        <v>#N/A</v>
      </c>
      <c r="CX45" s="2">
        <v>9.9970019999999992E-4</v>
      </c>
      <c r="CY45" s="2" t="e">
        <v>#N/A</v>
      </c>
      <c r="CZ45" s="2">
        <v>29.929290000000002</v>
      </c>
    </row>
    <row r="46" spans="1:104" ht="15" customHeight="1" x14ac:dyDescent="0.2">
      <c r="A46" s="1">
        <f t="shared" si="0"/>
        <v>40</v>
      </c>
      <c r="B46" s="1" t="s">
        <v>128</v>
      </c>
      <c r="C46" s="1" t="s">
        <v>127</v>
      </c>
      <c r="D46" s="1" t="s">
        <v>32</v>
      </c>
      <c r="E46" s="1" t="s">
        <v>72</v>
      </c>
      <c r="F46" s="1" t="s">
        <v>129</v>
      </c>
      <c r="G46" s="2">
        <v>24960.36</v>
      </c>
      <c r="H46" s="2">
        <v>98.21</v>
      </c>
      <c r="I46" s="2">
        <v>24513.57</v>
      </c>
      <c r="J46" s="3">
        <v>25.98</v>
      </c>
      <c r="K46" s="3">
        <v>0</v>
      </c>
      <c r="L46" s="2">
        <v>4.0415710000000002</v>
      </c>
      <c r="M46" s="2">
        <v>4.1612970000000002</v>
      </c>
      <c r="N46" s="2">
        <v>4.426482</v>
      </c>
      <c r="O46" s="2">
        <v>4.7344109999999997</v>
      </c>
      <c r="P46" s="2">
        <v>10.18824</v>
      </c>
      <c r="Q46" s="2">
        <v>10.475809999999999</v>
      </c>
      <c r="R46" s="2">
        <v>10.030889999999999</v>
      </c>
      <c r="S46" s="2">
        <v>9.2078679999999995</v>
      </c>
      <c r="T46" s="2">
        <v>5.7378270000000002</v>
      </c>
      <c r="U46" s="2">
        <v>5.6219440000000001</v>
      </c>
      <c r="V46" s="2">
        <v>5.496086</v>
      </c>
      <c r="W46" s="2">
        <v>5.2924870000000004</v>
      </c>
      <c r="X46" s="2">
        <v>1.663252</v>
      </c>
      <c r="Y46" s="2">
        <v>1.6389560000000001</v>
      </c>
      <c r="Z46" s="2">
        <v>1.5309759999999999</v>
      </c>
      <c r="AA46" s="2">
        <v>1.420248</v>
      </c>
      <c r="AB46" s="2">
        <v>5.3677679999999999</v>
      </c>
      <c r="AC46" s="2">
        <v>4.6726619999999999</v>
      </c>
      <c r="AD46" s="2">
        <v>4.7320380000000002</v>
      </c>
      <c r="AE46" s="2">
        <v>4.3420579999999998</v>
      </c>
      <c r="AF46" s="2">
        <v>5.8721490000000003</v>
      </c>
      <c r="AG46" s="2">
        <v>4.8442509999999999</v>
      </c>
      <c r="AH46" s="2">
        <v>5.009093</v>
      </c>
      <c r="AI46" s="2">
        <v>9.3226929999999992</v>
      </c>
      <c r="AJ46" s="2">
        <v>7.6778779999999998</v>
      </c>
      <c r="AK46" s="2">
        <v>7.9255469999999999</v>
      </c>
      <c r="AL46" s="3">
        <v>3.3779089999999998</v>
      </c>
      <c r="AM46" s="3">
        <v>3.261361</v>
      </c>
      <c r="AN46" s="2">
        <v>8.2325490000000006</v>
      </c>
      <c r="AO46" s="2">
        <v>7.9368259999999999</v>
      </c>
      <c r="AP46" s="2">
        <v>7.9522570000000004</v>
      </c>
      <c r="AQ46" s="2">
        <v>8.0813760000000006</v>
      </c>
      <c r="AR46" s="2">
        <v>2.0132660000000002</v>
      </c>
      <c r="AS46" s="2">
        <v>2.0808110000000002</v>
      </c>
      <c r="AT46" s="2">
        <v>2.0284070000000001</v>
      </c>
      <c r="AU46" s="2">
        <v>1.9475359999999999</v>
      </c>
      <c r="AV46" s="1" t="s">
        <v>88</v>
      </c>
      <c r="AW46" s="3">
        <v>1.6842109999999999</v>
      </c>
      <c r="AX46" s="3">
        <v>31.5</v>
      </c>
      <c r="AY46" s="2">
        <v>21.247109999999999</v>
      </c>
      <c r="AZ46" s="2">
        <v>15.645160000000001</v>
      </c>
      <c r="BA46" s="2">
        <v>3.098096</v>
      </c>
      <c r="BB46" s="2">
        <v>-6.3277479999999997</v>
      </c>
      <c r="BC46" s="2">
        <v>-3.2041729999999999</v>
      </c>
      <c r="BD46" s="3">
        <v>25.965</v>
      </c>
      <c r="BE46" s="2">
        <v>5.7768819999999999E-2</v>
      </c>
      <c r="BF46" s="3">
        <v>32.51</v>
      </c>
      <c r="BG46" s="2">
        <v>-20.086130000000001</v>
      </c>
      <c r="BH46" s="2">
        <v>40.672269999999997</v>
      </c>
      <c r="BI46" s="2">
        <v>43.534529999999997</v>
      </c>
      <c r="BJ46" s="2">
        <v>44.799619999999997</v>
      </c>
      <c r="BK46" s="2">
        <v>44.160919999999997</v>
      </c>
      <c r="BL46" s="2">
        <v>16</v>
      </c>
      <c r="BM46" s="2">
        <v>16</v>
      </c>
      <c r="BN46" s="4">
        <v>19</v>
      </c>
      <c r="BO46" s="4">
        <v>0</v>
      </c>
      <c r="BP46" s="4">
        <v>3</v>
      </c>
      <c r="BQ46" s="4">
        <v>15</v>
      </c>
      <c r="BR46" s="2">
        <v>0</v>
      </c>
      <c r="BS46" s="4">
        <v>7</v>
      </c>
      <c r="BT46" s="4">
        <v>1</v>
      </c>
      <c r="BU46" s="4">
        <v>19</v>
      </c>
      <c r="BV46" s="2">
        <v>36.842109999999998</v>
      </c>
      <c r="BW46" s="2">
        <v>5.2814399999999999</v>
      </c>
      <c r="BX46" s="2">
        <v>960.75279999999998</v>
      </c>
      <c r="BY46" s="3">
        <v>2.055078</v>
      </c>
      <c r="BZ46" s="3">
        <v>0.21390290000000001</v>
      </c>
      <c r="CA46" s="2">
        <v>0.46090799999999998</v>
      </c>
      <c r="CB46" s="3">
        <v>0.21390290000000001</v>
      </c>
      <c r="CC46" s="3">
        <v>2.5007549999999998</v>
      </c>
      <c r="CD46" s="3">
        <v>2.4825409999999999</v>
      </c>
      <c r="CE46" s="2">
        <v>-0.72833899999999996</v>
      </c>
      <c r="CF46" s="3">
        <v>3596.634</v>
      </c>
      <c r="CG46" s="3">
        <v>3543.85</v>
      </c>
      <c r="CH46" s="2">
        <v>-1.4675739999999999</v>
      </c>
      <c r="CI46" s="3">
        <v>32.920560000000002</v>
      </c>
      <c r="CJ46" s="2">
        <v>-4.3151020000000004</v>
      </c>
      <c r="CK46" s="3">
        <v>88148.79</v>
      </c>
      <c r="CL46" s="3">
        <v>88730.65</v>
      </c>
      <c r="CM46" s="2">
        <v>0.6600857</v>
      </c>
      <c r="CN46" s="3">
        <v>29.68309</v>
      </c>
      <c r="CO46" s="3">
        <v>27.351369999999999</v>
      </c>
      <c r="CP46" s="3">
        <v>26.74192</v>
      </c>
      <c r="CQ46" s="2">
        <v>-12.47542</v>
      </c>
      <c r="CR46" s="2">
        <v>-5.0139129999999996</v>
      </c>
      <c r="CS46" s="2">
        <v>-2.84918</v>
      </c>
      <c r="CT46" s="2">
        <v>-7.8553680000000004</v>
      </c>
      <c r="CU46" s="2">
        <v>56.030560000000001</v>
      </c>
      <c r="CV46" s="3">
        <v>0.22447819999999999</v>
      </c>
      <c r="CW46" s="2">
        <v>-2.936785</v>
      </c>
      <c r="CX46" s="2">
        <v>0.24833179999999999</v>
      </c>
      <c r="CY46" s="2">
        <v>-2.7551519999999998</v>
      </c>
      <c r="CZ46" s="2">
        <v>30.454550000000001</v>
      </c>
    </row>
    <row r="47" spans="1:104" ht="15" customHeight="1" x14ac:dyDescent="0.2">
      <c r="A47" s="1">
        <f t="shared" si="0"/>
        <v>41</v>
      </c>
      <c r="B47" s="1" t="s">
        <v>131</v>
      </c>
      <c r="C47" s="1" t="s">
        <v>130</v>
      </c>
      <c r="D47" s="1" t="s">
        <v>132</v>
      </c>
      <c r="E47" s="1" t="s">
        <v>86</v>
      </c>
      <c r="F47" s="1" t="s">
        <v>133</v>
      </c>
      <c r="G47" s="2">
        <v>99923.59</v>
      </c>
      <c r="H47" s="2">
        <v>48.318199999999997</v>
      </c>
      <c r="I47" s="2">
        <v>48281.27</v>
      </c>
      <c r="J47" s="3">
        <v>57.52</v>
      </c>
      <c r="K47" s="3">
        <v>0</v>
      </c>
      <c r="L47" s="2">
        <v>1.2944119999999999</v>
      </c>
      <c r="M47" s="2">
        <v>1.673773</v>
      </c>
      <c r="N47" s="2">
        <v>2.0556489999999998</v>
      </c>
      <c r="O47" s="2">
        <v>2.54765</v>
      </c>
      <c r="P47" s="2">
        <v>19.01296</v>
      </c>
      <c r="Q47" s="2">
        <v>21.22026</v>
      </c>
      <c r="R47" s="2">
        <v>17.950869999999998</v>
      </c>
      <c r="S47" s="2">
        <v>15.68962</v>
      </c>
      <c r="T47" s="2">
        <v>9.594163</v>
      </c>
      <c r="U47" s="2">
        <v>9.5274769999999993</v>
      </c>
      <c r="V47" s="2">
        <v>8.6491489999999995</v>
      </c>
      <c r="W47" s="2">
        <v>7.8143149999999997</v>
      </c>
      <c r="X47" s="2">
        <v>1.6739329999999999</v>
      </c>
      <c r="Y47" s="2">
        <v>1.6572880000000001</v>
      </c>
      <c r="Z47" s="2">
        <v>1.5717429999999999</v>
      </c>
      <c r="AA47" s="2">
        <v>1.487668</v>
      </c>
      <c r="AB47" s="2">
        <v>9.4085400000000003</v>
      </c>
      <c r="AC47" s="2">
        <v>11.099819999999999</v>
      </c>
      <c r="AD47" s="2">
        <v>9.9712080000000007</v>
      </c>
      <c r="AE47" s="2">
        <v>8.6061200000000007</v>
      </c>
      <c r="AF47" s="2">
        <v>4.8559400000000004</v>
      </c>
      <c r="AG47" s="2">
        <v>5.8561180000000004</v>
      </c>
      <c r="AH47" s="2">
        <v>6.6393449999999996</v>
      </c>
      <c r="AI47" s="2">
        <v>7.7656359999999998</v>
      </c>
      <c r="AJ47" s="2">
        <v>9.0907929999999997</v>
      </c>
      <c r="AK47" s="2">
        <v>9.9736729999999998</v>
      </c>
      <c r="AL47" s="3">
        <v>1.8397380000000001</v>
      </c>
      <c r="AM47" s="3">
        <v>1.562667</v>
      </c>
      <c r="AN47" s="2">
        <v>34.338769999999997</v>
      </c>
      <c r="AO47" s="2">
        <v>33.582059999999998</v>
      </c>
      <c r="AP47" s="2">
        <v>34.398110000000003</v>
      </c>
      <c r="AQ47" s="2">
        <v>35.22701</v>
      </c>
      <c r="AR47" s="2">
        <v>3.5185</v>
      </c>
      <c r="AS47" s="2">
        <v>3.2408190000000001</v>
      </c>
      <c r="AT47" s="2">
        <v>2.7861359999999999</v>
      </c>
      <c r="AU47" s="2">
        <v>2.3576190000000001</v>
      </c>
      <c r="AV47" s="1" t="s">
        <v>6</v>
      </c>
      <c r="AW47" s="3">
        <v>1.3666670000000001</v>
      </c>
      <c r="AX47" s="3">
        <v>62.394260000000003</v>
      </c>
      <c r="AY47" s="2">
        <v>8.4740280000000006</v>
      </c>
      <c r="AZ47" s="2">
        <v>7.8099319999999999</v>
      </c>
      <c r="BA47" s="2">
        <v>10.7354</v>
      </c>
      <c r="BB47" s="2">
        <v>-3.4761430000000003E-2</v>
      </c>
      <c r="BC47" s="2">
        <v>2.2214290000000001</v>
      </c>
      <c r="BD47" s="3">
        <v>49.164999999999999</v>
      </c>
      <c r="BE47" s="2">
        <v>16.9938</v>
      </c>
      <c r="BF47" s="3">
        <v>62.01</v>
      </c>
      <c r="BG47" s="2">
        <v>-7.240767</v>
      </c>
      <c r="BH47" s="2">
        <v>24.31513</v>
      </c>
      <c r="BI47" s="2">
        <v>33.930120000000002</v>
      </c>
      <c r="BJ47" s="2">
        <v>37.089030000000001</v>
      </c>
      <c r="BK47" s="2">
        <v>41.134830000000001</v>
      </c>
      <c r="BL47" s="2">
        <v>28</v>
      </c>
      <c r="BM47" s="2">
        <v>24</v>
      </c>
      <c r="BN47" s="4">
        <v>30</v>
      </c>
      <c r="BO47" s="4">
        <v>2</v>
      </c>
      <c r="BP47" s="4">
        <v>0</v>
      </c>
      <c r="BQ47" s="4">
        <v>27</v>
      </c>
      <c r="BR47" s="2">
        <v>6.8965519999999998</v>
      </c>
      <c r="BS47" s="4">
        <v>21</v>
      </c>
      <c r="BT47" s="4">
        <v>1</v>
      </c>
      <c r="BU47" s="4">
        <v>30</v>
      </c>
      <c r="BV47" s="2">
        <v>70</v>
      </c>
      <c r="BW47" s="2">
        <v>6.6150200000000003</v>
      </c>
      <c r="BX47" s="2">
        <v>1737.1969999999999</v>
      </c>
      <c r="BY47" s="3">
        <v>1.3489199999999999</v>
      </c>
      <c r="BZ47" s="3">
        <v>7.7649239999999994E-2</v>
      </c>
      <c r="CA47" s="2">
        <v>0.73529599999999995</v>
      </c>
      <c r="CB47" s="3">
        <v>7.7649239999999994E-2</v>
      </c>
      <c r="CC47" s="3">
        <v>2.821094</v>
      </c>
      <c r="CD47" s="3">
        <v>2.73095</v>
      </c>
      <c r="CE47" s="2">
        <v>-3.1953279999999999</v>
      </c>
      <c r="CF47" s="3">
        <v>14271.47</v>
      </c>
      <c r="CG47" s="3">
        <v>13683.5</v>
      </c>
      <c r="CH47" s="2">
        <v>-4.1199149999999998</v>
      </c>
      <c r="CI47" s="3">
        <v>63.853819999999999</v>
      </c>
      <c r="CJ47" s="2">
        <v>-2.2857729999999998</v>
      </c>
      <c r="CK47" s="3">
        <v>57559.48</v>
      </c>
      <c r="CL47" s="3">
        <v>55126.67</v>
      </c>
      <c r="CM47" s="2">
        <v>-4.2266069999999996</v>
      </c>
      <c r="CN47" s="3">
        <v>54.300780000000003</v>
      </c>
      <c r="CO47" s="3">
        <v>54.581270000000004</v>
      </c>
      <c r="CP47" s="3">
        <v>57.339619999999996</v>
      </c>
      <c r="CQ47" s="2">
        <v>5.9285040000000002</v>
      </c>
      <c r="CR47" s="2">
        <v>5.3841349999999997</v>
      </c>
      <c r="CS47" s="2">
        <v>0.31458140000000001</v>
      </c>
      <c r="CT47" s="2">
        <v>0.51654580000000005</v>
      </c>
      <c r="CU47" s="2">
        <v>69.676879999999997</v>
      </c>
      <c r="CV47" s="3">
        <v>6.9730159999999999E-2</v>
      </c>
      <c r="CW47" s="2">
        <v>3.831156</v>
      </c>
      <c r="CX47" s="2">
        <v>-1.00152</v>
      </c>
      <c r="CY47" s="2">
        <v>-0.9789485</v>
      </c>
      <c r="CZ47" s="2">
        <v>30.727270000000001</v>
      </c>
    </row>
    <row r="48" spans="1:104" ht="15" customHeight="1" x14ac:dyDescent="0.2">
      <c r="A48" s="1">
        <f t="shared" si="0"/>
        <v>42</v>
      </c>
      <c r="B48" s="1" t="s">
        <v>135</v>
      </c>
      <c r="C48" s="1" t="s">
        <v>134</v>
      </c>
      <c r="D48" s="1" t="s">
        <v>20</v>
      </c>
      <c r="E48" s="1" t="s">
        <v>136</v>
      </c>
      <c r="F48" s="1" t="s">
        <v>137</v>
      </c>
      <c r="G48" s="2">
        <v>56501.11</v>
      </c>
      <c r="H48" s="2">
        <v>76.255799999999994</v>
      </c>
      <c r="I48" s="2">
        <v>43085.38</v>
      </c>
      <c r="J48" s="3">
        <v>45.6</v>
      </c>
      <c r="K48" s="3">
        <v>0</v>
      </c>
      <c r="L48" s="2">
        <v>4.0570180000000002</v>
      </c>
      <c r="M48" s="2">
        <v>4.0570180000000002</v>
      </c>
      <c r="N48" s="2">
        <v>4.1118420000000002</v>
      </c>
      <c r="O48" s="2">
        <v>4.2763159999999996</v>
      </c>
      <c r="P48" s="2">
        <v>10.524710000000001</v>
      </c>
      <c r="Q48" s="2">
        <v>14.34305</v>
      </c>
      <c r="R48" s="2">
        <v>13.55498</v>
      </c>
      <c r="S48" s="2">
        <v>11.97043</v>
      </c>
      <c r="T48" s="2">
        <v>4.8852840000000004</v>
      </c>
      <c r="U48" s="2">
        <v>6.9017540000000004</v>
      </c>
      <c r="V48" s="2">
        <v>6.6627549999999998</v>
      </c>
      <c r="W48" s="2">
        <v>6.2088599999999996</v>
      </c>
      <c r="X48" s="2">
        <v>2.3578389999999998</v>
      </c>
      <c r="Y48" s="2">
        <v>2.246464</v>
      </c>
      <c r="Z48" s="2">
        <v>2.1096460000000001</v>
      </c>
      <c r="AA48" s="2">
        <v>1.9338329999999999</v>
      </c>
      <c r="AB48" s="2">
        <v>5.4583579999999996</v>
      </c>
      <c r="AC48" s="2">
        <v>6.8675829999999998</v>
      </c>
      <c r="AD48" s="2">
        <v>7.3411920000000004</v>
      </c>
      <c r="AE48" s="2">
        <v>6.2434070000000004</v>
      </c>
      <c r="AF48" s="2">
        <v>4.0308580000000003</v>
      </c>
      <c r="AG48" s="2">
        <v>4.2177420000000003</v>
      </c>
      <c r="AH48" s="2">
        <v>4.7778580000000002</v>
      </c>
      <c r="AI48" s="2">
        <v>5.3333700000000004</v>
      </c>
      <c r="AJ48" s="2">
        <v>5.6003530000000001</v>
      </c>
      <c r="AK48" s="2">
        <v>6.3104209999999998</v>
      </c>
      <c r="AL48" s="3" t="e">
        <v>#N/A</v>
      </c>
      <c r="AM48" s="3" t="e">
        <v>#N/A</v>
      </c>
      <c r="AN48" s="2">
        <v>13.35614</v>
      </c>
      <c r="AO48" s="2">
        <v>13.19279</v>
      </c>
      <c r="AP48" s="2">
        <v>13.46519</v>
      </c>
      <c r="AQ48" s="2">
        <v>13.70332</v>
      </c>
      <c r="AR48" s="2">
        <v>1.429319</v>
      </c>
      <c r="AS48" s="2">
        <v>1.6855420000000001</v>
      </c>
      <c r="AT48" s="2">
        <v>1.6448970000000001</v>
      </c>
      <c r="AU48" s="2">
        <v>1.507898</v>
      </c>
      <c r="AV48" s="1" t="s">
        <v>27</v>
      </c>
      <c r="AW48" s="3">
        <v>1.441176</v>
      </c>
      <c r="AX48" s="3">
        <v>49</v>
      </c>
      <c r="AY48" s="2">
        <v>7.4561479999999998</v>
      </c>
      <c r="AZ48" s="2">
        <v>15.66239</v>
      </c>
      <c r="BA48" s="2">
        <v>-2.9105560000000001</v>
      </c>
      <c r="BB48" s="2">
        <v>17.208590000000001</v>
      </c>
      <c r="BC48" s="2">
        <v>29.6191</v>
      </c>
      <c r="BD48" s="3">
        <v>34.085000000000001</v>
      </c>
      <c r="BE48" s="2">
        <v>33.783180000000002</v>
      </c>
      <c r="BF48" s="3">
        <v>47.045000000000002</v>
      </c>
      <c r="BG48" s="2">
        <v>-3.071529</v>
      </c>
      <c r="BH48" s="2">
        <v>42.698929999999997</v>
      </c>
      <c r="BI48" s="2">
        <v>58.57264</v>
      </c>
      <c r="BJ48" s="2">
        <v>55.941740000000003</v>
      </c>
      <c r="BK48" s="2">
        <v>51.239199999999997</v>
      </c>
      <c r="BL48" s="2">
        <v>14</v>
      </c>
      <c r="BM48" s="2">
        <v>13</v>
      </c>
      <c r="BN48" s="4">
        <v>17</v>
      </c>
      <c r="BO48" s="4">
        <v>2</v>
      </c>
      <c r="BP48" s="4">
        <v>0</v>
      </c>
      <c r="BQ48" s="4">
        <v>14</v>
      </c>
      <c r="BR48" s="2">
        <v>12.5</v>
      </c>
      <c r="BS48" s="4">
        <v>11</v>
      </c>
      <c r="BT48" s="4">
        <v>0</v>
      </c>
      <c r="BU48" s="4">
        <v>17</v>
      </c>
      <c r="BV48" s="2">
        <v>64.705889999999997</v>
      </c>
      <c r="BW48" s="2">
        <v>8.23794</v>
      </c>
      <c r="BX48" s="2">
        <v>1239.059</v>
      </c>
      <c r="BY48" s="3">
        <v>2.2721110000000002</v>
      </c>
      <c r="BZ48" s="3">
        <v>0.1833738</v>
      </c>
      <c r="CA48" s="2">
        <v>1.45929</v>
      </c>
      <c r="CB48" s="3">
        <v>0.1833738</v>
      </c>
      <c r="CC48" s="3">
        <v>3.3671609999999998</v>
      </c>
      <c r="CD48" s="3">
        <v>3.1720790000000001</v>
      </c>
      <c r="CE48" s="2">
        <v>-5.7936550000000002</v>
      </c>
      <c r="CF48" s="3">
        <v>6812.473</v>
      </c>
      <c r="CG48" s="3">
        <v>6407.48</v>
      </c>
      <c r="CH48" s="2">
        <v>-5.9448660000000002</v>
      </c>
      <c r="CI48" s="3">
        <v>50.95</v>
      </c>
      <c r="CJ48" s="2">
        <v>-3.827286</v>
      </c>
      <c r="CK48" s="3">
        <v>85772.83</v>
      </c>
      <c r="CL48" s="3">
        <v>83645.5</v>
      </c>
      <c r="CM48" s="2">
        <v>-2.480191</v>
      </c>
      <c r="CN48" s="3">
        <v>42.011710000000001</v>
      </c>
      <c r="CO48" s="3">
        <v>40.264800000000001</v>
      </c>
      <c r="CP48" s="3">
        <v>42.575000000000003</v>
      </c>
      <c r="CQ48" s="2">
        <v>8.5411549999999998</v>
      </c>
      <c r="CR48" s="2">
        <v>13.25027</v>
      </c>
      <c r="CS48" s="2">
        <v>7.1051120000000001</v>
      </c>
      <c r="CT48" s="2">
        <v>-4.1581510000000002</v>
      </c>
      <c r="CU48" s="2">
        <v>97.335819999999998</v>
      </c>
      <c r="CV48" s="3">
        <v>0.17227239999999999</v>
      </c>
      <c r="CW48" s="2">
        <v>3.9161640000000002</v>
      </c>
      <c r="CX48" s="2">
        <v>-8.7870570000000008</v>
      </c>
      <c r="CY48" s="2">
        <v>-6.9399220000000001</v>
      </c>
      <c r="CZ48" s="2">
        <v>30.898990000000001</v>
      </c>
    </row>
    <row r="49" spans="1:104" ht="15" customHeight="1" x14ac:dyDescent="0.2">
      <c r="A49" s="1">
        <f t="shared" si="0"/>
        <v>43</v>
      </c>
      <c r="B49" s="1" t="s">
        <v>139</v>
      </c>
      <c r="C49" s="1" t="s">
        <v>138</v>
      </c>
      <c r="D49" s="1" t="s">
        <v>46</v>
      </c>
      <c r="E49" s="1" t="s">
        <v>86</v>
      </c>
      <c r="F49" s="1" t="s">
        <v>87</v>
      </c>
      <c r="G49" s="2">
        <v>374929.7</v>
      </c>
      <c r="H49" s="2">
        <v>51.313200000000002</v>
      </c>
      <c r="I49" s="2">
        <v>192388.4</v>
      </c>
      <c r="J49" s="3">
        <v>746.8</v>
      </c>
      <c r="K49" s="3">
        <v>0</v>
      </c>
      <c r="L49" s="2">
        <v>1.6068560000000001</v>
      </c>
      <c r="M49" s="2">
        <v>1.8478840000000001</v>
      </c>
      <c r="N49" s="2">
        <v>1.997342</v>
      </c>
      <c r="O49" s="2">
        <v>2.1451530000000001</v>
      </c>
      <c r="P49" s="2">
        <v>26.642880000000002</v>
      </c>
      <c r="Q49" s="2">
        <v>23.828970000000002</v>
      </c>
      <c r="R49" s="2">
        <v>22.12931</v>
      </c>
      <c r="S49" s="2">
        <v>20.478000000000002</v>
      </c>
      <c r="T49" s="2">
        <v>13.13603</v>
      </c>
      <c r="U49" s="2">
        <v>13.20335</v>
      </c>
      <c r="V49" s="2">
        <v>12.72114</v>
      </c>
      <c r="W49" s="2">
        <v>11.26183</v>
      </c>
      <c r="X49" s="2">
        <v>6.8067260000000003</v>
      </c>
      <c r="Y49" s="2">
        <v>5.8035709999999998</v>
      </c>
      <c r="Z49" s="2">
        <v>5.0370970000000002</v>
      </c>
      <c r="AA49" s="2">
        <v>4.4430680000000002</v>
      </c>
      <c r="AB49" s="2">
        <v>21.042549999999999</v>
      </c>
      <c r="AC49" s="2">
        <v>17.58832</v>
      </c>
      <c r="AD49" s="2">
        <v>15.998290000000001</v>
      </c>
      <c r="AE49" s="2">
        <v>15.16747</v>
      </c>
      <c r="AF49" s="2">
        <v>3.6586949999999998</v>
      </c>
      <c r="AG49" s="2">
        <v>4.5788979999999997</v>
      </c>
      <c r="AH49" s="2">
        <v>4.8415470000000003</v>
      </c>
      <c r="AI49" s="2">
        <v>3.7222919999999999</v>
      </c>
      <c r="AJ49" s="2">
        <v>4.6440159999999997</v>
      </c>
      <c r="AK49" s="2">
        <v>4.7505059999999997</v>
      </c>
      <c r="AL49" s="3">
        <v>1.9394629999999999</v>
      </c>
      <c r="AM49" s="3">
        <v>1.8394090000000001</v>
      </c>
      <c r="AN49" s="2">
        <v>33.87894</v>
      </c>
      <c r="AO49" s="2">
        <v>33.608460000000001</v>
      </c>
      <c r="AP49" s="2">
        <v>32.516530000000003</v>
      </c>
      <c r="AQ49" s="2">
        <v>33.069710000000001</v>
      </c>
      <c r="AR49" s="2">
        <v>0.38139610000000002</v>
      </c>
      <c r="AS49" s="2">
        <v>0.2255837</v>
      </c>
      <c r="AT49" s="2">
        <v>0.1783747</v>
      </c>
      <c r="AU49" s="2">
        <v>-0.2158265</v>
      </c>
      <c r="AV49" s="1" t="s">
        <v>6</v>
      </c>
      <c r="AW49" s="3">
        <v>1.25</v>
      </c>
      <c r="AX49" s="3">
        <v>832</v>
      </c>
      <c r="AY49" s="2">
        <v>11.408670000000001</v>
      </c>
      <c r="AZ49" s="2">
        <v>24.3551</v>
      </c>
      <c r="BA49" s="2">
        <v>13.326449999999999</v>
      </c>
      <c r="BB49" s="2">
        <v>2.6670340000000001</v>
      </c>
      <c r="BC49" s="2">
        <v>9.8396779999999993</v>
      </c>
      <c r="BD49" s="3">
        <v>655</v>
      </c>
      <c r="BE49" s="2">
        <v>14.015269999999999</v>
      </c>
      <c r="BF49" s="3">
        <v>904.6</v>
      </c>
      <c r="BG49" s="2">
        <v>-17.444179999999999</v>
      </c>
      <c r="BH49" s="2">
        <v>43.07884</v>
      </c>
      <c r="BI49" s="2">
        <v>43.71331</v>
      </c>
      <c r="BJ49" s="2">
        <v>44.20823</v>
      </c>
      <c r="BK49" s="2">
        <v>44.635860000000001</v>
      </c>
      <c r="BL49" s="2">
        <v>29</v>
      </c>
      <c r="BM49" s="2">
        <v>28</v>
      </c>
      <c r="BN49" s="4">
        <v>30</v>
      </c>
      <c r="BO49" s="4">
        <v>1</v>
      </c>
      <c r="BP49" s="4">
        <v>2</v>
      </c>
      <c r="BQ49" s="4">
        <v>25</v>
      </c>
      <c r="BR49" s="2">
        <v>3.5714290000000002</v>
      </c>
      <c r="BS49" s="4">
        <v>23</v>
      </c>
      <c r="BT49" s="4">
        <v>0</v>
      </c>
      <c r="BU49" s="4">
        <v>30</v>
      </c>
      <c r="BV49" s="2">
        <v>76.666659999999993</v>
      </c>
      <c r="BW49" s="2">
        <v>7.09598</v>
      </c>
      <c r="BX49" s="2">
        <v>502.04840000000002</v>
      </c>
      <c r="BY49" s="3">
        <v>0.35935620000000001</v>
      </c>
      <c r="BZ49" s="3">
        <v>7.1578000000000003E-2</v>
      </c>
      <c r="CA49" s="2">
        <v>1.27522</v>
      </c>
      <c r="CB49" s="3">
        <v>7.1578000000000003E-2</v>
      </c>
      <c r="CC49" s="3">
        <v>32.861820000000002</v>
      </c>
      <c r="CD49" s="3">
        <v>31.56474</v>
      </c>
      <c r="CE49" s="2">
        <v>-3.9470670000000001</v>
      </c>
      <c r="CF49" s="3">
        <v>23702.37</v>
      </c>
      <c r="CG49" s="3">
        <v>22684.93</v>
      </c>
      <c r="CH49" s="2">
        <v>-4.2925420000000001</v>
      </c>
      <c r="CI49" s="3">
        <v>933.00419999999997</v>
      </c>
      <c r="CJ49" s="2">
        <v>-10.825699999999999</v>
      </c>
      <c r="CK49" s="3">
        <v>87732.37</v>
      </c>
      <c r="CL49" s="3">
        <v>86012.36</v>
      </c>
      <c r="CM49" s="2">
        <v>-1.9605159999999999</v>
      </c>
      <c r="CN49" s="3">
        <v>790.25160000000005</v>
      </c>
      <c r="CO49" s="3">
        <v>698.75879999999995</v>
      </c>
      <c r="CP49" s="3">
        <v>711.55769999999995</v>
      </c>
      <c r="CQ49" s="2">
        <v>-5.4984570000000001</v>
      </c>
      <c r="CR49" s="2">
        <v>6.8752170000000001</v>
      </c>
      <c r="CS49" s="2">
        <v>4.9528359999999996</v>
      </c>
      <c r="CT49" s="2">
        <v>-11.577680000000001</v>
      </c>
      <c r="CU49" s="2">
        <v>285.88659999999999</v>
      </c>
      <c r="CV49" s="3">
        <v>7.6250709999999999E-2</v>
      </c>
      <c r="CW49" s="2" t="e">
        <v>#N/A</v>
      </c>
      <c r="CX49" s="2">
        <v>-2.9449369999999999</v>
      </c>
      <c r="CY49" s="2" t="e">
        <v>#N/A</v>
      </c>
      <c r="CZ49" s="2">
        <v>30.93939</v>
      </c>
    </row>
    <row r="50" spans="1:104" ht="15" customHeight="1" x14ac:dyDescent="0.2">
      <c r="A50" s="1">
        <f t="shared" si="0"/>
        <v>44</v>
      </c>
      <c r="B50" s="1" t="s">
        <v>141</v>
      </c>
      <c r="C50" s="1" t="s">
        <v>140</v>
      </c>
      <c r="D50" s="1" t="s">
        <v>46</v>
      </c>
      <c r="E50" s="1" t="s">
        <v>86</v>
      </c>
      <c r="F50" s="1" t="s">
        <v>87</v>
      </c>
      <c r="G50" s="2">
        <v>212933.5</v>
      </c>
      <c r="H50" s="2">
        <v>24.4194</v>
      </c>
      <c r="I50" s="2">
        <v>51997.08</v>
      </c>
      <c r="J50" s="3">
        <v>2017</v>
      </c>
      <c r="K50" s="3">
        <v>0</v>
      </c>
      <c r="L50" s="2">
        <v>0.64452149999999997</v>
      </c>
      <c r="M50" s="2">
        <v>0.75409020000000004</v>
      </c>
      <c r="N50" s="2">
        <v>0.84591470000000002</v>
      </c>
      <c r="O50" s="2">
        <v>0.94199299999999997</v>
      </c>
      <c r="P50" s="2">
        <v>62.854469999999999</v>
      </c>
      <c r="Q50" s="2">
        <v>52.19979</v>
      </c>
      <c r="R50" s="2">
        <v>47.339790000000001</v>
      </c>
      <c r="S50" s="2">
        <v>42.696869999999997</v>
      </c>
      <c r="T50" s="2">
        <v>27.02862</v>
      </c>
      <c r="U50" s="2">
        <v>32.662959999999998</v>
      </c>
      <c r="V50" s="2">
        <v>29.124110000000002</v>
      </c>
      <c r="W50" s="2">
        <v>25.775169999999999</v>
      </c>
      <c r="X50" s="2">
        <v>16.983830000000001</v>
      </c>
      <c r="Y50" s="2">
        <v>14.002420000000001</v>
      </c>
      <c r="Z50" s="2">
        <v>11.840249999999999</v>
      </c>
      <c r="AA50" s="2">
        <v>9.9950449999999993</v>
      </c>
      <c r="AB50" s="2">
        <v>51.39734</v>
      </c>
      <c r="AC50" s="2">
        <v>46.018709999999999</v>
      </c>
      <c r="AD50" s="2">
        <v>40.856589999999997</v>
      </c>
      <c r="AE50" s="2">
        <v>37.135280000000002</v>
      </c>
      <c r="AF50" s="2">
        <v>1.780742</v>
      </c>
      <c r="AG50" s="2">
        <v>2.0683880000000001</v>
      </c>
      <c r="AH50" s="2">
        <v>2.3359399999999999</v>
      </c>
      <c r="AI50" s="2">
        <v>1.6891039999999999</v>
      </c>
      <c r="AJ50" s="2">
        <v>1.9407300000000001</v>
      </c>
      <c r="AK50" s="2">
        <v>2.1634419999999999</v>
      </c>
      <c r="AL50" s="3">
        <v>5.3527899999999997</v>
      </c>
      <c r="AM50" s="3">
        <v>4.8434850000000003</v>
      </c>
      <c r="AN50" s="2">
        <v>45.716259999999998</v>
      </c>
      <c r="AO50" s="2">
        <v>46.37276</v>
      </c>
      <c r="AP50" s="2">
        <v>46.041840000000001</v>
      </c>
      <c r="AQ50" s="2">
        <v>46.823349999999998</v>
      </c>
      <c r="AR50" s="2">
        <v>-1.732278</v>
      </c>
      <c r="AS50" s="2">
        <v>-1.772051</v>
      </c>
      <c r="AT50" s="2">
        <v>-1.9157379999999999</v>
      </c>
      <c r="AU50" s="2">
        <v>-2.0551309999999998</v>
      </c>
      <c r="AV50" s="1" t="s">
        <v>88</v>
      </c>
      <c r="AW50" s="3">
        <v>1.7749999999999999</v>
      </c>
      <c r="AX50" s="3">
        <v>1994</v>
      </c>
      <c r="AY50" s="2">
        <v>-1.1403080000000001</v>
      </c>
      <c r="AZ50" s="2">
        <v>26.824660000000002</v>
      </c>
      <c r="BA50" s="2">
        <v>10.29801</v>
      </c>
      <c r="BB50" s="2">
        <v>27.820029999999999</v>
      </c>
      <c r="BC50" s="2">
        <v>39.584780000000002</v>
      </c>
      <c r="BD50" s="3">
        <v>1432</v>
      </c>
      <c r="BE50" s="2">
        <v>40.851950000000002</v>
      </c>
      <c r="BF50" s="3">
        <v>2063.5</v>
      </c>
      <c r="BG50" s="2">
        <v>-2.2534550000000002</v>
      </c>
      <c r="BH50" s="2">
        <v>40.544060000000002</v>
      </c>
      <c r="BI50" s="2">
        <v>38.93168</v>
      </c>
      <c r="BJ50" s="2">
        <v>39.457970000000003</v>
      </c>
      <c r="BK50" s="2">
        <v>39.465679999999999</v>
      </c>
      <c r="BL50" s="2">
        <v>19</v>
      </c>
      <c r="BM50" s="2">
        <v>18</v>
      </c>
      <c r="BN50" s="4">
        <v>20</v>
      </c>
      <c r="BO50" s="4">
        <v>1</v>
      </c>
      <c r="BP50" s="4">
        <v>1</v>
      </c>
      <c r="BQ50" s="4">
        <v>19</v>
      </c>
      <c r="BR50" s="2">
        <v>4.7619049999999996</v>
      </c>
      <c r="BS50" s="4">
        <v>7</v>
      </c>
      <c r="BT50" s="4">
        <v>2</v>
      </c>
      <c r="BU50" s="4">
        <v>20</v>
      </c>
      <c r="BV50" s="2">
        <v>35</v>
      </c>
      <c r="BW50" s="2">
        <v>9.2812099999999997</v>
      </c>
      <c r="BX50" s="2">
        <v>105.5694</v>
      </c>
      <c r="BY50" s="3">
        <v>5.6821089999999998E-2</v>
      </c>
      <c r="BZ50" s="3">
        <v>5.382344E-2</v>
      </c>
      <c r="CA50" s="2">
        <v>1.32151</v>
      </c>
      <c r="CB50" s="3">
        <v>5.382344E-2</v>
      </c>
      <c r="CC50" s="3">
        <v>38.782539999999997</v>
      </c>
      <c r="CD50" s="3">
        <v>38.497039999999998</v>
      </c>
      <c r="CE50" s="2">
        <v>-0.73616499999999996</v>
      </c>
      <c r="CF50" s="3">
        <v>5588.875</v>
      </c>
      <c r="CG50" s="3">
        <v>5519.683</v>
      </c>
      <c r="CH50" s="2">
        <v>-1.2380359999999999</v>
      </c>
      <c r="CI50" s="3">
        <v>2044.2170000000001</v>
      </c>
      <c r="CJ50" s="2">
        <v>-2.4565399999999999</v>
      </c>
      <c r="CK50" s="3">
        <v>13467.26</v>
      </c>
      <c r="CL50" s="3">
        <v>13366.84</v>
      </c>
      <c r="CM50" s="2">
        <v>-0.74568389999999996</v>
      </c>
      <c r="CN50" s="3">
        <v>1882.684</v>
      </c>
      <c r="CO50" s="3">
        <v>1844.665</v>
      </c>
      <c r="CP50" s="3">
        <v>1939.15</v>
      </c>
      <c r="CQ50" s="2">
        <v>7.134271</v>
      </c>
      <c r="CR50" s="2">
        <v>9.3423599999999993</v>
      </c>
      <c r="CS50" s="2">
        <v>4.014659</v>
      </c>
      <c r="CT50" s="2">
        <v>-2.0194230000000002</v>
      </c>
      <c r="CU50" s="2">
        <v>103.1554</v>
      </c>
      <c r="CV50" s="3">
        <v>4.8444880000000003E-2</v>
      </c>
      <c r="CW50" s="2" t="e">
        <v>#N/A</v>
      </c>
      <c r="CX50" s="2">
        <v>1.5941069999999999</v>
      </c>
      <c r="CY50" s="2" t="e">
        <v>#N/A</v>
      </c>
      <c r="CZ50" s="2">
        <v>33.393940000000001</v>
      </c>
    </row>
    <row r="51" spans="1:104" ht="15" customHeight="1" x14ac:dyDescent="0.2">
      <c r="A51" s="1">
        <f t="shared" si="0"/>
        <v>45</v>
      </c>
      <c r="B51" s="1" t="s">
        <v>143</v>
      </c>
      <c r="C51" s="1" t="s">
        <v>142</v>
      </c>
      <c r="D51" s="1" t="s">
        <v>20</v>
      </c>
      <c r="E51" s="1" t="s">
        <v>102</v>
      </c>
      <c r="F51" s="1" t="s">
        <v>144</v>
      </c>
      <c r="G51" s="2">
        <v>43030.18</v>
      </c>
      <c r="H51" s="2">
        <v>100</v>
      </c>
      <c r="I51" s="2">
        <v>43030.18</v>
      </c>
      <c r="J51" s="3">
        <v>48.14</v>
      </c>
      <c r="K51" s="3">
        <v>0</v>
      </c>
      <c r="L51" s="2">
        <v>7.0627339999999998</v>
      </c>
      <c r="M51" s="2">
        <v>7.0627339999999998</v>
      </c>
      <c r="N51" s="2">
        <v>7.0627339999999998</v>
      </c>
      <c r="O51" s="2">
        <v>7.0627339999999998</v>
      </c>
      <c r="P51" s="2">
        <v>6.9166670000000003</v>
      </c>
      <c r="Q51" s="2">
        <v>14.391629999999999</v>
      </c>
      <c r="R51" s="2">
        <v>11.76384</v>
      </c>
      <c r="S51" s="2">
        <v>9.8548580000000001</v>
      </c>
      <c r="T51" s="2">
        <v>5.3793179999999996</v>
      </c>
      <c r="U51" s="2">
        <v>7.6953959999999997</v>
      </c>
      <c r="V51" s="2">
        <v>7.0874300000000003</v>
      </c>
      <c r="W51" s="2">
        <v>6.5315919999999998</v>
      </c>
      <c r="X51" s="2">
        <v>1.0969709999999999</v>
      </c>
      <c r="Y51" s="2">
        <v>1.1024849999999999</v>
      </c>
      <c r="Z51" s="2">
        <v>1.1009720000000001</v>
      </c>
      <c r="AA51" s="2">
        <v>1.082041</v>
      </c>
      <c r="AB51" s="2">
        <v>5.6320670000000002</v>
      </c>
      <c r="AC51" s="2">
        <v>6.262626</v>
      </c>
      <c r="AD51" s="2">
        <v>5.9782299999999999</v>
      </c>
      <c r="AE51" s="2">
        <v>5.7557479999999996</v>
      </c>
      <c r="AF51" s="2">
        <v>5.0350739999999998</v>
      </c>
      <c r="AG51" s="2">
        <v>2.3935620000000002</v>
      </c>
      <c r="AH51" s="2">
        <v>3.695281</v>
      </c>
      <c r="AI51" s="2">
        <v>7.0469889999999999</v>
      </c>
      <c r="AJ51" s="2">
        <v>3.4321120000000001</v>
      </c>
      <c r="AK51" s="2">
        <v>5.3774480000000002</v>
      </c>
      <c r="AL51" s="3" t="e">
        <v>#N/A</v>
      </c>
      <c r="AM51" s="3" t="e">
        <v>#N/A</v>
      </c>
      <c r="AN51" s="2">
        <v>12.324260000000001</v>
      </c>
      <c r="AO51" s="2">
        <v>11.152139999999999</v>
      </c>
      <c r="AP51" s="2">
        <v>11.9542</v>
      </c>
      <c r="AQ51" s="2">
        <v>12.77276</v>
      </c>
      <c r="AR51" s="2">
        <v>1.52647</v>
      </c>
      <c r="AS51" s="2">
        <v>2.1970360000000002</v>
      </c>
      <c r="AT51" s="2">
        <v>2.1446420000000002</v>
      </c>
      <c r="AU51" s="2">
        <v>2.0432049999999999</v>
      </c>
      <c r="AV51" s="1" t="s">
        <v>88</v>
      </c>
      <c r="AW51" s="3">
        <v>1.818182</v>
      </c>
      <c r="AX51" s="3">
        <v>47</v>
      </c>
      <c r="AY51" s="2">
        <v>-2.368093</v>
      </c>
      <c r="AZ51" s="2">
        <v>7.6605980000000002</v>
      </c>
      <c r="BA51" s="2">
        <v>-8.1</v>
      </c>
      <c r="BB51" s="2">
        <v>1.926744</v>
      </c>
      <c r="BC51" s="2">
        <v>3.7723659999999999</v>
      </c>
      <c r="BD51" s="3">
        <v>40.25</v>
      </c>
      <c r="BE51" s="2">
        <v>19.60248</v>
      </c>
      <c r="BF51" s="3">
        <v>54.04</v>
      </c>
      <c r="BG51" s="2">
        <v>-10.91784</v>
      </c>
      <c r="BH51" s="2">
        <v>49.010219999999997</v>
      </c>
      <c r="BI51" s="2">
        <v>102.5492</v>
      </c>
      <c r="BJ51" s="2">
        <v>81.139150000000001</v>
      </c>
      <c r="BK51" s="2">
        <v>69.512699999999995</v>
      </c>
      <c r="BL51" s="2">
        <v>20</v>
      </c>
      <c r="BM51" s="2">
        <v>20</v>
      </c>
      <c r="BN51" s="4">
        <v>22</v>
      </c>
      <c r="BO51" s="4">
        <v>0</v>
      </c>
      <c r="BP51" s="4">
        <v>2</v>
      </c>
      <c r="BQ51" s="4">
        <v>18</v>
      </c>
      <c r="BR51" s="2">
        <v>0</v>
      </c>
      <c r="BS51" s="4">
        <v>7</v>
      </c>
      <c r="BT51" s="4">
        <v>3</v>
      </c>
      <c r="BU51" s="4">
        <v>22</v>
      </c>
      <c r="BV51" s="2">
        <v>31.818180000000002</v>
      </c>
      <c r="BW51" s="2">
        <v>7.1422699999999999</v>
      </c>
      <c r="BX51" s="2">
        <v>893.85490000000004</v>
      </c>
      <c r="BY51" s="3">
        <v>2.4713379999999998</v>
      </c>
      <c r="BZ51" s="3">
        <v>0.27648089999999997</v>
      </c>
      <c r="CA51" s="2">
        <v>1.01753</v>
      </c>
      <c r="CB51" s="3">
        <v>0.27648089999999997</v>
      </c>
      <c r="CC51" s="3">
        <v>3.8604880000000001</v>
      </c>
      <c r="CD51" s="3">
        <v>3.307715</v>
      </c>
      <c r="CE51" s="2">
        <v>-14.31875</v>
      </c>
      <c r="CF51" s="3">
        <v>4291.3419999999996</v>
      </c>
      <c r="CG51" s="3">
        <v>3938.5340000000001</v>
      </c>
      <c r="CH51" s="2">
        <v>-8.2213879999999993</v>
      </c>
      <c r="CI51" s="3">
        <v>50.363639999999997</v>
      </c>
      <c r="CJ51" s="2">
        <v>-6.6787000000000001</v>
      </c>
      <c r="CK51" s="3">
        <v>74862.41</v>
      </c>
      <c r="CL51" s="3">
        <v>70703.520000000004</v>
      </c>
      <c r="CM51" s="2">
        <v>-5.5553910000000002</v>
      </c>
      <c r="CN51" s="3">
        <v>45.488639999999997</v>
      </c>
      <c r="CO51" s="3">
        <v>43.259399999999999</v>
      </c>
      <c r="CP51" s="3">
        <v>44.373460000000001</v>
      </c>
      <c r="CQ51" s="2">
        <v>5.8286309999999997</v>
      </c>
      <c r="CR51" s="2">
        <v>11.282159999999999</v>
      </c>
      <c r="CS51" s="2">
        <v>8.4882849999999994</v>
      </c>
      <c r="CT51" s="2">
        <v>-4.9006340000000002</v>
      </c>
      <c r="CU51" s="2">
        <v>105.1756</v>
      </c>
      <c r="CV51" s="3">
        <v>0.2444229</v>
      </c>
      <c r="CW51" s="2">
        <v>-4.7489049999999997</v>
      </c>
      <c r="CX51" s="2">
        <v>-10.75234</v>
      </c>
      <c r="CY51" s="2">
        <v>12.02338</v>
      </c>
      <c r="CZ51" s="2">
        <v>33.505049999999997</v>
      </c>
    </row>
    <row r="52" spans="1:104" ht="15" customHeight="1" x14ac:dyDescent="0.2">
      <c r="A52" s="1">
        <f t="shared" si="0"/>
        <v>46</v>
      </c>
      <c r="B52" s="1" t="s">
        <v>146</v>
      </c>
      <c r="C52" s="1" t="s">
        <v>145</v>
      </c>
      <c r="D52" s="1" t="s">
        <v>147</v>
      </c>
      <c r="E52" s="1" t="s">
        <v>148</v>
      </c>
      <c r="F52" s="1" t="s">
        <v>149</v>
      </c>
      <c r="G52" s="2">
        <v>27286.14</v>
      </c>
      <c r="H52" s="2" t="e">
        <v>#N/A</v>
      </c>
      <c r="I52" s="2" t="e">
        <v>#N/A</v>
      </c>
      <c r="J52" s="3">
        <v>154.30000000000001</v>
      </c>
      <c r="K52" s="3">
        <v>0</v>
      </c>
      <c r="L52" s="2">
        <v>0</v>
      </c>
      <c r="M52" s="2">
        <v>0</v>
      </c>
      <c r="N52" s="2">
        <v>1.0591699999999999</v>
      </c>
      <c r="O52" s="2">
        <v>1.6053269999999999</v>
      </c>
      <c r="P52" s="2">
        <v>72.461690000000004</v>
      </c>
      <c r="Q52" s="2">
        <v>31.668009999999999</v>
      </c>
      <c r="R52" s="2">
        <v>25.778759999999998</v>
      </c>
      <c r="S52" s="2">
        <v>18.767800000000001</v>
      </c>
      <c r="T52" s="2">
        <v>23.5855</v>
      </c>
      <c r="U52" s="2">
        <v>17.704650000000001</v>
      </c>
      <c r="V52" s="2">
        <v>13.63791</v>
      </c>
      <c r="W52" s="2">
        <v>10.62486</v>
      </c>
      <c r="X52" s="2">
        <v>2.3444940000000001</v>
      </c>
      <c r="Y52" s="2">
        <v>2.2623099999999998</v>
      </c>
      <c r="Z52" s="2">
        <v>2.2090809999999999</v>
      </c>
      <c r="AA52" s="2">
        <v>2.1365120000000002</v>
      </c>
      <c r="AB52" s="2">
        <v>26.207699999999999</v>
      </c>
      <c r="AC52" s="2">
        <v>19.850660000000001</v>
      </c>
      <c r="AD52" s="2">
        <v>16.976030000000002</v>
      </c>
      <c r="AE52" s="2">
        <v>13.85614</v>
      </c>
      <c r="AF52" s="2">
        <v>2.311159</v>
      </c>
      <c r="AG52" s="2">
        <v>3.8638430000000001</v>
      </c>
      <c r="AH52" s="2">
        <v>5.3095869999999996</v>
      </c>
      <c r="AI52" s="2">
        <v>2.7417370000000001</v>
      </c>
      <c r="AJ52" s="2">
        <v>4.4524410000000003</v>
      </c>
      <c r="AK52" s="2">
        <v>5.885364</v>
      </c>
      <c r="AL52" s="3">
        <v>0.8813761</v>
      </c>
      <c r="AM52" s="3">
        <v>0.72571149999999995</v>
      </c>
      <c r="AN52" s="2">
        <v>13.583780000000001</v>
      </c>
      <c r="AO52" s="2">
        <v>16.613510000000002</v>
      </c>
      <c r="AP52" s="2">
        <v>18.89659</v>
      </c>
      <c r="AQ52" s="2">
        <v>21.152439999999999</v>
      </c>
      <c r="AR52" s="2">
        <v>4.5639989999999999</v>
      </c>
      <c r="AS52" s="2">
        <v>2.7792110000000001</v>
      </c>
      <c r="AT52" s="2">
        <v>1.8020640000000001</v>
      </c>
      <c r="AU52" s="2">
        <v>1.038958</v>
      </c>
      <c r="AV52" s="1" t="s">
        <v>6</v>
      </c>
      <c r="AW52" s="3">
        <v>1.24</v>
      </c>
      <c r="AX52" s="3">
        <v>188.43719999999999</v>
      </c>
      <c r="AY52" s="2">
        <v>22.123909999999999</v>
      </c>
      <c r="AZ52" s="2">
        <v>7.143834</v>
      </c>
      <c r="BA52" s="2">
        <v>35.169409999999999</v>
      </c>
      <c r="BB52" s="2">
        <v>10.45097</v>
      </c>
      <c r="BC52" s="2">
        <v>20.735530000000001</v>
      </c>
      <c r="BD52" s="3">
        <v>126.85</v>
      </c>
      <c r="BE52" s="2">
        <v>21.63974</v>
      </c>
      <c r="BF52" s="3">
        <v>192.75</v>
      </c>
      <c r="BG52" s="2">
        <v>-19.948119999999999</v>
      </c>
      <c r="BH52" s="2">
        <v>3.1932779999999998</v>
      </c>
      <c r="BI52" s="2">
        <v>3.251493</v>
      </c>
      <c r="BJ52" s="2">
        <v>22.505459999999999</v>
      </c>
      <c r="BK52" s="2">
        <v>25.202829999999999</v>
      </c>
      <c r="BL52" s="2">
        <v>19</v>
      </c>
      <c r="BM52" s="2">
        <v>13</v>
      </c>
      <c r="BN52" s="4">
        <v>25</v>
      </c>
      <c r="BO52" s="4">
        <v>1</v>
      </c>
      <c r="BP52" s="4">
        <v>1</v>
      </c>
      <c r="BQ52" s="4">
        <v>24</v>
      </c>
      <c r="BR52" s="2">
        <v>3.8461539999999999</v>
      </c>
      <c r="BS52" s="4">
        <v>19</v>
      </c>
      <c r="BT52" s="4">
        <v>0</v>
      </c>
      <c r="BU52" s="4">
        <v>25</v>
      </c>
      <c r="BV52" s="2">
        <v>76</v>
      </c>
      <c r="BW52" s="2">
        <v>11.4091</v>
      </c>
      <c r="BX52" s="2">
        <v>176.8382</v>
      </c>
      <c r="BY52" s="3">
        <v>0.1949708</v>
      </c>
      <c r="BZ52" s="3">
        <v>0.1102537</v>
      </c>
      <c r="CA52" s="2">
        <v>1.3100700000000001</v>
      </c>
      <c r="CB52" s="3">
        <v>0.1102537</v>
      </c>
      <c r="CC52" s="3">
        <v>5.0677479999999999</v>
      </c>
      <c r="CD52" s="3">
        <v>4.8338989999999997</v>
      </c>
      <c r="CE52" s="2">
        <v>-4.6144670000000003</v>
      </c>
      <c r="CF52" s="3">
        <v>1339.0129999999999</v>
      </c>
      <c r="CG52" s="3">
        <v>1289.5450000000001</v>
      </c>
      <c r="CH52" s="2">
        <v>-3.6944149999999998</v>
      </c>
      <c r="CI52" s="3">
        <v>205.7988</v>
      </c>
      <c r="CJ52" s="2">
        <v>-8.4362139999999997</v>
      </c>
      <c r="CK52" s="3">
        <v>11265.76</v>
      </c>
      <c r="CL52" s="3">
        <v>11043.97</v>
      </c>
      <c r="CM52" s="2">
        <v>-1.9687349999999999</v>
      </c>
      <c r="CN52" s="3">
        <v>166.77959999999999</v>
      </c>
      <c r="CO52" s="3">
        <v>149.4</v>
      </c>
      <c r="CP52" s="3">
        <v>146.7962</v>
      </c>
      <c r="CQ52" s="2">
        <v>-7.482666</v>
      </c>
      <c r="CR52" s="2">
        <v>3.2797930000000002</v>
      </c>
      <c r="CS52" s="2">
        <v>5.1117419999999996</v>
      </c>
      <c r="CT52" s="2">
        <v>-10.420680000000001</v>
      </c>
      <c r="CU52" s="2">
        <v>29.285440000000001</v>
      </c>
      <c r="CV52" s="3">
        <v>0.1073272</v>
      </c>
      <c r="CW52" s="2" t="e">
        <v>#N/A</v>
      </c>
      <c r="CX52" s="2">
        <v>-6.8984670000000001</v>
      </c>
      <c r="CY52" s="2" t="e">
        <v>#N/A</v>
      </c>
      <c r="CZ52" s="2">
        <v>33.526319999999998</v>
      </c>
    </row>
    <row r="53" spans="1:104" ht="15" customHeight="1" x14ac:dyDescent="0.2">
      <c r="A53" s="1">
        <f t="shared" si="0"/>
        <v>47</v>
      </c>
      <c r="B53" s="1" t="s">
        <v>151</v>
      </c>
      <c r="C53" s="1" t="s">
        <v>150</v>
      </c>
      <c r="D53" s="1" t="s">
        <v>20</v>
      </c>
      <c r="E53" s="1" t="s">
        <v>106</v>
      </c>
      <c r="F53" s="1" t="s">
        <v>119</v>
      </c>
      <c r="G53" s="2">
        <v>31334.42</v>
      </c>
      <c r="H53" s="2">
        <v>100</v>
      </c>
      <c r="I53" s="2">
        <v>31334.41</v>
      </c>
      <c r="J53" s="3">
        <v>31.895</v>
      </c>
      <c r="K53" s="3">
        <v>0</v>
      </c>
      <c r="L53" s="2">
        <v>7.5246909999999998</v>
      </c>
      <c r="M53" s="2">
        <v>7.0543979999999999</v>
      </c>
      <c r="N53" s="2">
        <v>6.8035750000000004</v>
      </c>
      <c r="O53" s="2">
        <v>7.1954859999999998</v>
      </c>
      <c r="P53" s="2">
        <v>4.0170029999999999</v>
      </c>
      <c r="Q53" s="2">
        <v>5.2937760000000003</v>
      </c>
      <c r="R53" s="2">
        <v>5.4151109999999996</v>
      </c>
      <c r="S53" s="2">
        <v>4.8694649999999999</v>
      </c>
      <c r="T53" s="2">
        <v>5.8672870000000001</v>
      </c>
      <c r="U53" s="2">
        <v>6.0576809999999996</v>
      </c>
      <c r="V53" s="2">
        <v>5.8343730000000003</v>
      </c>
      <c r="W53" s="2">
        <v>5.3186109999999998</v>
      </c>
      <c r="X53" s="2">
        <v>0.80808210000000003</v>
      </c>
      <c r="Y53" s="2">
        <v>0.94280220000000003</v>
      </c>
      <c r="Z53" s="2">
        <v>0.90328509999999995</v>
      </c>
      <c r="AA53" s="2">
        <v>0.85280750000000005</v>
      </c>
      <c r="AB53" s="2">
        <v>4.4176349999999998</v>
      </c>
      <c r="AC53" s="2">
        <v>6.5990989999999998</v>
      </c>
      <c r="AD53" s="2">
        <v>4.3872080000000002</v>
      </c>
      <c r="AE53" s="2">
        <v>4.2473989999999997</v>
      </c>
      <c r="AF53" s="2">
        <v>-0.71054470000000003</v>
      </c>
      <c r="AG53" s="2">
        <v>6.7619400000000001</v>
      </c>
      <c r="AH53" s="2">
        <v>7.6995110000000002</v>
      </c>
      <c r="AI53" s="2">
        <v>-1.5248520000000001</v>
      </c>
      <c r="AJ53" s="2">
        <v>14.153320000000001</v>
      </c>
      <c r="AK53" s="2">
        <v>15.460240000000001</v>
      </c>
      <c r="AL53" s="3" t="e">
        <v>#N/A</v>
      </c>
      <c r="AM53" s="3" t="e">
        <v>#N/A</v>
      </c>
      <c r="AN53" s="2">
        <v>26.632370000000002</v>
      </c>
      <c r="AO53" s="2">
        <v>23.33473</v>
      </c>
      <c r="AP53" s="2">
        <v>23.304919999999999</v>
      </c>
      <c r="AQ53" s="2">
        <v>23.952010000000001</v>
      </c>
      <c r="AR53" s="2">
        <v>2.3539560000000002</v>
      </c>
      <c r="AS53" s="2">
        <v>3.2349450000000002</v>
      </c>
      <c r="AT53" s="2">
        <v>3.046923</v>
      </c>
      <c r="AU53" s="2">
        <v>2.669835</v>
      </c>
      <c r="AV53" s="1" t="s">
        <v>88</v>
      </c>
      <c r="AW53" s="3">
        <v>1.704545</v>
      </c>
      <c r="AX53" s="3">
        <v>45</v>
      </c>
      <c r="AY53" s="2">
        <v>41.087940000000003</v>
      </c>
      <c r="AZ53" s="2">
        <v>17.809640000000002</v>
      </c>
      <c r="BA53" s="2">
        <v>-1.173451</v>
      </c>
      <c r="BB53" s="2">
        <v>-38.722380000000001</v>
      </c>
      <c r="BC53" s="2">
        <v>-33.99897</v>
      </c>
      <c r="BD53" s="3">
        <v>30.22</v>
      </c>
      <c r="BE53" s="2">
        <v>5.5426960000000003</v>
      </c>
      <c r="BF53" s="3">
        <v>65.66</v>
      </c>
      <c r="BG53" s="2">
        <v>-51.423999999999999</v>
      </c>
      <c r="BH53" s="2">
        <v>30.046949999999999</v>
      </c>
      <c r="BI53" s="2">
        <v>34.999029999999998</v>
      </c>
      <c r="BJ53" s="2">
        <v>32.105550000000001</v>
      </c>
      <c r="BK53" s="2">
        <v>29.447230000000001</v>
      </c>
      <c r="BL53" s="2">
        <v>18</v>
      </c>
      <c r="BM53" s="2">
        <v>16</v>
      </c>
      <c r="BN53" s="4">
        <v>22</v>
      </c>
      <c r="BO53" s="4">
        <v>1</v>
      </c>
      <c r="BP53" s="4">
        <v>2</v>
      </c>
      <c r="BQ53" s="4">
        <v>17</v>
      </c>
      <c r="BR53" s="2">
        <v>5</v>
      </c>
      <c r="BS53" s="4">
        <v>7</v>
      </c>
      <c r="BT53" s="4">
        <v>0</v>
      </c>
      <c r="BU53" s="4">
        <v>22</v>
      </c>
      <c r="BV53" s="2">
        <v>31.818180000000002</v>
      </c>
      <c r="BW53" s="2">
        <v>9.1262899999999991</v>
      </c>
      <c r="BX53" s="2">
        <v>982.42409999999995</v>
      </c>
      <c r="BY53" s="3">
        <v>2.6183429999999999</v>
      </c>
      <c r="BZ53" s="3">
        <v>0.26651859999999999</v>
      </c>
      <c r="CA53" s="2">
        <v>0.771231</v>
      </c>
      <c r="CB53" s="3">
        <v>0.26651859999999999</v>
      </c>
      <c r="CC53" s="3">
        <v>6.4920619999999998</v>
      </c>
      <c r="CD53" s="3">
        <v>6.3134670000000002</v>
      </c>
      <c r="CE53" s="2">
        <v>-2.7509749999999999</v>
      </c>
      <c r="CF53" s="3">
        <v>8762.8279999999995</v>
      </c>
      <c r="CG53" s="3">
        <v>8179.6480000000001</v>
      </c>
      <c r="CH53" s="2">
        <v>-6.655157</v>
      </c>
      <c r="CI53" s="3">
        <v>65.628270000000001</v>
      </c>
      <c r="CJ53" s="2">
        <v>-31.431979999999999</v>
      </c>
      <c r="CK53" s="3">
        <v>48374.8</v>
      </c>
      <c r="CL53" s="3">
        <v>47864.62</v>
      </c>
      <c r="CM53" s="2">
        <v>-1.054621</v>
      </c>
      <c r="CN53" s="3">
        <v>49.383989999999997</v>
      </c>
      <c r="CO53" s="3">
        <v>38.210090000000001</v>
      </c>
      <c r="CP53" s="3">
        <v>34.314430000000002</v>
      </c>
      <c r="CQ53" s="2">
        <v>-35.414279999999998</v>
      </c>
      <c r="CR53" s="2">
        <v>-16.527290000000001</v>
      </c>
      <c r="CS53" s="2">
        <v>-7.0507530000000003</v>
      </c>
      <c r="CT53" s="2">
        <v>-22.626550000000002</v>
      </c>
      <c r="CU53" s="2">
        <v>151.75139999999999</v>
      </c>
      <c r="CV53" s="3">
        <v>0.48429620000000001</v>
      </c>
      <c r="CW53" s="2">
        <v>-49.966439999999999</v>
      </c>
      <c r="CX53" s="2">
        <v>-2.542821</v>
      </c>
      <c r="CY53" s="2">
        <v>-1.5943639999999999</v>
      </c>
      <c r="CZ53" s="2">
        <v>33.55556</v>
      </c>
    </row>
    <row r="54" spans="1:104" ht="15" customHeight="1" x14ac:dyDescent="0.2">
      <c r="A54" s="1">
        <f t="shared" si="0"/>
        <v>48</v>
      </c>
      <c r="B54" s="1" t="s">
        <v>153</v>
      </c>
      <c r="C54" s="1" t="s">
        <v>152</v>
      </c>
      <c r="D54" s="1" t="s">
        <v>46</v>
      </c>
      <c r="E54" s="1" t="s">
        <v>86</v>
      </c>
      <c r="F54" s="1" t="s">
        <v>133</v>
      </c>
      <c r="G54" s="2">
        <v>41578.5</v>
      </c>
      <c r="H54" s="2">
        <v>77.566800000000001</v>
      </c>
      <c r="I54" s="2">
        <v>32251.11</v>
      </c>
      <c r="J54" s="3">
        <v>162.65</v>
      </c>
      <c r="K54" s="3">
        <v>0</v>
      </c>
      <c r="L54" s="2">
        <v>2.88964</v>
      </c>
      <c r="M54" s="2">
        <v>2.8508599999999999</v>
      </c>
      <c r="N54" s="2">
        <v>3.0802339999999999</v>
      </c>
      <c r="O54" s="2">
        <v>3.3784200000000002</v>
      </c>
      <c r="P54" s="2">
        <v>17.854009999999999</v>
      </c>
      <c r="Q54" s="2">
        <v>17.873270000000002</v>
      </c>
      <c r="R54" s="2">
        <v>16.232530000000001</v>
      </c>
      <c r="S54" s="2">
        <v>15.137269999999999</v>
      </c>
      <c r="T54" s="2">
        <v>13.77012</v>
      </c>
      <c r="U54" s="2">
        <v>13.49553</v>
      </c>
      <c r="V54" s="2">
        <v>12.486789999999999</v>
      </c>
      <c r="W54" s="2">
        <v>11.642530000000001</v>
      </c>
      <c r="X54" s="2">
        <v>2.649886</v>
      </c>
      <c r="Y54" s="2">
        <v>2.5411429999999999</v>
      </c>
      <c r="Z54" s="2">
        <v>2.401497</v>
      </c>
      <c r="AA54" s="2">
        <v>2.2881170000000002</v>
      </c>
      <c r="AB54" s="2">
        <v>16.960370000000001</v>
      </c>
      <c r="AC54" s="2">
        <v>15.060180000000001</v>
      </c>
      <c r="AD54" s="2">
        <v>14.05791</v>
      </c>
      <c r="AE54" s="2">
        <v>12.951879999999999</v>
      </c>
      <c r="AF54" s="2">
        <v>2.5724779999999998</v>
      </c>
      <c r="AG54" s="2">
        <v>3.1924999999999999</v>
      </c>
      <c r="AH54" s="2">
        <v>3.9024329999999998</v>
      </c>
      <c r="AI54" s="2">
        <v>3.2251479999999999</v>
      </c>
      <c r="AJ54" s="2">
        <v>3.9981019999999998</v>
      </c>
      <c r="AK54" s="2">
        <v>4.8375310000000002</v>
      </c>
      <c r="AL54" s="3">
        <v>2.872363</v>
      </c>
      <c r="AM54" s="3">
        <v>2.6349550000000002</v>
      </c>
      <c r="AN54" s="2">
        <v>31.02084</v>
      </c>
      <c r="AO54" s="2">
        <v>31.250119999999999</v>
      </c>
      <c r="AP54" s="2">
        <v>31.89873</v>
      </c>
      <c r="AQ54" s="2">
        <v>32.051290000000002</v>
      </c>
      <c r="AR54" s="2">
        <v>2.726693</v>
      </c>
      <c r="AS54" s="2">
        <v>2.73108</v>
      </c>
      <c r="AT54" s="2">
        <v>2.516038</v>
      </c>
      <c r="AU54" s="2">
        <v>2.250508</v>
      </c>
      <c r="AV54" s="1" t="s">
        <v>88</v>
      </c>
      <c r="AW54" s="3">
        <v>1.7380949999999999</v>
      </c>
      <c r="AX54" s="3">
        <v>186.5</v>
      </c>
      <c r="AY54" s="2">
        <v>14.66339</v>
      </c>
      <c r="AZ54" s="2">
        <v>14.217560000000001</v>
      </c>
      <c r="BA54" s="2">
        <v>5.8327059999999999</v>
      </c>
      <c r="BB54" s="2">
        <v>-13.941800000000001</v>
      </c>
      <c r="BC54" s="2">
        <v>-11.483000000000001</v>
      </c>
      <c r="BD54" s="3">
        <v>154.65</v>
      </c>
      <c r="BE54" s="2">
        <v>5.172968</v>
      </c>
      <c r="BF54" s="3">
        <v>218</v>
      </c>
      <c r="BG54" s="2">
        <v>-25.38991</v>
      </c>
      <c r="BH54" s="2">
        <v>51.20993</v>
      </c>
      <c r="BI54" s="2">
        <v>51.456000000000003</v>
      </c>
      <c r="BJ54" s="2">
        <v>50.47531</v>
      </c>
      <c r="BK54" s="2">
        <v>50.65305</v>
      </c>
      <c r="BL54" s="2">
        <v>20</v>
      </c>
      <c r="BM54" s="2">
        <v>18</v>
      </c>
      <c r="BN54" s="4">
        <v>21</v>
      </c>
      <c r="BO54" s="4">
        <v>0</v>
      </c>
      <c r="BP54" s="4">
        <v>2</v>
      </c>
      <c r="BQ54" s="4">
        <v>20</v>
      </c>
      <c r="BR54" s="2">
        <v>0</v>
      </c>
      <c r="BS54" s="4">
        <v>9</v>
      </c>
      <c r="BT54" s="4">
        <v>3</v>
      </c>
      <c r="BU54" s="4">
        <v>21</v>
      </c>
      <c r="BV54" s="2">
        <v>42.857140000000001</v>
      </c>
      <c r="BW54" s="2">
        <v>5.3669700000000002</v>
      </c>
      <c r="BX54" s="2">
        <v>255.6317</v>
      </c>
      <c r="BY54" s="3">
        <v>0.41309570000000001</v>
      </c>
      <c r="BZ54" s="3">
        <v>0.16159799999999999</v>
      </c>
      <c r="CA54" s="2">
        <v>0.38217899999999999</v>
      </c>
      <c r="CB54" s="3">
        <v>0.16159799999999999</v>
      </c>
      <c r="CC54" s="3">
        <v>9.4243170000000003</v>
      </c>
      <c r="CD54" s="3">
        <v>9.0486930000000001</v>
      </c>
      <c r="CE54" s="2">
        <v>-3.985697</v>
      </c>
      <c r="CF54" s="3">
        <v>3511.915</v>
      </c>
      <c r="CG54" s="3">
        <v>3379.5030000000002</v>
      </c>
      <c r="CH54" s="2">
        <v>-3.7703449999999998</v>
      </c>
      <c r="CI54" s="3">
        <v>204.7619</v>
      </c>
      <c r="CJ54" s="2">
        <v>-8.9186010000000007</v>
      </c>
      <c r="CK54" s="3">
        <v>12467.65</v>
      </c>
      <c r="CL54" s="3">
        <v>12376.07</v>
      </c>
      <c r="CM54" s="2">
        <v>-0.73455570000000003</v>
      </c>
      <c r="CN54" s="3">
        <v>189.09129999999999</v>
      </c>
      <c r="CO54" s="3">
        <v>163.6961</v>
      </c>
      <c r="CP54" s="3">
        <v>162.42310000000001</v>
      </c>
      <c r="CQ54" s="2">
        <v>-13.983359999999999</v>
      </c>
      <c r="CR54" s="2">
        <v>-0.63902740000000002</v>
      </c>
      <c r="CS54" s="2">
        <v>0.1397014</v>
      </c>
      <c r="CT54" s="2">
        <v>-13.430149999999999</v>
      </c>
      <c r="CU54" s="2">
        <v>79.226200000000006</v>
      </c>
      <c r="CV54" s="3">
        <v>0.1905461</v>
      </c>
      <c r="CW54" s="2" t="e">
        <v>#N/A</v>
      </c>
      <c r="CX54" s="2">
        <v>-0.86130640000000003</v>
      </c>
      <c r="CY54" s="2" t="e">
        <v>#N/A</v>
      </c>
      <c r="CZ54" s="2">
        <v>34.393940000000001</v>
      </c>
    </row>
    <row r="55" spans="1:104" ht="15" customHeight="1" x14ac:dyDescent="0.2">
      <c r="A55" s="1">
        <f t="shared" si="0"/>
        <v>49</v>
      </c>
      <c r="B55" s="1" t="s">
        <v>155</v>
      </c>
      <c r="C55" s="1" t="s">
        <v>154</v>
      </c>
      <c r="D55" s="1" t="s">
        <v>156</v>
      </c>
      <c r="E55" s="1" t="s">
        <v>60</v>
      </c>
      <c r="F55" s="1" t="s">
        <v>157</v>
      </c>
      <c r="G55" s="2">
        <v>17331.669999999998</v>
      </c>
      <c r="H55" s="2">
        <v>91.126499999999993</v>
      </c>
      <c r="I55" s="2">
        <v>15793.75</v>
      </c>
      <c r="J55" s="3">
        <v>3.0874999999999999</v>
      </c>
      <c r="K55" s="3">
        <v>0</v>
      </c>
      <c r="L55" s="2">
        <v>3.8866390000000002</v>
      </c>
      <c r="M55" s="2">
        <v>3.8866390000000002</v>
      </c>
      <c r="N55" s="2">
        <v>4.5344129999999998</v>
      </c>
      <c r="O55" s="2">
        <v>5.1821859999999997</v>
      </c>
      <c r="P55" s="2">
        <v>7.0170450000000004</v>
      </c>
      <c r="Q55" s="2">
        <v>9.0808820000000008</v>
      </c>
      <c r="R55" s="2">
        <v>8.5472380000000001</v>
      </c>
      <c r="S55" s="2">
        <v>8.125</v>
      </c>
      <c r="T55" s="2">
        <v>5.2901509999999998</v>
      </c>
      <c r="U55" s="2">
        <v>3.9321730000000001</v>
      </c>
      <c r="V55" s="2">
        <v>3.8707129999999998</v>
      </c>
      <c r="W55" s="2">
        <v>3.1196100000000002</v>
      </c>
      <c r="X55" s="2">
        <v>0.81464389999999998</v>
      </c>
      <c r="Y55" s="2">
        <v>0.79166669999999995</v>
      </c>
      <c r="Z55" s="2">
        <v>0.76423269999999999</v>
      </c>
      <c r="AA55" s="2">
        <v>0.73006289999999996</v>
      </c>
      <c r="AB55" s="2">
        <v>11.75985</v>
      </c>
      <c r="AC55" s="2">
        <v>10.3325</v>
      </c>
      <c r="AD55" s="2">
        <v>6.711957</v>
      </c>
      <c r="AE55" s="2">
        <v>6.1749999999999998</v>
      </c>
      <c r="AF55" s="2">
        <v>5.0049429999999999</v>
      </c>
      <c r="AG55" s="2">
        <v>12.5517</v>
      </c>
      <c r="AH55" s="2">
        <v>16.473600000000001</v>
      </c>
      <c r="AI55" s="2">
        <v>3.8664149999999999</v>
      </c>
      <c r="AJ55" s="2">
        <v>9.2056889999999996</v>
      </c>
      <c r="AK55" s="2">
        <v>10.760300000000001</v>
      </c>
      <c r="AL55" s="3" t="e">
        <v>#N/A</v>
      </c>
      <c r="AM55" s="3" t="e">
        <v>#N/A</v>
      </c>
      <c r="AN55" s="2">
        <v>15.40484</v>
      </c>
      <c r="AO55" s="2">
        <v>14.729990000000001</v>
      </c>
      <c r="AP55" s="2">
        <v>14.448180000000001</v>
      </c>
      <c r="AQ55" s="2">
        <v>15.714930000000001</v>
      </c>
      <c r="AR55" s="2">
        <v>-1.060586</v>
      </c>
      <c r="AS55" s="2">
        <v>-1.157891</v>
      </c>
      <c r="AT55" s="2">
        <v>-1.4068970000000001</v>
      </c>
      <c r="AU55" s="2">
        <v>-1.6563920000000001</v>
      </c>
      <c r="AV55" s="1" t="s">
        <v>92</v>
      </c>
      <c r="AW55" s="3">
        <v>1.483333</v>
      </c>
      <c r="AX55" s="3">
        <v>4</v>
      </c>
      <c r="AY55" s="2">
        <v>29.554649999999999</v>
      </c>
      <c r="AZ55" s="2">
        <v>8.7179490000000008</v>
      </c>
      <c r="BA55" s="2">
        <v>-9.1439699999999995</v>
      </c>
      <c r="BB55" s="2">
        <v>-34.413170000000001</v>
      </c>
      <c r="BC55" s="2">
        <v>-28.645710000000001</v>
      </c>
      <c r="BD55" s="3">
        <v>2.6960000000000002</v>
      </c>
      <c r="BE55" s="2">
        <v>14.521509999999999</v>
      </c>
      <c r="BF55" s="3">
        <v>4.7374999999999998</v>
      </c>
      <c r="BG55" s="2">
        <v>-34.828499999999998</v>
      </c>
      <c r="BH55" s="2">
        <v>25.131989999999998</v>
      </c>
      <c r="BI55" s="2">
        <v>38.662430000000001</v>
      </c>
      <c r="BJ55" s="2">
        <v>42.452950000000001</v>
      </c>
      <c r="BK55" s="2">
        <v>44.544580000000003</v>
      </c>
      <c r="BL55" s="2">
        <v>28</v>
      </c>
      <c r="BM55" s="2">
        <v>25</v>
      </c>
      <c r="BN55" s="4">
        <v>30</v>
      </c>
      <c r="BO55" s="4">
        <v>1</v>
      </c>
      <c r="BP55" s="4">
        <v>4</v>
      </c>
      <c r="BQ55" s="4">
        <v>24</v>
      </c>
      <c r="BR55" s="2">
        <v>3.4482759999999999</v>
      </c>
      <c r="BS55" s="4">
        <v>17</v>
      </c>
      <c r="BT55" s="4">
        <v>1</v>
      </c>
      <c r="BU55" s="4">
        <v>30</v>
      </c>
      <c r="BV55" s="2">
        <v>56.666670000000003</v>
      </c>
      <c r="BW55" s="2">
        <v>8.9833200000000009</v>
      </c>
      <c r="BX55" s="2">
        <v>5613.4960000000001</v>
      </c>
      <c r="BY55" s="3">
        <v>12.915789999999999</v>
      </c>
      <c r="BZ55" s="3">
        <v>0.2300846</v>
      </c>
      <c r="CA55" s="2">
        <v>1.29437</v>
      </c>
      <c r="CB55" s="3">
        <v>0.2300846</v>
      </c>
      <c r="CC55" s="3">
        <v>0.36393110000000001</v>
      </c>
      <c r="CD55" s="3">
        <v>0.33563870000000001</v>
      </c>
      <c r="CE55" s="2">
        <v>-7.7741090000000002</v>
      </c>
      <c r="CF55" s="3">
        <v>2867.8339999999998</v>
      </c>
      <c r="CG55" s="3">
        <v>2604.498</v>
      </c>
      <c r="CH55" s="2">
        <v>-9.1824239999999993</v>
      </c>
      <c r="CI55" s="3">
        <v>4.9884259999999996</v>
      </c>
      <c r="CJ55" s="2">
        <v>-19.81438</v>
      </c>
      <c r="CK55" s="3">
        <v>24149.4</v>
      </c>
      <c r="CL55" s="3">
        <v>23080.14</v>
      </c>
      <c r="CM55" s="2">
        <v>-4.4276770000000001</v>
      </c>
      <c r="CN55" s="3">
        <v>3.678715</v>
      </c>
      <c r="CO55" s="3">
        <v>3.183392</v>
      </c>
      <c r="CP55" s="3">
        <v>3.1481539999999999</v>
      </c>
      <c r="CQ55" s="2">
        <v>-16.07124</v>
      </c>
      <c r="CR55" s="2">
        <v>-3.0122580000000001</v>
      </c>
      <c r="CS55" s="2">
        <v>-1.9266490000000001</v>
      </c>
      <c r="CT55" s="2">
        <v>-13.464560000000001</v>
      </c>
      <c r="CU55" s="2">
        <v>50.062469999999998</v>
      </c>
      <c r="CV55" s="3">
        <v>0.28884969999999999</v>
      </c>
      <c r="CW55" s="2">
        <v>-31.23075</v>
      </c>
      <c r="CX55" s="2">
        <v>-11.935829999999999</v>
      </c>
      <c r="CY55" s="2">
        <v>-21.76943</v>
      </c>
      <c r="CZ55" s="2">
        <v>36.272730000000003</v>
      </c>
    </row>
    <row r="56" spans="1:104" ht="15" customHeight="1" x14ac:dyDescent="0.2">
      <c r="A56" s="1">
        <f t="shared" si="0"/>
        <v>50</v>
      </c>
      <c r="B56" s="1" t="s">
        <v>159</v>
      </c>
      <c r="C56" s="1" t="s">
        <v>158</v>
      </c>
      <c r="D56" s="1" t="s">
        <v>46</v>
      </c>
      <c r="E56" s="1" t="s">
        <v>86</v>
      </c>
      <c r="F56" s="1" t="s">
        <v>160</v>
      </c>
      <c r="G56" s="2">
        <v>52706.84</v>
      </c>
      <c r="H56" s="2">
        <v>56.274099999999997</v>
      </c>
      <c r="I56" s="2">
        <v>29660.3</v>
      </c>
      <c r="J56" s="3">
        <v>427.05</v>
      </c>
      <c r="K56" s="3">
        <v>0</v>
      </c>
      <c r="L56" s="2">
        <v>3.278305</v>
      </c>
      <c r="M56" s="2">
        <v>3.0043319999999998</v>
      </c>
      <c r="N56" s="2">
        <v>3.178785</v>
      </c>
      <c r="O56" s="2">
        <v>3.5123039999999999</v>
      </c>
      <c r="P56" s="2">
        <v>14.038460000000001</v>
      </c>
      <c r="Q56" s="2">
        <v>16.262370000000001</v>
      </c>
      <c r="R56" s="2">
        <v>15.47283</v>
      </c>
      <c r="S56" s="2">
        <v>14.341609999999999</v>
      </c>
      <c r="T56" s="2">
        <v>8.4495740000000001</v>
      </c>
      <c r="U56" s="2">
        <v>9.0765170000000008</v>
      </c>
      <c r="V56" s="2">
        <v>8.4774720000000006</v>
      </c>
      <c r="W56" s="2">
        <v>7.6202449999999997</v>
      </c>
      <c r="X56" s="2">
        <v>3.7615609999999999</v>
      </c>
      <c r="Y56" s="2">
        <v>3.4150049999999998</v>
      </c>
      <c r="Z56" s="2">
        <v>3.0726879999999999</v>
      </c>
      <c r="AA56" s="2">
        <v>2.765584</v>
      </c>
      <c r="AB56" s="2">
        <v>12.294320000000001</v>
      </c>
      <c r="AC56" s="2">
        <v>10.724819999999999</v>
      </c>
      <c r="AD56" s="2">
        <v>9.7706350000000004</v>
      </c>
      <c r="AE56" s="2">
        <v>9.4022269999999999</v>
      </c>
      <c r="AF56" s="2">
        <v>3.7843279999999999</v>
      </c>
      <c r="AG56" s="2">
        <v>5.8810919999999998</v>
      </c>
      <c r="AH56" s="2">
        <v>7.0743320000000001</v>
      </c>
      <c r="AI56" s="2">
        <v>4.3083210000000003</v>
      </c>
      <c r="AJ56" s="2">
        <v>6.5815979999999996</v>
      </c>
      <c r="AK56" s="2">
        <v>7.677384</v>
      </c>
      <c r="AL56" s="3">
        <v>5.3427899999999999</v>
      </c>
      <c r="AM56" s="3">
        <v>5.1317890000000004</v>
      </c>
      <c r="AN56" s="2">
        <v>35.649349999999998</v>
      </c>
      <c r="AO56" s="2">
        <v>33.636060000000001</v>
      </c>
      <c r="AP56" s="2">
        <v>33.400539999999999</v>
      </c>
      <c r="AQ56" s="2">
        <v>33.601779999999998</v>
      </c>
      <c r="AR56" s="2">
        <v>0.31784980000000002</v>
      </c>
      <c r="AS56" s="2">
        <v>1.103918</v>
      </c>
      <c r="AT56" s="2">
        <v>0.90229230000000005</v>
      </c>
      <c r="AU56" s="2">
        <v>0.59856379999999998</v>
      </c>
      <c r="AV56" s="1" t="s">
        <v>88</v>
      </c>
      <c r="AW56" s="3">
        <v>1.678571</v>
      </c>
      <c r="AX56" s="3">
        <v>466.5</v>
      </c>
      <c r="AY56" s="2">
        <v>9.2378029999999995</v>
      </c>
      <c r="AZ56" s="2">
        <v>20.999420000000001</v>
      </c>
      <c r="BA56" s="2">
        <v>3.1357919999999999</v>
      </c>
      <c r="BB56" s="2">
        <v>-18.61064</v>
      </c>
      <c r="BC56" s="2">
        <v>-10.18928</v>
      </c>
      <c r="BD56" s="3">
        <v>376.7</v>
      </c>
      <c r="BE56" s="2">
        <v>13.366070000000001</v>
      </c>
      <c r="BF56" s="3">
        <v>603.6</v>
      </c>
      <c r="BG56" s="2">
        <v>-29.249500000000001</v>
      </c>
      <c r="BH56" s="2">
        <v>45.610570000000003</v>
      </c>
      <c r="BI56" s="2">
        <v>50.330100000000002</v>
      </c>
      <c r="BJ56" s="2">
        <v>50.716670000000001</v>
      </c>
      <c r="BK56" s="2">
        <v>49.092689999999997</v>
      </c>
      <c r="BL56" s="2">
        <v>25</v>
      </c>
      <c r="BM56" s="2">
        <v>24</v>
      </c>
      <c r="BN56" s="4">
        <v>28</v>
      </c>
      <c r="BO56" s="4">
        <v>3</v>
      </c>
      <c r="BP56" s="4">
        <v>4</v>
      </c>
      <c r="BQ56" s="4">
        <v>21</v>
      </c>
      <c r="BR56" s="2">
        <v>10.71429</v>
      </c>
      <c r="BS56" s="4">
        <v>10</v>
      </c>
      <c r="BT56" s="4">
        <v>1</v>
      </c>
      <c r="BU56" s="4">
        <v>28</v>
      </c>
      <c r="BV56" s="2">
        <v>35.714289999999998</v>
      </c>
      <c r="BW56" s="2">
        <v>9.6264099999999999</v>
      </c>
      <c r="BX56" s="2">
        <v>123.4208</v>
      </c>
      <c r="BY56" s="3">
        <v>0.1931069</v>
      </c>
      <c r="BZ56" s="3">
        <v>0.1564623</v>
      </c>
      <c r="CA56" s="2">
        <v>1.5384899999999999</v>
      </c>
      <c r="CB56" s="3">
        <v>0.1564623</v>
      </c>
      <c r="CC56" s="3">
        <v>29.801880000000001</v>
      </c>
      <c r="CD56" s="3">
        <v>26.444800000000001</v>
      </c>
      <c r="CE56" s="2">
        <v>-11.264670000000001</v>
      </c>
      <c r="CF56" s="3">
        <v>5551.3739999999998</v>
      </c>
      <c r="CG56" s="3">
        <v>5008.8</v>
      </c>
      <c r="CH56" s="2">
        <v>-9.7736839999999994</v>
      </c>
      <c r="CI56" s="3">
        <v>607.61540000000002</v>
      </c>
      <c r="CJ56" s="2">
        <v>-23.224450000000001</v>
      </c>
      <c r="CK56" s="3">
        <v>20688.39</v>
      </c>
      <c r="CL56" s="3">
        <v>19730.599999999999</v>
      </c>
      <c r="CM56" s="2">
        <v>-4.6295760000000001</v>
      </c>
      <c r="CN56" s="3">
        <v>490.4391</v>
      </c>
      <c r="CO56" s="3">
        <v>404.04320000000001</v>
      </c>
      <c r="CP56" s="3">
        <v>403.31920000000002</v>
      </c>
      <c r="CQ56" s="2">
        <v>-12.92496</v>
      </c>
      <c r="CR56" s="2">
        <v>5.6941389999999998</v>
      </c>
      <c r="CS56" s="2">
        <v>5.8838730000000004</v>
      </c>
      <c r="CT56" s="2">
        <v>-17.616019999999999</v>
      </c>
      <c r="CU56" s="2">
        <v>87.127269999999996</v>
      </c>
      <c r="CV56" s="3">
        <v>0.16530539999999999</v>
      </c>
      <c r="CW56" s="2" t="e">
        <v>#N/A</v>
      </c>
      <c r="CX56" s="2">
        <v>-0.75273939999999995</v>
      </c>
      <c r="CY56" s="2" t="e">
        <v>#N/A</v>
      </c>
      <c r="CZ56" s="2">
        <v>37.85859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2023-12-15T05:58:29Z</dcterms:created>
  <dcterms:modified xsi:type="dcterms:W3CDTF">2023-12-15T05:58:54Z</dcterms:modified>
  <cp:category/>
</cp:coreProperties>
</file>