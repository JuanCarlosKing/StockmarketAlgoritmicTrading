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9C7B824A-9FC5-4D9C-BEA9-627ADAD24CDE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</calcChain>
</file>

<file path=xl/sharedStrings.xml><?xml version="1.0" encoding="utf-8"?>
<sst xmlns="http://schemas.openxmlformats.org/spreadsheetml/2006/main" count="507" uniqueCount="364">
  <si>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</si>
  <si>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</si>
  <si>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</si>
  <si>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</si>
  <si>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</si>
  <si>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</si>
  <si>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</si>
  <si>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BBVA-ES</t>
  </si>
  <si>
    <t>Banco Bilbao Vizcaya Argentaria, S.A.</t>
  </si>
  <si>
    <t>SPAIN</t>
  </si>
  <si>
    <t>ISP-IT</t>
  </si>
  <si>
    <t>Intesa Sanpaolo S.p.A.</t>
  </si>
  <si>
    <t>TTE-FR</t>
  </si>
  <si>
    <t>TotalEnergies SE</t>
  </si>
  <si>
    <t>FRANCE</t>
  </si>
  <si>
    <t>Energy Minerals</t>
  </si>
  <si>
    <t>Integrated Oil</t>
  </si>
  <si>
    <t>Overweight (1.25)</t>
  </si>
  <si>
    <t>STLAM-IT</t>
  </si>
  <si>
    <t>Stellantis N.V.</t>
  </si>
  <si>
    <t>Consumer Durables</t>
  </si>
  <si>
    <t>Motor Vehicles</t>
  </si>
  <si>
    <t>INGA-NL</t>
  </si>
  <si>
    <t>ING Groep NV</t>
  </si>
  <si>
    <t>NETHERLANDS</t>
  </si>
  <si>
    <t>ENEL-IT</t>
  </si>
  <si>
    <t>Enel SpA</t>
  </si>
  <si>
    <t>Utilities</t>
  </si>
  <si>
    <t>Electric Utilities</t>
  </si>
  <si>
    <t>ABI-BE</t>
  </si>
  <si>
    <t>Anheuser-Busch InBev SA/NV</t>
  </si>
  <si>
    <t>BELGIUM</t>
  </si>
  <si>
    <t>Consumer Non-Durables</t>
  </si>
  <si>
    <t>Beverages: Alcoholic</t>
  </si>
  <si>
    <t>ENI-IT</t>
  </si>
  <si>
    <t>Eni S.p.A.</t>
  </si>
  <si>
    <t>Oil Refining/Marketing</t>
  </si>
  <si>
    <t>Overweight (1.50)</t>
  </si>
  <si>
    <t>MUV2-DE</t>
  </si>
  <si>
    <t>Munich Reinsurance Company</t>
  </si>
  <si>
    <t>GERMANY</t>
  </si>
  <si>
    <t>Life/Health Insurance</t>
  </si>
  <si>
    <t>SAF-FR</t>
  </si>
  <si>
    <t>Safran SA</t>
  </si>
  <si>
    <t>Electronic Technology</t>
  </si>
  <si>
    <t>Aerospace &amp; Defense</t>
  </si>
  <si>
    <t>SAP-DE</t>
  </si>
  <si>
    <t>SAP SE</t>
  </si>
  <si>
    <t>Technology Services</t>
  </si>
  <si>
    <t>Packaged Software</t>
  </si>
  <si>
    <t>SAN-ES</t>
  </si>
  <si>
    <t>Banco Santander, S.A.</t>
  </si>
  <si>
    <t>IBE-ES</t>
  </si>
  <si>
    <t>Iberdrola SA</t>
  </si>
  <si>
    <t>ITX-ES</t>
  </si>
  <si>
    <t>Industria de Diseno Textil, S.A.</t>
  </si>
  <si>
    <t>Retail Trade</t>
  </si>
  <si>
    <t>Apparel/Footwear Retail</t>
  </si>
  <si>
    <t>RACE-IT</t>
  </si>
  <si>
    <t>Ferrari NV</t>
  </si>
  <si>
    <t>ALV-DE</t>
  </si>
  <si>
    <t>Allianz SE</t>
  </si>
  <si>
    <t>Multi-Line Insurance</t>
  </si>
  <si>
    <t>DG-FR</t>
  </si>
  <si>
    <t>VINCI SA</t>
  </si>
  <si>
    <t>Industrial Services</t>
  </si>
  <si>
    <t>Engineering &amp; Construction</t>
  </si>
  <si>
    <t>AI-FR</t>
  </si>
  <si>
    <t>L'Air Liquide S.A.</t>
  </si>
  <si>
    <t>Process Industries</t>
  </si>
  <si>
    <t>Chemicals: Specialty</t>
  </si>
  <si>
    <t>DTE-DE</t>
  </si>
  <si>
    <t>Deutsche Telekom AG</t>
  </si>
  <si>
    <t>Communications</t>
  </si>
  <si>
    <t>Major Telecommunications</t>
  </si>
  <si>
    <t>SGO-FR</t>
  </si>
  <si>
    <t>Compagnie de Saint-Gobain SA</t>
  </si>
  <si>
    <t>Producer Manufacturing</t>
  </si>
  <si>
    <t>Building Products</t>
  </si>
  <si>
    <t>NDA.FI-FI</t>
  </si>
  <si>
    <t>Nordea Bank Abp</t>
  </si>
  <si>
    <t>SWEDEN</t>
  </si>
  <si>
    <t>AIR-FR</t>
  </si>
  <si>
    <t>Airbus SE</t>
  </si>
  <si>
    <t>ASML-NL</t>
  </si>
  <si>
    <t>ASML Holding NV</t>
  </si>
  <si>
    <t>Semiconductors</t>
  </si>
  <si>
    <t>FLTR-IE</t>
  </si>
  <si>
    <t>Flutter Entertainment Plc</t>
  </si>
  <si>
    <t>UNITED KINGDOM</t>
  </si>
  <si>
    <t>Consumer Services</t>
  </si>
  <si>
    <t>Casinos/Gaming</t>
  </si>
  <si>
    <t>ADS-DE</t>
  </si>
  <si>
    <t>adidas AG</t>
  </si>
  <si>
    <t>Apparel/Footwear</t>
  </si>
  <si>
    <t>Hold (2.00)</t>
  </si>
  <si>
    <t>CS-FR</t>
  </si>
  <si>
    <t>AXA SA</t>
  </si>
  <si>
    <t>PRX-NL</t>
  </si>
  <si>
    <t>Prosus N.V. Class N</t>
  </si>
  <si>
    <t>Transportation</t>
  </si>
  <si>
    <t>Air Freight/Couriers</t>
  </si>
  <si>
    <t>SAN-FR</t>
  </si>
  <si>
    <t>Sanofi</t>
  </si>
  <si>
    <t>Health Technology</t>
  </si>
  <si>
    <t>Pharmaceuticals: Major</t>
  </si>
  <si>
    <t>SIE-DE</t>
  </si>
  <si>
    <t>Siemens Aktiengesellschaft</t>
  </si>
  <si>
    <t>Industrial Machinery</t>
  </si>
  <si>
    <t>EL-FR</t>
  </si>
  <si>
    <t>EssilorLuxottica SA</t>
  </si>
  <si>
    <t>Medical Specialties</t>
  </si>
  <si>
    <t>IFX-DE</t>
  </si>
  <si>
    <t>Infineon Technologies AG</t>
  </si>
  <si>
    <t>BNP-FR</t>
  </si>
  <si>
    <t>BNP Paribas S.A. Class A</t>
  </si>
  <si>
    <t>BMW-DE</t>
  </si>
  <si>
    <t>Bayerische Motoren Werke AG</t>
  </si>
  <si>
    <t>AD-NL</t>
  </si>
  <si>
    <t>Koninklijke Ahold Delhaize N.V.</t>
  </si>
  <si>
    <t>Food Retail</t>
  </si>
  <si>
    <t>OR-FR</t>
  </si>
  <si>
    <t>L'Oreal S.A.</t>
  </si>
  <si>
    <t>Household/Personal Care</t>
  </si>
  <si>
    <t>BN-FR</t>
  </si>
  <si>
    <t>Danone SA</t>
  </si>
  <si>
    <t>Food: Meat/Fish/Dairy</t>
  </si>
  <si>
    <t>SU-FR</t>
  </si>
  <si>
    <t>Schneider Electric SE</t>
  </si>
  <si>
    <t>Electrical Products</t>
  </si>
  <si>
    <t>DB1-DE</t>
  </si>
  <si>
    <t>Deutsche Boerse AG</t>
  </si>
  <si>
    <t>Investment Banks/Brokers</t>
  </si>
  <si>
    <t>VOW3-DE</t>
  </si>
  <si>
    <t>Volkswagen AG Pref</t>
  </si>
  <si>
    <t>MBG-DE</t>
  </si>
  <si>
    <t>Mercedes-Benz Group AG</t>
  </si>
  <si>
    <t>RMS-FR</t>
  </si>
  <si>
    <t>Hermes International SCA</t>
  </si>
  <si>
    <t>MC-FR</t>
  </si>
  <si>
    <t>LVMH Moet Hennessy Louis Vuitton SE</t>
  </si>
  <si>
    <t>BAS-DE</t>
  </si>
  <si>
    <t>BASF SE</t>
  </si>
  <si>
    <t>Chemicals: Major Diversified</t>
  </si>
  <si>
    <t>BAYN-DE</t>
  </si>
  <si>
    <t>Bayer AG</t>
  </si>
  <si>
    <t>DHL-DE</t>
  </si>
  <si>
    <t>Deutsche Post AG</t>
  </si>
  <si>
    <t>RI-FR</t>
  </si>
  <si>
    <t>Pernod Ricard SA</t>
  </si>
  <si>
    <t>NOKIA-FI</t>
  </si>
  <si>
    <t>Nokia Oyj</t>
  </si>
  <si>
    <t>FINLAND</t>
  </si>
  <si>
    <t>Telecommunications Equipment</t>
  </si>
  <si>
    <t>ADYEN-NL</t>
  </si>
  <si>
    <t>Adyen NV</t>
  </si>
  <si>
    <t>KER-FR</t>
  </si>
  <si>
    <t>Kering SA</t>
  </si>
  <si>
    <t>Consumer Sundries</t>
  </si>
  <si>
    <t>Company Symbol</t>
  </si>
  <si>
    <t>Company Name</t>
  </si>
  <si>
    <t>FE Ticker</t>
  </si>
  <si>
    <t>País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</si>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</sst>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C7415-DD14-4343-8418-00403C16330E}">
  <sheetPr>
    <outlinePr summaryBelow="0" summaryRight="0"/>
    <pageSetUpPr fitToPage="1"/>
  </sheetPr>
  <dimension ref="A1:CZ56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28515625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14.28515625" customWidth="1"/>
  </cols>
  <sheetData>
    <row r="1" spans="1:104" ht="15" customHeight="1" x14ac:dyDescent="0.2">
      <c r="A1" t="s">
        <v>0</v>
      </c>
    </row>
    <row r="4" spans="1:104" ht="42" customHeight="1" x14ac:dyDescent="0.2">
      <c r="A4" s="5" t="s">
        <v>159</v>
      </c>
      <c r="B4" s="5" t="s">
        <v>160</v>
      </c>
      <c r="C4" s="5" t="s">
        <v>161</v>
      </c>
      <c r="D4" s="5" t="s">
        <v>162</v>
      </c>
      <c r="E4" s="5" t="s">
        <v>163</v>
      </c>
      <c r="F4" s="5" t="s">
        <v>164</v>
      </c>
      <c r="G4" s="6" t="s">
        <v>165</v>
      </c>
      <c r="H4" s="6" t="s">
        <v>166</v>
      </c>
      <c r="I4" s="6" t="s">
        <v>167</v>
      </c>
      <c r="J4" s="6" t="s">
        <v>168</v>
      </c>
      <c r="K4" s="6" t="s">
        <v>169</v>
      </c>
      <c r="L4" s="6" t="s">
        <v>170</v>
      </c>
      <c r="M4" s="6" t="s">
        <v>171</v>
      </c>
      <c r="N4" s="6" t="s">
        <v>172</v>
      </c>
      <c r="O4" s="6" t="s">
        <v>173</v>
      </c>
      <c r="P4" s="6" t="s">
        <v>174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179</v>
      </c>
      <c r="V4" s="6" t="s">
        <v>180</v>
      </c>
      <c r="W4" s="6" t="s">
        <v>181</v>
      </c>
      <c r="X4" s="6" t="s">
        <v>182</v>
      </c>
      <c r="Y4" s="6" t="s">
        <v>183</v>
      </c>
      <c r="Z4" s="6" t="s">
        <v>184</v>
      </c>
      <c r="AA4" s="6" t="s">
        <v>185</v>
      </c>
      <c r="AB4" s="6" t="s">
        <v>186</v>
      </c>
      <c r="AC4" s="6" t="s">
        <v>187</v>
      </c>
      <c r="AD4" s="6" t="s">
        <v>188</v>
      </c>
      <c r="AE4" s="6" t="s">
        <v>189</v>
      </c>
      <c r="AF4" s="6" t="s">
        <v>190</v>
      </c>
      <c r="AG4" s="6" t="s">
        <v>191</v>
      </c>
      <c r="AH4" s="6" t="s">
        <v>192</v>
      </c>
      <c r="AI4" s="6" t="s">
        <v>193</v>
      </c>
      <c r="AJ4" s="6" t="s">
        <v>194</v>
      </c>
      <c r="AK4" s="6" t="s">
        <v>195</v>
      </c>
      <c r="AL4" s="6" t="s">
        <v>196</v>
      </c>
      <c r="AM4" s="6" t="s">
        <v>197</v>
      </c>
      <c r="AN4" s="6" t="s">
        <v>198</v>
      </c>
      <c r="AO4" s="6" t="s">
        <v>199</v>
      </c>
      <c r="AP4" s="6" t="s">
        <v>200</v>
      </c>
      <c r="AQ4" s="6" t="s">
        <v>201</v>
      </c>
      <c r="AR4" s="6" t="s">
        <v>202</v>
      </c>
      <c r="AS4" s="6" t="s">
        <v>203</v>
      </c>
      <c r="AT4" s="6" t="s">
        <v>204</v>
      </c>
      <c r="AU4" s="6" t="s">
        <v>205</v>
      </c>
      <c r="AV4" s="5" t="s">
        <v>206</v>
      </c>
      <c r="AW4" s="6" t="s">
        <v>207</v>
      </c>
      <c r="AX4" s="6" t="s">
        <v>208</v>
      </c>
      <c r="AY4" s="6" t="s">
        <v>209</v>
      </c>
      <c r="AZ4" s="6" t="s">
        <v>210</v>
      </c>
      <c r="BA4" s="6" t="s">
        <v>211</v>
      </c>
      <c r="BB4" s="6" t="s">
        <v>212</v>
      </c>
      <c r="BC4" s="6" t="s">
        <v>213</v>
      </c>
      <c r="BD4" s="6" t="s">
        <v>214</v>
      </c>
      <c r="BE4" s="6" t="s">
        <v>215</v>
      </c>
      <c r="BF4" s="6" t="s">
        <v>216</v>
      </c>
      <c r="BG4" s="6" t="s">
        <v>217</v>
      </c>
      <c r="BH4" s="6" t="s">
        <v>218</v>
      </c>
      <c r="BI4" s="6" t="s">
        <v>219</v>
      </c>
      <c r="BJ4" s="6" t="s">
        <v>220</v>
      </c>
      <c r="BK4" s="6" t="s">
        <v>221</v>
      </c>
      <c r="BL4" s="6" t="s">
        <v>222</v>
      </c>
      <c r="BM4" s="6" t="s">
        <v>223</v>
      </c>
      <c r="BN4" s="6" t="s">
        <v>224</v>
      </c>
      <c r="BO4" s="6" t="s">
        <v>225</v>
      </c>
      <c r="BP4" s="6" t="s">
        <v>226</v>
      </c>
      <c r="BQ4" s="6" t="s">
        <v>227</v>
      </c>
      <c r="BR4" s="6" t="s">
        <v>228</v>
      </c>
      <c r="BS4" s="6" t="s">
        <v>229</v>
      </c>
      <c r="BT4" s="6" t="s">
        <v>230</v>
      </c>
      <c r="BU4" s="6" t="s">
        <v>224</v>
      </c>
      <c r="BV4" s="6" t="s">
        <v>231</v>
      </c>
      <c r="BW4" s="6" t="s">
        <v>232</v>
      </c>
      <c r="BX4" s="6" t="s">
        <v>233</v>
      </c>
      <c r="BY4" s="6" t="s">
        <v>234</v>
      </c>
      <c r="BZ4" s="6" t="s">
        <v>235</v>
      </c>
      <c r="CA4" s="6" t="s">
        <v>236</v>
      </c>
      <c r="CB4" s="6" t="s">
        <v>237</v>
      </c>
      <c r="CC4" s="6" t="s">
        <v>238</v>
      </c>
      <c r="CD4" s="6" t="s">
        <v>239</v>
      </c>
      <c r="CE4" s="6" t="s">
        <v>240</v>
      </c>
      <c r="CF4" s="6" t="s">
        <v>241</v>
      </c>
      <c r="CG4" s="6" t="s">
        <v>242</v>
      </c>
      <c r="CH4" s="6" t="s">
        <v>243</v>
      </c>
      <c r="CI4" s="6" t="s">
        <v>244</v>
      </c>
      <c r="CJ4" s="6" t="s">
        <v>245</v>
      </c>
      <c r="CK4" s="6" t="s">
        <v>246</v>
      </c>
      <c r="CL4" s="6" t="s">
        <v>247</v>
      </c>
      <c r="CM4" s="6" t="s">
        <v>248</v>
      </c>
      <c r="CN4" s="6" t="s">
        <v>249</v>
      </c>
      <c r="CO4" s="6" t="s">
        <v>250</v>
      </c>
      <c r="CP4" s="6" t="s">
        <v>251</v>
      </c>
      <c r="CQ4" s="6" t="s">
        <v>252</v>
      </c>
      <c r="CR4" s="6" t="s">
        <v>253</v>
      </c>
      <c r="CS4" s="6" t="s">
        <v>254</v>
      </c>
      <c r="CT4" s="6" t="s">
        <v>255</v>
      </c>
      <c r="CU4" s="6" t="s">
        <v>256</v>
      </c>
      <c r="CV4" s="6" t="s">
        <v>257</v>
      </c>
      <c r="CW4" s="6" t="s">
        <v>258</v>
      </c>
      <c r="CX4" s="6" t="s">
        <v>259</v>
      </c>
      <c r="CY4" s="6" t="s">
        <v>260</v>
      </c>
      <c r="CZ4" s="6" t="s">
        <v>261</v>
      </c>
    </row>
    <row r="5" spans="1:104" ht="12.75" x14ac:dyDescent="0.2">
      <c r="A5" s="5"/>
      <c r="B5" s="5"/>
      <c r="C5" s="5" t="s">
        <v>262</v>
      </c>
      <c r="D5" s="5" t="s">
        <v>263</v>
      </c>
      <c r="E5" s="5" t="s">
        <v>264</v>
      </c>
      <c r="F5" s="5" t="s">
        <v>265</v>
      </c>
      <c r="G5" s="6" t="s">
        <v>266</v>
      </c>
      <c r="H5" s="6" t="s">
        <v>267</v>
      </c>
      <c r="I5" s="6" t="s">
        <v>268</v>
      </c>
      <c r="J5" s="6" t="s">
        <v>269</v>
      </c>
      <c r="K5" s="6" t="s">
        <v>270</v>
      </c>
      <c r="L5" s="6" t="s">
        <v>271</v>
      </c>
      <c r="M5" s="6" t="s">
        <v>272</v>
      </c>
      <c r="N5" s="6" t="s">
        <v>273</v>
      </c>
      <c r="O5" s="6" t="s">
        <v>274</v>
      </c>
      <c r="P5" s="6" t="s">
        <v>275</v>
      </c>
      <c r="Q5" s="6" t="s">
        <v>276</v>
      </c>
      <c r="R5" s="6" t="s">
        <v>277</v>
      </c>
      <c r="S5" s="6" t="s">
        <v>278</v>
      </c>
      <c r="T5" s="6" t="s">
        <v>279</v>
      </c>
      <c r="U5" s="6" t="s">
        <v>280</v>
      </c>
      <c r="V5" s="6" t="s">
        <v>281</v>
      </c>
      <c r="W5" s="6" t="s">
        <v>282</v>
      </c>
      <c r="X5" s="6" t="s">
        <v>283</v>
      </c>
      <c r="Y5" s="6" t="s">
        <v>284</v>
      </c>
      <c r="Z5" s="6" t="s">
        <v>285</v>
      </c>
      <c r="AA5" s="6" t="s">
        <v>286</v>
      </c>
      <c r="AB5" s="6" t="s">
        <v>287</v>
      </c>
      <c r="AC5" s="6" t="s">
        <v>288</v>
      </c>
      <c r="AD5" s="6" t="s">
        <v>289</v>
      </c>
      <c r="AE5" s="6" t="s">
        <v>290</v>
      </c>
      <c r="AF5" s="6" t="s">
        <v>291</v>
      </c>
      <c r="AG5" s="6" t="s">
        <v>292</v>
      </c>
      <c r="AH5" s="6" t="s">
        <v>293</v>
      </c>
      <c r="AI5" s="6" t="s">
        <v>294</v>
      </c>
      <c r="AJ5" s="6" t="s">
        <v>295</v>
      </c>
      <c r="AK5" s="6" t="s">
        <v>296</v>
      </c>
      <c r="AL5" s="6" t="s">
        <v>297</v>
      </c>
      <c r="AM5" s="6" t="s">
        <v>298</v>
      </c>
      <c r="AN5" s="6" t="s">
        <v>299</v>
      </c>
      <c r="AO5" s="6" t="s">
        <v>300</v>
      </c>
      <c r="AP5" s="6" t="s">
        <v>301</v>
      </c>
      <c r="AQ5" s="6" t="s">
        <v>302</v>
      </c>
      <c r="AR5" s="6" t="s">
        <v>303</v>
      </c>
      <c r="AS5" s="6" t="s">
        <v>304</v>
      </c>
      <c r="AT5" s="6" t="s">
        <v>305</v>
      </c>
      <c r="AU5" s="6" t="s">
        <v>306</v>
      </c>
      <c r="AV5" s="5" t="s">
        <v>307</v>
      </c>
      <c r="AW5" s="6" t="s">
        <v>308</v>
      </c>
      <c r="AX5" s="6" t="s">
        <v>309</v>
      </c>
      <c r="AY5" s="6" t="s">
        <v>310</v>
      </c>
      <c r="AZ5" s="6" t="s">
        <v>311</v>
      </c>
      <c r="BA5" s="6" t="s">
        <v>312</v>
      </c>
      <c r="BB5" s="6" t="s">
        <v>313</v>
      </c>
      <c r="BC5" s="6" t="s">
        <v>314</v>
      </c>
      <c r="BD5" s="6" t="s">
        <v>315</v>
      </c>
      <c r="BE5" s="6" t="s">
        <v>316</v>
      </c>
      <c r="BF5" s="6" t="s">
        <v>317</v>
      </c>
      <c r="BG5" s="6" t="s">
        <v>318</v>
      </c>
      <c r="BH5" s="6" t="s">
        <v>319</v>
      </c>
      <c r="BI5" s="6" t="s">
        <v>320</v>
      </c>
      <c r="BJ5" s="6" t="s">
        <v>321</v>
      </c>
      <c r="BK5" s="6" t="s">
        <v>322</v>
      </c>
      <c r="BL5" s="6" t="s">
        <v>323</v>
      </c>
      <c r="BM5" s="6" t="s">
        <v>324</v>
      </c>
      <c r="BN5" s="6" t="s">
        <v>325</v>
      </c>
      <c r="BO5" s="6" t="s">
        <v>326</v>
      </c>
      <c r="BP5" s="6" t="s">
        <v>327</v>
      </c>
      <c r="BQ5" s="6" t="s">
        <v>328</v>
      </c>
      <c r="BR5" s="6" t="s">
        <v>329</v>
      </c>
      <c r="BS5" s="6" t="s">
        <v>330</v>
      </c>
      <c r="BT5" s="6" t="s">
        <v>331</v>
      </c>
      <c r="BU5" s="6" t="s">
        <v>332</v>
      </c>
      <c r="BV5" s="6" t="s">
        <v>333</v>
      </c>
      <c r="BW5" s="6" t="s">
        <v>334</v>
      </c>
      <c r="BX5" s="6" t="s">
        <v>335</v>
      </c>
      <c r="BY5" s="6" t="s">
        <v>336</v>
      </c>
      <c r="BZ5" s="6" t="s">
        <v>337</v>
      </c>
      <c r="CA5" s="6" t="s">
        <v>338</v>
      </c>
      <c r="CB5" s="6" t="s">
        <v>339</v>
      </c>
      <c r="CC5" s="6" t="s">
        <v>340</v>
      </c>
      <c r="CD5" s="6" t="s">
        <v>341</v>
      </c>
      <c r="CE5" s="6" t="s">
        <v>342</v>
      </c>
      <c r="CF5" s="6" t="s">
        <v>343</v>
      </c>
      <c r="CG5" s="6" t="s">
        <v>344</v>
      </c>
      <c r="CH5" s="6" t="s">
        <v>345</v>
      </c>
      <c r="CI5" s="6" t="s">
        <v>346</v>
      </c>
      <c r="CJ5" s="6" t="s">
        <v>347</v>
      </c>
      <c r="CK5" s="6" t="s">
        <v>348</v>
      </c>
      <c r="CL5" s="6" t="s">
        <v>349</v>
      </c>
      <c r="CM5" s="6" t="s">
        <v>350</v>
      </c>
      <c r="CN5" s="6" t="s">
        <v>351</v>
      </c>
      <c r="CO5" s="6" t="s">
        <v>352</v>
      </c>
      <c r="CP5" s="6" t="s">
        <v>353</v>
      </c>
      <c r="CQ5" s="6" t="s">
        <v>354</v>
      </c>
      <c r="CR5" s="6" t="s">
        <v>355</v>
      </c>
      <c r="CS5" s="6" t="s">
        <v>356</v>
      </c>
      <c r="CT5" s="6" t="s">
        <v>357</v>
      </c>
      <c r="CU5" s="6" t="s">
        <v>358</v>
      </c>
      <c r="CV5" s="6" t="s">
        <v>359</v>
      </c>
      <c r="CW5" s="6" t="s">
        <v>360</v>
      </c>
      <c r="CX5" s="6" t="s">
        <v>361</v>
      </c>
      <c r="CY5" s="6" t="s">
        <v>362</v>
      </c>
      <c r="CZ5" s="6" t="s">
        <v>363</v>
      </c>
    </row>
    <row r="6" spans="1:104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</row>
    <row r="7" spans="1:104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42162.67</v>
      </c>
      <c r="H7" s="2">
        <v>89.849699999999999</v>
      </c>
      <c r="I7" s="2">
        <v>37883.03</v>
      </c>
      <c r="J7" s="3">
        <v>23.625</v>
      </c>
      <c r="K7" s="3">
        <v>0</v>
      </c>
      <c r="L7" s="2">
        <v>4.1904760000000003</v>
      </c>
      <c r="M7" s="2">
        <v>6.2364860000000002</v>
      </c>
      <c r="N7" s="2">
        <v>6.8815759999999999</v>
      </c>
      <c r="O7" s="2">
        <v>8.3809529999999999</v>
      </c>
      <c r="P7" s="2">
        <v>9.4499999999999993</v>
      </c>
      <c r="Q7" s="2">
        <v>5.5327869999999999</v>
      </c>
      <c r="R7" s="2">
        <v>5.2159040000000001</v>
      </c>
      <c r="S7" s="2">
        <v>5.0330209999999997</v>
      </c>
      <c r="T7" s="2" t="e">
        <v>#N/A</v>
      </c>
      <c r="U7" s="2" t="e">
        <v>#N/A</v>
      </c>
      <c r="V7" s="2" t="e">
        <v>#N/A</v>
      </c>
      <c r="W7" s="2" t="e">
        <v>#N/A</v>
      </c>
      <c r="X7" s="2">
        <v>0.79868159999999999</v>
      </c>
      <c r="Y7" s="2">
        <v>0.67461450000000001</v>
      </c>
      <c r="Z7" s="2">
        <v>0.59675219999999995</v>
      </c>
      <c r="AA7" s="2">
        <v>0.54138790000000003</v>
      </c>
      <c r="AB7" s="2" t="e">
        <v>#N/A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3">
        <v>0.1868553</v>
      </c>
      <c r="AM7" s="3">
        <v>0.17890159999999999</v>
      </c>
      <c r="AN7" s="2" t="e">
        <v>#N/A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1" t="s">
        <v>6</v>
      </c>
      <c r="AW7" s="3">
        <v>1.0652170000000001</v>
      </c>
      <c r="AX7" s="3">
        <v>32.54</v>
      </c>
      <c r="AY7" s="2">
        <v>37.73545</v>
      </c>
      <c r="AZ7" s="2">
        <v>12.19303</v>
      </c>
      <c r="BA7" s="2">
        <v>29.51</v>
      </c>
      <c r="BB7" s="2">
        <v>88.277010000000004</v>
      </c>
      <c r="BC7" s="2">
        <v>78.006320000000002</v>
      </c>
      <c r="BD7" s="3">
        <v>12.1</v>
      </c>
      <c r="BE7" s="2">
        <v>95.247919999999993</v>
      </c>
      <c r="BF7" s="3">
        <v>23.93</v>
      </c>
      <c r="BG7" s="2">
        <v>-1.2745500000000001</v>
      </c>
      <c r="BH7" s="2">
        <v>38.923900000000003</v>
      </c>
      <c r="BI7" s="2">
        <v>34.8874</v>
      </c>
      <c r="BJ7" s="2">
        <v>36.62238</v>
      </c>
      <c r="BK7" s="2">
        <v>40.951900000000002</v>
      </c>
      <c r="BL7" s="2">
        <v>22</v>
      </c>
      <c r="BM7" s="2">
        <v>11</v>
      </c>
      <c r="BN7" s="4">
        <v>23</v>
      </c>
      <c r="BO7" s="4">
        <v>0</v>
      </c>
      <c r="BP7" s="4">
        <v>0</v>
      </c>
      <c r="BQ7" s="4">
        <v>23</v>
      </c>
      <c r="BR7" s="2">
        <v>0</v>
      </c>
      <c r="BS7" s="4">
        <v>22</v>
      </c>
      <c r="BT7" s="4">
        <v>0</v>
      </c>
      <c r="BU7" s="4">
        <v>23</v>
      </c>
      <c r="BV7" s="2">
        <v>95.652180000000001</v>
      </c>
      <c r="BW7" s="2">
        <v>13.2834</v>
      </c>
      <c r="BX7" s="2">
        <v>1784.663</v>
      </c>
      <c r="BY7" s="3">
        <v>15.08672</v>
      </c>
      <c r="BZ7" s="3">
        <v>0.8453541</v>
      </c>
      <c r="CA7" s="2">
        <v>1.6104799999999999</v>
      </c>
      <c r="CB7" s="3">
        <v>0.8453541</v>
      </c>
      <c r="CC7" s="3">
        <v>3.8290869999999999</v>
      </c>
      <c r="CD7" s="3">
        <v>4.2844709999999999</v>
      </c>
      <c r="CE7" s="2">
        <v>11.892749999999999</v>
      </c>
      <c r="CF7" s="3">
        <v>12868.75</v>
      </c>
      <c r="CG7" s="3">
        <v>13786.07</v>
      </c>
      <c r="CH7" s="2">
        <v>7.1282509999999997</v>
      </c>
      <c r="CI7" s="3">
        <v>28.963750000000001</v>
      </c>
      <c r="CJ7" s="2">
        <v>12.347329999999999</v>
      </c>
      <c r="CK7" s="3">
        <v>22360.17</v>
      </c>
      <c r="CL7" s="3">
        <v>23300.75</v>
      </c>
      <c r="CM7" s="2">
        <v>4.2065020000000004</v>
      </c>
      <c r="CN7" s="3">
        <v>20.070810000000002</v>
      </c>
      <c r="CO7" s="3">
        <v>22.314119999999999</v>
      </c>
      <c r="CP7" s="3">
        <v>22.60981</v>
      </c>
      <c r="CQ7" s="2">
        <v>17.708269999999999</v>
      </c>
      <c r="CR7" s="2">
        <v>5.8746809999999998</v>
      </c>
      <c r="CS7" s="2">
        <v>4.4900659999999997</v>
      </c>
      <c r="CT7" s="2">
        <v>11.176970000000001</v>
      </c>
      <c r="CU7" s="2">
        <v>284.67430000000002</v>
      </c>
      <c r="CV7" s="3">
        <v>0.67518089999999997</v>
      </c>
      <c r="CW7" s="2">
        <v>17.81174</v>
      </c>
      <c r="CX7" s="2">
        <v>2.8973879999999999</v>
      </c>
      <c r="CY7" s="2">
        <v>28.01125</v>
      </c>
      <c r="CZ7" s="2">
        <v>11.282830000000001</v>
      </c>
    </row>
    <row r="8" spans="1:104" ht="15" customHeight="1" x14ac:dyDescent="0.2">
      <c r="A8" s="1">
        <f>1+A7</f>
        <v>2</v>
      </c>
      <c r="B8" s="1" t="s">
        <v>8</v>
      </c>
      <c r="C8" s="1" t="s">
        <v>7</v>
      </c>
      <c r="D8" s="1" t="s">
        <v>9</v>
      </c>
      <c r="E8" s="1" t="s">
        <v>4</v>
      </c>
      <c r="F8" s="1" t="s">
        <v>5</v>
      </c>
      <c r="G8" s="2">
        <v>44275.73</v>
      </c>
      <c r="H8" s="2">
        <v>99.859700000000004</v>
      </c>
      <c r="I8" s="2">
        <v>44213.61</v>
      </c>
      <c r="J8" s="3">
        <v>7.4219999999999997</v>
      </c>
      <c r="K8" s="3">
        <v>0</v>
      </c>
      <c r="L8" s="2">
        <v>5.7935869999999996</v>
      </c>
      <c r="M8" s="2">
        <v>8.1939779999999995</v>
      </c>
      <c r="N8" s="2">
        <v>8.3452300000000008</v>
      </c>
      <c r="O8" s="2">
        <v>8.4756459999999993</v>
      </c>
      <c r="P8" s="2">
        <v>7.0685719999999996</v>
      </c>
      <c r="Q8" s="2">
        <v>5.8440950000000003</v>
      </c>
      <c r="R8" s="2">
        <v>5.8586600000000004</v>
      </c>
      <c r="S8" s="2">
        <v>5.8904759999999996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0.95275989999999999</v>
      </c>
      <c r="Y8" s="2">
        <v>0.88462450000000004</v>
      </c>
      <c r="Z8" s="2">
        <v>0.83527510000000005</v>
      </c>
      <c r="AA8" s="2">
        <v>0.78249869999999999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3">
        <v>1.433819</v>
      </c>
      <c r="AM8" s="3">
        <v>1.4398359999999999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6</v>
      </c>
      <c r="AW8" s="3">
        <v>1.4038459999999999</v>
      </c>
      <c r="AX8" s="3">
        <v>9.4</v>
      </c>
      <c r="AY8" s="2">
        <v>26.650500000000001</v>
      </c>
      <c r="AZ8" s="2">
        <v>15.13707</v>
      </c>
      <c r="BA8" s="2">
        <v>4.1082210000000003</v>
      </c>
      <c r="BB8" s="2">
        <v>42.48415</v>
      </c>
      <c r="BC8" s="2">
        <v>31.735900000000001</v>
      </c>
      <c r="BD8" s="3">
        <v>5.1539999999999999</v>
      </c>
      <c r="BE8" s="2">
        <v>44.004649999999998</v>
      </c>
      <c r="BF8" s="3">
        <v>7.8819999999999997</v>
      </c>
      <c r="BG8" s="2">
        <v>-5.8360820000000002</v>
      </c>
      <c r="BH8" s="2">
        <v>41.986649999999997</v>
      </c>
      <c r="BI8" s="2">
        <v>47.488059999999997</v>
      </c>
      <c r="BJ8" s="2">
        <v>49.280619999999999</v>
      </c>
      <c r="BK8" s="2">
        <v>50.00367</v>
      </c>
      <c r="BL8" s="2">
        <v>25</v>
      </c>
      <c r="BM8" s="2">
        <v>17</v>
      </c>
      <c r="BN8" s="4">
        <v>26</v>
      </c>
      <c r="BO8" s="4">
        <v>2</v>
      </c>
      <c r="BP8" s="4">
        <v>1</v>
      </c>
      <c r="BQ8" s="4">
        <v>21</v>
      </c>
      <c r="BR8" s="2">
        <v>8.3333340000000007</v>
      </c>
      <c r="BS8" s="4">
        <v>17</v>
      </c>
      <c r="BT8" s="4">
        <v>0</v>
      </c>
      <c r="BU8" s="4">
        <v>26</v>
      </c>
      <c r="BV8" s="2">
        <v>65.384609999999995</v>
      </c>
      <c r="BW8" s="2">
        <v>12.872299999999999</v>
      </c>
      <c r="BX8" s="2">
        <v>5965.473</v>
      </c>
      <c r="BY8" s="3">
        <v>16.502130000000001</v>
      </c>
      <c r="BZ8" s="3">
        <v>0.27662730000000002</v>
      </c>
      <c r="CA8" s="2">
        <v>1.9081999999999999</v>
      </c>
      <c r="CB8" s="3">
        <v>0.27662730000000002</v>
      </c>
      <c r="CC8" s="3">
        <v>1.1758740000000001</v>
      </c>
      <c r="CD8" s="3">
        <v>1.260006</v>
      </c>
      <c r="CE8" s="2">
        <v>7.1548579999999999</v>
      </c>
      <c r="CF8" s="3">
        <v>15830.34</v>
      </c>
      <c r="CG8" s="3">
        <v>16692.52</v>
      </c>
      <c r="CH8" s="2">
        <v>5.4463619999999997</v>
      </c>
      <c r="CI8" s="3">
        <v>8.6051859999999998</v>
      </c>
      <c r="CJ8" s="2">
        <v>9.2364549999999994</v>
      </c>
      <c r="CK8" s="3">
        <v>27959.88</v>
      </c>
      <c r="CL8" s="3">
        <v>28919.69</v>
      </c>
      <c r="CM8" s="2">
        <v>3.4328099999999999</v>
      </c>
      <c r="CN8" s="3">
        <v>6.9139299999999997</v>
      </c>
      <c r="CO8" s="3">
        <v>7.4096080000000004</v>
      </c>
      <c r="CP8" s="3">
        <v>7.5917680000000001</v>
      </c>
      <c r="CQ8" s="2">
        <v>7.3485019999999999</v>
      </c>
      <c r="CR8" s="2">
        <v>0.16723869999999999</v>
      </c>
      <c r="CS8" s="2">
        <v>-2.2362169999999999</v>
      </c>
      <c r="CT8" s="2">
        <v>7.1692710000000002</v>
      </c>
      <c r="CU8" s="2">
        <v>109.3357</v>
      </c>
      <c r="CV8" s="3">
        <v>0.24694269999999999</v>
      </c>
      <c r="CW8" s="2">
        <v>3.9239160000000002</v>
      </c>
      <c r="CX8" s="2">
        <v>8.6369520000000009</v>
      </c>
      <c r="CY8" s="2">
        <v>9.216977</v>
      </c>
      <c r="CZ8" s="2">
        <v>15.44444</v>
      </c>
    </row>
    <row r="9" spans="1:104" ht="15" customHeight="1" x14ac:dyDescent="0.2">
      <c r="A9" s="1">
        <f t="shared" ref="A9:A56" si="0">1+A8</f>
        <v>3</v>
      </c>
      <c r="B9" s="1" t="s">
        <v>11</v>
      </c>
      <c r="C9" s="1" t="s">
        <v>10</v>
      </c>
      <c r="D9" s="1" t="s">
        <v>3</v>
      </c>
      <c r="E9" s="1" t="s">
        <v>4</v>
      </c>
      <c r="F9" s="1" t="s">
        <v>5</v>
      </c>
      <c r="G9" s="2">
        <v>44911.7</v>
      </c>
      <c r="H9" s="2">
        <v>79.096599999999995</v>
      </c>
      <c r="I9" s="2">
        <v>35523.620000000003</v>
      </c>
      <c r="J9" s="3">
        <v>2.4565000000000001</v>
      </c>
      <c r="K9" s="3">
        <v>0</v>
      </c>
      <c r="L9" s="2">
        <v>6.5235500000000002</v>
      </c>
      <c r="M9" s="2">
        <v>11.39833</v>
      </c>
      <c r="N9" s="2">
        <v>12.00896</v>
      </c>
      <c r="O9" s="2">
        <v>12.2125</v>
      </c>
      <c r="P9" s="2">
        <v>10.680440000000001</v>
      </c>
      <c r="Q9" s="2">
        <v>6.2335000000000003</v>
      </c>
      <c r="R9" s="2">
        <v>5.797523</v>
      </c>
      <c r="S9" s="2">
        <v>5.6603269999999997</v>
      </c>
      <c r="T9" s="2" t="e">
        <v>#N/A</v>
      </c>
      <c r="U9" s="2" t="e">
        <v>#N/A</v>
      </c>
      <c r="V9" s="2" t="e">
        <v>#N/A</v>
      </c>
      <c r="W9" s="2" t="e">
        <v>#N/A</v>
      </c>
      <c r="X9" s="2">
        <v>0.84595569999999998</v>
      </c>
      <c r="Y9" s="2">
        <v>0.77912599999999999</v>
      </c>
      <c r="Z9" s="2">
        <v>0.74439390000000005</v>
      </c>
      <c r="AA9" s="2">
        <v>0.70743789999999995</v>
      </c>
      <c r="AB9" s="2" t="e">
        <v>#N/A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3">
        <v>0.22732659999999999</v>
      </c>
      <c r="AM9" s="3">
        <v>0.2166778</v>
      </c>
      <c r="AN9" s="2" t="e">
        <v>#N/A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1" t="s">
        <v>6</v>
      </c>
      <c r="AW9" s="3">
        <v>1.2708330000000001</v>
      </c>
      <c r="AX9" s="3">
        <v>3.5</v>
      </c>
      <c r="AY9" s="2">
        <v>42.479129999999998</v>
      </c>
      <c r="AZ9" s="2">
        <v>12.49901</v>
      </c>
      <c r="BA9" s="2">
        <v>27.265910000000002</v>
      </c>
      <c r="BB9" s="2">
        <v>27.345780000000001</v>
      </c>
      <c r="BC9" s="2">
        <v>18.21463</v>
      </c>
      <c r="BD9" s="3">
        <v>1.9056</v>
      </c>
      <c r="BE9" s="2">
        <v>28.90953</v>
      </c>
      <c r="BF9" s="3">
        <v>2.6440000000000001</v>
      </c>
      <c r="BG9" s="2">
        <v>-7.0915280000000003</v>
      </c>
      <c r="BH9" s="2">
        <v>68.893739999999994</v>
      </c>
      <c r="BI9" s="2">
        <v>70.720309999999998</v>
      </c>
      <c r="BJ9" s="2">
        <v>70.541679999999999</v>
      </c>
      <c r="BK9" s="2">
        <v>69.7941</v>
      </c>
      <c r="BL9" s="2">
        <v>22</v>
      </c>
      <c r="BM9" s="2">
        <v>13</v>
      </c>
      <c r="BN9" s="4">
        <v>24</v>
      </c>
      <c r="BO9" s="4">
        <v>1</v>
      </c>
      <c r="BP9" s="4">
        <v>0</v>
      </c>
      <c r="BQ9" s="4">
        <v>22</v>
      </c>
      <c r="BR9" s="2">
        <v>4.3478260000000004</v>
      </c>
      <c r="BS9" s="4">
        <v>19</v>
      </c>
      <c r="BT9" s="4">
        <v>0</v>
      </c>
      <c r="BU9" s="4">
        <v>24</v>
      </c>
      <c r="BV9" s="2">
        <v>79.166669999999996</v>
      </c>
      <c r="BW9" s="2">
        <v>10.2684</v>
      </c>
      <c r="BX9" s="2">
        <v>18282.8</v>
      </c>
      <c r="BY9" s="3">
        <v>93.647009999999995</v>
      </c>
      <c r="BZ9" s="3">
        <v>0.51221380000000005</v>
      </c>
      <c r="CA9" s="2">
        <v>1.3716999999999999</v>
      </c>
      <c r="CB9" s="3">
        <v>0.51221380000000005</v>
      </c>
      <c r="CC9" s="3">
        <v>0.38473869999999999</v>
      </c>
      <c r="CD9" s="3">
        <v>0.39632040000000002</v>
      </c>
      <c r="CE9" s="2">
        <v>3.0102609999999999</v>
      </c>
      <c r="CF9" s="3">
        <v>13612.71</v>
      </c>
      <c r="CG9" s="3">
        <v>13869.38</v>
      </c>
      <c r="CH9" s="2">
        <v>1.8855690000000001</v>
      </c>
      <c r="CI9" s="3">
        <v>3.267083</v>
      </c>
      <c r="CJ9" s="2">
        <v>7.1291919999999998</v>
      </c>
      <c r="CK9" s="3">
        <v>24388.75</v>
      </c>
      <c r="CL9" s="3">
        <v>24952.75</v>
      </c>
      <c r="CM9" s="2">
        <v>2.3125529999999999</v>
      </c>
      <c r="CN9" s="3">
        <v>2.4158710000000001</v>
      </c>
      <c r="CO9" s="3">
        <v>2.4291770000000001</v>
      </c>
      <c r="CP9" s="3">
        <v>2.400827</v>
      </c>
      <c r="CQ9" s="2">
        <v>1.6817690000000001</v>
      </c>
      <c r="CR9" s="2">
        <v>1.124787</v>
      </c>
      <c r="CS9" s="2">
        <v>2.3189069999999998</v>
      </c>
      <c r="CT9" s="2">
        <v>0.55079460000000002</v>
      </c>
      <c r="CU9" s="2">
        <v>194.62610000000001</v>
      </c>
      <c r="CV9" s="3">
        <v>0.43335289999999999</v>
      </c>
      <c r="CW9" s="2">
        <v>11.83229</v>
      </c>
      <c r="CX9" s="2">
        <v>2.8336169999999998</v>
      </c>
      <c r="CY9" s="2">
        <v>6.1147689999999999</v>
      </c>
      <c r="CZ9" s="2">
        <v>16.0505</v>
      </c>
    </row>
    <row r="10" spans="1:104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1" t="s">
        <v>16</v>
      </c>
      <c r="G10" s="2">
        <v>152454.29999999999</v>
      </c>
      <c r="H10" s="2">
        <v>89.4422</v>
      </c>
      <c r="I10" s="2">
        <v>136358.5</v>
      </c>
      <c r="J10" s="3">
        <v>63.2</v>
      </c>
      <c r="K10" s="3">
        <v>0</v>
      </c>
      <c r="L10" s="2">
        <v>5.7090829999999997</v>
      </c>
      <c r="M10" s="2">
        <v>4.7630699999999999</v>
      </c>
      <c r="N10" s="2">
        <v>5.0708099999999998</v>
      </c>
      <c r="O10" s="2">
        <v>5.4203520000000003</v>
      </c>
      <c r="P10" s="2">
        <v>4.8621840000000001</v>
      </c>
      <c r="Q10" s="2">
        <v>6.7070679999999996</v>
      </c>
      <c r="R10" s="2">
        <v>6.8173760000000003</v>
      </c>
      <c r="S10" s="2">
        <v>7.1048349999999996</v>
      </c>
      <c r="T10" s="2">
        <v>2.887667</v>
      </c>
      <c r="U10" s="2">
        <v>3.4640309999999999</v>
      </c>
      <c r="V10" s="2">
        <v>3.5586980000000001</v>
      </c>
      <c r="W10" s="2">
        <v>3.6974719999999999</v>
      </c>
      <c r="X10" s="2">
        <v>1.535331</v>
      </c>
      <c r="Y10" s="2">
        <v>1.357497</v>
      </c>
      <c r="Z10" s="2">
        <v>1.2212499999999999</v>
      </c>
      <c r="AA10" s="2">
        <v>1.1284190000000001</v>
      </c>
      <c r="AB10" s="2">
        <v>3.729104</v>
      </c>
      <c r="AC10" s="2">
        <v>4.4924280000000003</v>
      </c>
      <c r="AD10" s="2">
        <v>4.2014089999999999</v>
      </c>
      <c r="AE10" s="2">
        <v>4.07829</v>
      </c>
      <c r="AF10" s="2">
        <v>9.0051459999999999</v>
      </c>
      <c r="AG10" s="2">
        <v>9.6238580000000002</v>
      </c>
      <c r="AH10" s="2">
        <v>9.2118020000000005</v>
      </c>
      <c r="AI10" s="2">
        <v>9.9621449999999996</v>
      </c>
      <c r="AJ10" s="2">
        <v>10.430680000000001</v>
      </c>
      <c r="AK10" s="2">
        <v>9.6891309999999997</v>
      </c>
      <c r="AL10" s="3" t="e">
        <v>#N/A</v>
      </c>
      <c r="AM10" s="3" t="e">
        <v>#N/A</v>
      </c>
      <c r="AN10" s="2">
        <v>23.864650000000001</v>
      </c>
      <c r="AO10" s="2">
        <v>22.485530000000001</v>
      </c>
      <c r="AP10" s="2">
        <v>20.01146</v>
      </c>
      <c r="AQ10" s="2">
        <v>19.95628</v>
      </c>
      <c r="AR10" s="2">
        <v>0.26598549999999999</v>
      </c>
      <c r="AS10" s="2">
        <v>0.33276699999999998</v>
      </c>
      <c r="AT10" s="2">
        <v>0.2752674</v>
      </c>
      <c r="AU10" s="2">
        <v>0.18215310000000001</v>
      </c>
      <c r="AV10" s="1" t="s">
        <v>17</v>
      </c>
      <c r="AW10" s="3">
        <v>1.428571</v>
      </c>
      <c r="AX10" s="3">
        <v>69.821190000000001</v>
      </c>
      <c r="AY10" s="2">
        <v>10.476570000000001</v>
      </c>
      <c r="AZ10" s="2">
        <v>20.239789999999999</v>
      </c>
      <c r="BA10" s="2">
        <v>-3.7810929999999998</v>
      </c>
      <c r="BB10" s="2">
        <v>14.70054</v>
      </c>
      <c r="BC10" s="2">
        <v>7.7578779999999998</v>
      </c>
      <c r="BD10" s="3">
        <v>50.55</v>
      </c>
      <c r="BE10" s="2">
        <v>25.024740000000001</v>
      </c>
      <c r="BF10" s="3">
        <v>64.55</v>
      </c>
      <c r="BG10" s="2">
        <v>-2.0914079999999999</v>
      </c>
      <c r="BH10" s="2">
        <v>25.741140000000001</v>
      </c>
      <c r="BI10" s="2">
        <v>31.143260000000001</v>
      </c>
      <c r="BJ10" s="2">
        <v>33.807659999999998</v>
      </c>
      <c r="BK10" s="2">
        <v>38.192320000000002</v>
      </c>
      <c r="BL10" s="2">
        <v>27</v>
      </c>
      <c r="BM10" s="2">
        <v>21</v>
      </c>
      <c r="BN10" s="4">
        <v>28</v>
      </c>
      <c r="BO10" s="4">
        <v>1</v>
      </c>
      <c r="BP10" s="4">
        <v>0</v>
      </c>
      <c r="BQ10" s="4">
        <v>27</v>
      </c>
      <c r="BR10" s="2">
        <v>3.5714290000000002</v>
      </c>
      <c r="BS10" s="4">
        <v>18</v>
      </c>
      <c r="BT10" s="4">
        <v>0</v>
      </c>
      <c r="BU10" s="4">
        <v>28</v>
      </c>
      <c r="BV10" s="2">
        <v>64.285709999999995</v>
      </c>
      <c r="BW10" s="2">
        <v>9.4848400000000002</v>
      </c>
      <c r="BX10" s="2">
        <v>2412.252</v>
      </c>
      <c r="BY10" s="3">
        <v>4.8289590000000002</v>
      </c>
      <c r="BZ10" s="3">
        <v>0.20018469999999999</v>
      </c>
      <c r="CA10" s="2">
        <v>1.0446200000000001</v>
      </c>
      <c r="CB10" s="3">
        <v>0.20018469999999999</v>
      </c>
      <c r="CC10" s="3">
        <v>8.9023869999999992</v>
      </c>
      <c r="CD10" s="3">
        <v>9.5173710000000007</v>
      </c>
      <c r="CE10" s="2">
        <v>6.9080830000000004</v>
      </c>
      <c r="CF10" s="3">
        <v>33563.199999999997</v>
      </c>
      <c r="CG10" s="3">
        <v>36229</v>
      </c>
      <c r="CH10" s="2">
        <v>7.9426410000000001</v>
      </c>
      <c r="CI10" s="3">
        <v>64.602140000000006</v>
      </c>
      <c r="CJ10" s="2">
        <v>8.078754</v>
      </c>
      <c r="CK10" s="3">
        <v>214394.1</v>
      </c>
      <c r="CL10" s="3">
        <v>226632.5</v>
      </c>
      <c r="CM10" s="2">
        <v>5.7083490000000001</v>
      </c>
      <c r="CN10" s="3">
        <v>57.081139999999998</v>
      </c>
      <c r="CO10" s="3">
        <v>61.134509999999999</v>
      </c>
      <c r="CP10" s="3">
        <v>62.239609999999999</v>
      </c>
      <c r="CQ10" s="2">
        <v>10.719569999999999</v>
      </c>
      <c r="CR10" s="2">
        <v>3.378606</v>
      </c>
      <c r="CS10" s="2">
        <v>1.5430569999999999</v>
      </c>
      <c r="CT10" s="2">
        <v>7.1010590000000002</v>
      </c>
      <c r="CU10" s="2">
        <v>266.55560000000003</v>
      </c>
      <c r="CV10" s="3">
        <v>0.1748429</v>
      </c>
      <c r="CW10" s="2">
        <v>4.1325019999999997</v>
      </c>
      <c r="CX10" s="2">
        <v>2.7022469999999998</v>
      </c>
      <c r="CY10" s="2">
        <v>22.868919999999999</v>
      </c>
      <c r="CZ10" s="2">
        <v>16.08081</v>
      </c>
    </row>
    <row r="11" spans="1:104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20</v>
      </c>
      <c r="F11" s="1" t="s">
        <v>21</v>
      </c>
      <c r="G11" s="2">
        <v>55340.18</v>
      </c>
      <c r="H11" s="2">
        <v>69.203900000000004</v>
      </c>
      <c r="I11" s="2">
        <v>38297.57</v>
      </c>
      <c r="J11" s="3">
        <v>17.600000000000001</v>
      </c>
      <c r="K11" s="3">
        <v>0</v>
      </c>
      <c r="L11" s="2">
        <v>7.6136359999999996</v>
      </c>
      <c r="M11" s="2">
        <v>8.9488640000000004</v>
      </c>
      <c r="N11" s="2">
        <v>8.5995139999999992</v>
      </c>
      <c r="O11" s="2">
        <v>8.9772730000000003</v>
      </c>
      <c r="P11" s="2">
        <v>3.3113830000000002</v>
      </c>
      <c r="Q11" s="2">
        <v>2.9629629999999998</v>
      </c>
      <c r="R11" s="2">
        <v>3.2532350000000001</v>
      </c>
      <c r="S11" s="2">
        <v>3.2255210000000001</v>
      </c>
      <c r="T11" s="2">
        <v>0.5658183</v>
      </c>
      <c r="U11" s="2">
        <v>0.77891960000000005</v>
      </c>
      <c r="V11" s="2">
        <v>0.70885149999999997</v>
      </c>
      <c r="W11" s="2">
        <v>0.48794419999999999</v>
      </c>
      <c r="X11" s="2">
        <v>0.78142370000000005</v>
      </c>
      <c r="Y11" s="2">
        <v>0.64884790000000003</v>
      </c>
      <c r="Z11" s="2">
        <v>0.56637749999999998</v>
      </c>
      <c r="AA11" s="2">
        <v>0.4977376</v>
      </c>
      <c r="AB11" s="2">
        <v>2.753085</v>
      </c>
      <c r="AC11" s="2">
        <v>2.2205010000000001</v>
      </c>
      <c r="AD11" s="2">
        <v>2.4757159999999998</v>
      </c>
      <c r="AE11" s="2">
        <v>2.4327070000000002</v>
      </c>
      <c r="AF11" s="2">
        <v>51.134979999999999</v>
      </c>
      <c r="AG11" s="2">
        <v>50.611069999999998</v>
      </c>
      <c r="AH11" s="2">
        <v>73.660690000000002</v>
      </c>
      <c r="AI11" s="2">
        <v>22.45327</v>
      </c>
      <c r="AJ11" s="2">
        <v>18.449069999999999</v>
      </c>
      <c r="AK11" s="2">
        <v>19.111499999999999</v>
      </c>
      <c r="AL11" s="3" t="e">
        <v>#N/A</v>
      </c>
      <c r="AM11" s="3" t="e">
        <v>#N/A</v>
      </c>
      <c r="AN11" s="2">
        <v>15.740959999999999</v>
      </c>
      <c r="AO11" s="2">
        <v>16.399760000000001</v>
      </c>
      <c r="AP11" s="2">
        <v>14.80965</v>
      </c>
      <c r="AQ11" s="2">
        <v>14.877039999999999</v>
      </c>
      <c r="AR11" s="2">
        <v>-0.90928399999999998</v>
      </c>
      <c r="AS11" s="2">
        <v>-0.99498810000000004</v>
      </c>
      <c r="AT11" s="2">
        <v>-1.2357290000000001</v>
      </c>
      <c r="AU11" s="2">
        <v>-1.392719</v>
      </c>
      <c r="AV11" s="1" t="s">
        <v>6</v>
      </c>
      <c r="AW11" s="3">
        <v>1.211538</v>
      </c>
      <c r="AX11" s="3">
        <v>22.5</v>
      </c>
      <c r="AY11" s="2">
        <v>27.840900000000001</v>
      </c>
      <c r="AZ11" s="2">
        <v>21.898620000000001</v>
      </c>
      <c r="BA11" s="2">
        <v>-3.6</v>
      </c>
      <c r="BB11" s="2">
        <v>28.843340000000001</v>
      </c>
      <c r="BC11" s="2">
        <v>32.689990000000002</v>
      </c>
      <c r="BD11" s="3">
        <v>13.048</v>
      </c>
      <c r="BE11" s="2">
        <v>34.886569999999999</v>
      </c>
      <c r="BF11" s="3">
        <v>19.206</v>
      </c>
      <c r="BG11" s="2">
        <v>-8.3619649999999996</v>
      </c>
      <c r="BH11" s="2">
        <v>24.69144</v>
      </c>
      <c r="BI11" s="2">
        <v>26.978069999999999</v>
      </c>
      <c r="BJ11" s="2">
        <v>28.134910000000001</v>
      </c>
      <c r="BK11" s="2">
        <v>28.320820000000001</v>
      </c>
      <c r="BL11" s="2">
        <v>25</v>
      </c>
      <c r="BM11" s="2">
        <v>24</v>
      </c>
      <c r="BN11" s="4">
        <v>26</v>
      </c>
      <c r="BO11" s="4">
        <v>1</v>
      </c>
      <c r="BP11" s="4">
        <v>1</v>
      </c>
      <c r="BQ11" s="4">
        <v>25</v>
      </c>
      <c r="BR11" s="2">
        <v>3.7037040000000001</v>
      </c>
      <c r="BS11" s="4">
        <v>22</v>
      </c>
      <c r="BT11" s="4">
        <v>0</v>
      </c>
      <c r="BU11" s="4">
        <v>26</v>
      </c>
      <c r="BV11" s="2">
        <v>84.615390000000005</v>
      </c>
      <c r="BW11" s="2">
        <v>10.4339</v>
      </c>
      <c r="BX11" s="2">
        <v>3144.3290000000002</v>
      </c>
      <c r="BY11" s="3">
        <v>10.47955</v>
      </c>
      <c r="BZ11" s="3">
        <v>0.33328419999999997</v>
      </c>
      <c r="CA11" s="2">
        <v>1.3010900000000001</v>
      </c>
      <c r="CB11" s="3">
        <v>0.33328419999999997</v>
      </c>
      <c r="CC11" s="3">
        <v>5.4567420000000002</v>
      </c>
      <c r="CD11" s="3">
        <v>5.8253979999999999</v>
      </c>
      <c r="CE11" s="2">
        <v>6.7559719999999999</v>
      </c>
      <c r="CF11" s="3">
        <v>22540.35</v>
      </c>
      <c r="CG11" s="3">
        <v>23882.65</v>
      </c>
      <c r="CH11" s="2">
        <v>5.9551239999999996</v>
      </c>
      <c r="CI11" s="3">
        <v>22.72017</v>
      </c>
      <c r="CJ11" s="2">
        <v>-0.96905229999999998</v>
      </c>
      <c r="CK11" s="3">
        <v>189071.2</v>
      </c>
      <c r="CL11" s="3">
        <v>190234.8</v>
      </c>
      <c r="CM11" s="2">
        <v>0.61546559999999995</v>
      </c>
      <c r="CN11" s="3">
        <v>16.40325</v>
      </c>
      <c r="CO11" s="3">
        <v>17.728940000000001</v>
      </c>
      <c r="CP11" s="3">
        <v>18.08277</v>
      </c>
      <c r="CQ11" s="2">
        <v>7.2957989999999997</v>
      </c>
      <c r="CR11" s="2">
        <v>-0.72726610000000003</v>
      </c>
      <c r="CS11" s="2">
        <v>-2.669781</v>
      </c>
      <c r="CT11" s="2">
        <v>8.0818410000000007</v>
      </c>
      <c r="CU11" s="2">
        <v>181.47380000000001</v>
      </c>
      <c r="CV11" s="3">
        <v>0.3279242</v>
      </c>
      <c r="CW11" s="2" t="e">
        <v>#N/A</v>
      </c>
      <c r="CX11" s="2">
        <v>4.783811</v>
      </c>
      <c r="CY11" s="2" t="e">
        <v>#N/A</v>
      </c>
      <c r="CZ11" s="2">
        <v>17.404039999999998</v>
      </c>
    </row>
    <row r="12" spans="1:104" ht="15" customHeight="1" x14ac:dyDescent="0.2">
      <c r="A12" s="1">
        <f t="shared" si="0"/>
        <v>6</v>
      </c>
      <c r="B12" s="1" t="s">
        <v>23</v>
      </c>
      <c r="C12" s="1" t="s">
        <v>22</v>
      </c>
      <c r="D12" s="1" t="s">
        <v>24</v>
      </c>
      <c r="E12" s="1" t="s">
        <v>4</v>
      </c>
      <c r="F12" s="1" t="s">
        <v>5</v>
      </c>
      <c r="G12" s="2">
        <v>43535.49</v>
      </c>
      <c r="H12" s="2">
        <v>96.900300000000001</v>
      </c>
      <c r="I12" s="2">
        <v>42186.02</v>
      </c>
      <c r="J12" s="3">
        <v>12.028</v>
      </c>
      <c r="K12" s="3">
        <v>0</v>
      </c>
      <c r="L12" s="2">
        <v>6.572165</v>
      </c>
      <c r="M12" s="2">
        <v>8.4226050000000008</v>
      </c>
      <c r="N12" s="2">
        <v>8.3139339999999997</v>
      </c>
      <c r="O12" s="2">
        <v>9.4778850000000006</v>
      </c>
      <c r="P12" s="2">
        <v>12.27347</v>
      </c>
      <c r="Q12" s="2">
        <v>6.0140000000000002</v>
      </c>
      <c r="R12" s="2">
        <v>6.1261830000000002</v>
      </c>
      <c r="S12" s="2">
        <v>5.4339199999999996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>
        <v>0.87222619999999995</v>
      </c>
      <c r="Y12" s="2">
        <v>0.81325219999999998</v>
      </c>
      <c r="Z12" s="2">
        <v>0.76174799999999998</v>
      </c>
      <c r="AA12" s="2">
        <v>0.70689860000000004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3">
        <v>0.20015240000000001</v>
      </c>
      <c r="AM12" s="3">
        <v>0.20184830000000001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1" t="s">
        <v>6</v>
      </c>
      <c r="AW12" s="3">
        <v>1.36</v>
      </c>
      <c r="AX12" s="3">
        <v>16.399999999999999</v>
      </c>
      <c r="AY12" s="2">
        <v>36.348520000000001</v>
      </c>
      <c r="AZ12" s="2">
        <v>13.522650000000001</v>
      </c>
      <c r="BA12" s="2">
        <v>30.6356</v>
      </c>
      <c r="BB12" s="2">
        <v>20.835840000000001</v>
      </c>
      <c r="BC12" s="2">
        <v>5.6199430000000001</v>
      </c>
      <c r="BD12" s="3">
        <v>9.59</v>
      </c>
      <c r="BE12" s="2">
        <v>25.42231</v>
      </c>
      <c r="BF12" s="3">
        <v>13.571999999999999</v>
      </c>
      <c r="BG12" s="2">
        <v>-11.37637</v>
      </c>
      <c r="BH12" s="2">
        <v>75.727040000000002</v>
      </c>
      <c r="BI12" s="2">
        <v>51.76735</v>
      </c>
      <c r="BJ12" s="2">
        <v>52.379449999999999</v>
      </c>
      <c r="BK12" s="2">
        <v>52.518320000000003</v>
      </c>
      <c r="BL12" s="2">
        <v>23</v>
      </c>
      <c r="BM12" s="2">
        <v>13</v>
      </c>
      <c r="BN12" s="4">
        <v>25</v>
      </c>
      <c r="BO12" s="4">
        <v>0</v>
      </c>
      <c r="BP12" s="4">
        <v>0</v>
      </c>
      <c r="BQ12" s="4">
        <v>25</v>
      </c>
      <c r="BR12" s="2">
        <v>0</v>
      </c>
      <c r="BS12" s="4">
        <v>17</v>
      </c>
      <c r="BT12" s="4">
        <v>1</v>
      </c>
      <c r="BU12" s="4">
        <v>25</v>
      </c>
      <c r="BV12" s="2">
        <v>68</v>
      </c>
      <c r="BW12" s="2">
        <v>11.3131</v>
      </c>
      <c r="BX12" s="2">
        <v>3619.5120000000002</v>
      </c>
      <c r="BY12" s="3">
        <v>12.98432</v>
      </c>
      <c r="BZ12" s="3">
        <v>0.35873110000000002</v>
      </c>
      <c r="CA12" s="2">
        <v>1.42597</v>
      </c>
      <c r="CB12" s="3">
        <v>0.35873110000000002</v>
      </c>
      <c r="CC12" s="3">
        <v>1.760982</v>
      </c>
      <c r="CD12" s="3">
        <v>1.961581</v>
      </c>
      <c r="CE12" s="2">
        <v>11.39127</v>
      </c>
      <c r="CF12" s="3">
        <v>10317.31</v>
      </c>
      <c r="CG12" s="3">
        <v>11131.51</v>
      </c>
      <c r="CH12" s="2">
        <v>7.8916430000000002</v>
      </c>
      <c r="CI12" s="3">
        <v>15.75656</v>
      </c>
      <c r="CJ12" s="2">
        <v>4.0836100000000002</v>
      </c>
      <c r="CK12" s="3">
        <v>21786.34</v>
      </c>
      <c r="CL12" s="3">
        <v>22379.72</v>
      </c>
      <c r="CM12" s="2">
        <v>2.7236220000000002</v>
      </c>
      <c r="CN12" s="3">
        <v>12.360440000000001</v>
      </c>
      <c r="CO12" s="3">
        <v>12.677060000000001</v>
      </c>
      <c r="CP12" s="3">
        <v>12.385149999999999</v>
      </c>
      <c r="CQ12" s="2">
        <v>-2.6895280000000001</v>
      </c>
      <c r="CR12" s="2">
        <v>-5.1199440000000003</v>
      </c>
      <c r="CS12" s="2">
        <v>-2.8837199999999998</v>
      </c>
      <c r="CT12" s="2">
        <v>2.561569</v>
      </c>
      <c r="CU12" s="2">
        <v>143.1454</v>
      </c>
      <c r="CV12" s="3">
        <v>0.32880160000000003</v>
      </c>
      <c r="CW12" s="2">
        <v>26.836200000000002</v>
      </c>
      <c r="CX12" s="2">
        <v>3.9575300000000002</v>
      </c>
      <c r="CY12" s="2">
        <v>10.428000000000001</v>
      </c>
      <c r="CZ12" s="2">
        <v>18.343440000000001</v>
      </c>
    </row>
    <row r="13" spans="1:104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3</v>
      </c>
      <c r="E13" s="1" t="s">
        <v>27</v>
      </c>
      <c r="F13" s="1" t="s">
        <v>28</v>
      </c>
      <c r="G13" s="2">
        <v>60878.080000000002</v>
      </c>
      <c r="H13" s="2">
        <v>75.152699999999996</v>
      </c>
      <c r="I13" s="2">
        <v>45751.519999999997</v>
      </c>
      <c r="J13" s="3">
        <v>5.9880000000000004</v>
      </c>
      <c r="K13" s="3">
        <v>0</v>
      </c>
      <c r="L13" s="2">
        <v>6.6800269999999999</v>
      </c>
      <c r="M13" s="2">
        <v>7.1810289999999997</v>
      </c>
      <c r="N13" s="2">
        <v>7.1810289999999997</v>
      </c>
      <c r="O13" s="2">
        <v>7.2645289999999996</v>
      </c>
      <c r="P13" s="2">
        <v>11.298109999999999</v>
      </c>
      <c r="Q13" s="2">
        <v>9.7286760000000001</v>
      </c>
      <c r="R13" s="2">
        <v>9.0316740000000006</v>
      </c>
      <c r="S13" s="2">
        <v>8.6782609999999991</v>
      </c>
      <c r="T13" s="2">
        <v>5.6498710000000001</v>
      </c>
      <c r="U13" s="2">
        <v>5.5218850000000002</v>
      </c>
      <c r="V13" s="2">
        <v>5.4300829999999998</v>
      </c>
      <c r="W13" s="2">
        <v>5.1631179999999999</v>
      </c>
      <c r="X13" s="2">
        <v>2.1234039999999998</v>
      </c>
      <c r="Y13" s="2">
        <v>1.996</v>
      </c>
      <c r="Z13" s="2">
        <v>1.845016</v>
      </c>
      <c r="AA13" s="2">
        <v>1.7108570000000001</v>
      </c>
      <c r="AB13" s="2">
        <v>5.3945949999999998</v>
      </c>
      <c r="AC13" s="2">
        <v>3.8336399999999999</v>
      </c>
      <c r="AD13" s="2">
        <v>3.773638</v>
      </c>
      <c r="AE13" s="2">
        <v>3.8011819999999998</v>
      </c>
      <c r="AF13" s="2">
        <v>2.6395390000000001</v>
      </c>
      <c r="AG13" s="2">
        <v>3.9127930000000002</v>
      </c>
      <c r="AH13" s="2">
        <v>3.3319380000000001</v>
      </c>
      <c r="AI13" s="2">
        <v>4.9978230000000003</v>
      </c>
      <c r="AJ13" s="2">
        <v>7.5231659999999998</v>
      </c>
      <c r="AK13" s="2">
        <v>6.3504800000000001</v>
      </c>
      <c r="AL13" s="3">
        <v>1.0154730000000001</v>
      </c>
      <c r="AM13" s="3">
        <v>0.94757570000000002</v>
      </c>
      <c r="AN13" s="2">
        <v>14.00756</v>
      </c>
      <c r="AO13" s="2">
        <v>19.748449999999998</v>
      </c>
      <c r="AP13" s="2">
        <v>21.248539999999998</v>
      </c>
      <c r="AQ13" s="2">
        <v>23.785710000000002</v>
      </c>
      <c r="AR13" s="2">
        <v>3.0517699999999999</v>
      </c>
      <c r="AS13" s="2">
        <v>2.6055700000000002</v>
      </c>
      <c r="AT13" s="2">
        <v>2.6059009999999998</v>
      </c>
      <c r="AU13" s="2">
        <v>2.4541590000000002</v>
      </c>
      <c r="AV13" s="1" t="s">
        <v>6</v>
      </c>
      <c r="AW13" s="3">
        <v>1.25</v>
      </c>
      <c r="AX13" s="3">
        <v>7.2</v>
      </c>
      <c r="AY13" s="2">
        <v>20.240469999999998</v>
      </c>
      <c r="AZ13" s="2">
        <v>20.516660000000002</v>
      </c>
      <c r="BA13" s="2">
        <v>9.6170869999999997</v>
      </c>
      <c r="BB13" s="2">
        <v>32.507190000000001</v>
      </c>
      <c r="BC13" s="2">
        <v>19.045719999999999</v>
      </c>
      <c r="BD13" s="3">
        <v>4.4135</v>
      </c>
      <c r="BE13" s="2">
        <v>35.674639999999997</v>
      </c>
      <c r="BF13" s="3">
        <v>6.38</v>
      </c>
      <c r="BG13" s="2">
        <v>-6.1442019999999999</v>
      </c>
      <c r="BH13" s="2">
        <v>75.461839999999995</v>
      </c>
      <c r="BI13" s="2">
        <v>69.779709999999994</v>
      </c>
      <c r="BJ13" s="2">
        <v>65.803039999999996</v>
      </c>
      <c r="BK13" s="2">
        <v>64.940799999999996</v>
      </c>
      <c r="BL13" s="2">
        <v>16</v>
      </c>
      <c r="BM13" s="2">
        <v>14</v>
      </c>
      <c r="BN13" s="4">
        <v>20</v>
      </c>
      <c r="BO13" s="4">
        <v>0</v>
      </c>
      <c r="BP13" s="4">
        <v>0</v>
      </c>
      <c r="BQ13" s="4">
        <v>20</v>
      </c>
      <c r="BR13" s="2">
        <v>0</v>
      </c>
      <c r="BS13" s="4">
        <v>18</v>
      </c>
      <c r="BT13" s="4">
        <v>1</v>
      </c>
      <c r="BU13" s="4">
        <v>20</v>
      </c>
      <c r="BV13" s="2">
        <v>90</v>
      </c>
      <c r="BW13" s="2">
        <v>7.5474199999999998</v>
      </c>
      <c r="BX13" s="2">
        <v>10166.68</v>
      </c>
      <c r="BY13" s="3">
        <v>24.840039999999998</v>
      </c>
      <c r="BZ13" s="3">
        <v>0.24432799999999999</v>
      </c>
      <c r="CA13" s="2">
        <v>0.912165</v>
      </c>
      <c r="CB13" s="3">
        <v>0.24432799999999999</v>
      </c>
      <c r="CC13" s="3">
        <v>0.60687259999999998</v>
      </c>
      <c r="CD13" s="3">
        <v>0.61315410000000004</v>
      </c>
      <c r="CE13" s="2">
        <v>1.0350699999999999</v>
      </c>
      <c r="CF13" s="3">
        <v>13105.13</v>
      </c>
      <c r="CG13" s="3">
        <v>13132.12</v>
      </c>
      <c r="CH13" s="2">
        <v>0.20591019999999999</v>
      </c>
      <c r="CI13" s="3">
        <v>7.5118960000000001</v>
      </c>
      <c r="CJ13" s="2">
        <v>-4.1520239999999999</v>
      </c>
      <c r="CK13" s="3">
        <v>107958.1</v>
      </c>
      <c r="CL13" s="3">
        <v>111047</v>
      </c>
      <c r="CM13" s="2">
        <v>2.861154</v>
      </c>
      <c r="CN13" s="3">
        <v>5.854279</v>
      </c>
      <c r="CO13" s="3">
        <v>5.9392750000000003</v>
      </c>
      <c r="CP13" s="3">
        <v>5.7311540000000001</v>
      </c>
      <c r="CQ13" s="2">
        <v>2.2841689999999999</v>
      </c>
      <c r="CR13" s="2">
        <v>0.82037450000000001</v>
      </c>
      <c r="CS13" s="2">
        <v>4.4815659999999999</v>
      </c>
      <c r="CT13" s="2">
        <v>1.4518740000000001</v>
      </c>
      <c r="CU13" s="2">
        <v>135.4357</v>
      </c>
      <c r="CV13" s="3">
        <v>0.22247049999999999</v>
      </c>
      <c r="CW13" s="2">
        <v>33.816490000000002</v>
      </c>
      <c r="CX13" s="2">
        <v>25.48546</v>
      </c>
      <c r="CY13" s="2">
        <v>10.304080000000001</v>
      </c>
      <c r="CZ13" s="2">
        <v>19.121210000000001</v>
      </c>
    </row>
    <row r="14" spans="1:104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31</v>
      </c>
      <c r="E14" s="1" t="s">
        <v>32</v>
      </c>
      <c r="F14" s="1" t="s">
        <v>33</v>
      </c>
      <c r="G14" s="2">
        <v>93165.88</v>
      </c>
      <c r="H14" s="2">
        <v>48.318199999999997</v>
      </c>
      <c r="I14" s="2">
        <v>45016.07</v>
      </c>
      <c r="J14" s="3">
        <v>53.63</v>
      </c>
      <c r="K14" s="3">
        <v>0</v>
      </c>
      <c r="L14" s="2">
        <v>1.388301</v>
      </c>
      <c r="M14" s="2">
        <v>1.847869</v>
      </c>
      <c r="N14" s="2">
        <v>2.3197589999999999</v>
      </c>
      <c r="O14" s="2">
        <v>2.7872400000000002</v>
      </c>
      <c r="P14" s="2">
        <v>17.727129999999999</v>
      </c>
      <c r="Q14" s="2">
        <v>19.086500000000001</v>
      </c>
      <c r="R14" s="2">
        <v>16.034749999999999</v>
      </c>
      <c r="S14" s="2">
        <v>13.99677</v>
      </c>
      <c r="T14" s="2">
        <v>9.594163</v>
      </c>
      <c r="U14" s="2">
        <v>8.8220419999999997</v>
      </c>
      <c r="V14" s="2">
        <v>7.973687</v>
      </c>
      <c r="W14" s="2">
        <v>7.1620600000000003</v>
      </c>
      <c r="X14" s="2">
        <v>1.560727</v>
      </c>
      <c r="Y14" s="2">
        <v>1.472005</v>
      </c>
      <c r="Z14" s="2">
        <v>1.3962289999999999</v>
      </c>
      <c r="AA14" s="2">
        <v>1.3315539999999999</v>
      </c>
      <c r="AB14" s="2">
        <v>8.7722529999999992</v>
      </c>
      <c r="AC14" s="2">
        <v>10.12163</v>
      </c>
      <c r="AD14" s="2">
        <v>9.3411829999999991</v>
      </c>
      <c r="AE14" s="2">
        <v>8.2101760000000006</v>
      </c>
      <c r="AF14" s="2">
        <v>5.5724169999999997</v>
      </c>
      <c r="AG14" s="2">
        <v>6.3378249999999996</v>
      </c>
      <c r="AH14" s="2">
        <v>7.2156370000000001</v>
      </c>
      <c r="AI14" s="2">
        <v>9.2543199999999999</v>
      </c>
      <c r="AJ14" s="2">
        <v>10.14812</v>
      </c>
      <c r="AK14" s="2">
        <v>11.09825</v>
      </c>
      <c r="AL14" s="3">
        <v>1.723886</v>
      </c>
      <c r="AM14" s="3">
        <v>1.462067</v>
      </c>
      <c r="AN14" s="2">
        <v>34.338769999999997</v>
      </c>
      <c r="AO14" s="2">
        <v>33.46828</v>
      </c>
      <c r="AP14" s="2">
        <v>34.285490000000003</v>
      </c>
      <c r="AQ14" s="2">
        <v>35.25376</v>
      </c>
      <c r="AR14" s="2">
        <v>3.5185</v>
      </c>
      <c r="AS14" s="2">
        <v>3.1973419999999999</v>
      </c>
      <c r="AT14" s="2">
        <v>2.7182439999999999</v>
      </c>
      <c r="AU14" s="2">
        <v>2.2663470000000001</v>
      </c>
      <c r="AV14" s="1" t="s">
        <v>6</v>
      </c>
      <c r="AW14" s="3">
        <v>1.4</v>
      </c>
      <c r="AX14" s="3">
        <v>64.423680000000004</v>
      </c>
      <c r="AY14" s="2">
        <v>20.126190000000001</v>
      </c>
      <c r="AZ14" s="2">
        <v>7.7122830000000002</v>
      </c>
      <c r="BA14" s="2">
        <v>11.028460000000001</v>
      </c>
      <c r="BB14" s="2">
        <v>5.9881450000000003</v>
      </c>
      <c r="BC14" s="2">
        <v>-4.6916669999999998</v>
      </c>
      <c r="BD14" s="3">
        <v>49.164999999999999</v>
      </c>
      <c r="BE14" s="2">
        <v>9.0816610000000004</v>
      </c>
      <c r="BF14" s="3">
        <v>62.01</v>
      </c>
      <c r="BG14" s="2">
        <v>-13.513949999999999</v>
      </c>
      <c r="BH14" s="2">
        <v>24.31513</v>
      </c>
      <c r="BI14" s="2">
        <v>34.133319999999998</v>
      </c>
      <c r="BJ14" s="2">
        <v>37.376449999999998</v>
      </c>
      <c r="BK14" s="2">
        <v>42.43929</v>
      </c>
      <c r="BL14" s="2">
        <v>27</v>
      </c>
      <c r="BM14" s="2">
        <v>24</v>
      </c>
      <c r="BN14" s="4">
        <v>30</v>
      </c>
      <c r="BO14" s="4">
        <v>3</v>
      </c>
      <c r="BP14" s="4">
        <v>0</v>
      </c>
      <c r="BQ14" s="4">
        <v>29</v>
      </c>
      <c r="BR14" s="2">
        <v>9.375</v>
      </c>
      <c r="BS14" s="4">
        <v>21</v>
      </c>
      <c r="BT14" s="4">
        <v>2</v>
      </c>
      <c r="BU14" s="4">
        <v>30</v>
      </c>
      <c r="BV14" s="2">
        <v>70</v>
      </c>
      <c r="BW14" s="2">
        <v>7.7804500000000001</v>
      </c>
      <c r="BX14" s="2">
        <v>1737.1969999999999</v>
      </c>
      <c r="BY14" s="3">
        <v>1.3794960000000001</v>
      </c>
      <c r="BZ14" s="3">
        <v>7.9409270000000004E-2</v>
      </c>
      <c r="CA14" s="2">
        <v>0.97065299999999999</v>
      </c>
      <c r="CB14" s="3">
        <v>7.9409270000000004E-2</v>
      </c>
      <c r="CC14" s="3">
        <v>2.744996</v>
      </c>
      <c r="CD14" s="3">
        <v>2.8208790000000001</v>
      </c>
      <c r="CE14" s="2">
        <v>2.7644039999999999</v>
      </c>
      <c r="CF14" s="3">
        <v>13754.4</v>
      </c>
      <c r="CG14" s="3">
        <v>14284.59</v>
      </c>
      <c r="CH14" s="2">
        <v>3.8547039999999999</v>
      </c>
      <c r="CI14" s="3">
        <v>61.965389999999999</v>
      </c>
      <c r="CJ14" s="2">
        <v>3.9672019999999999</v>
      </c>
      <c r="CK14" s="3">
        <v>55842.82</v>
      </c>
      <c r="CL14" s="3">
        <v>57623.82</v>
      </c>
      <c r="CM14" s="2">
        <v>3.1893250000000002</v>
      </c>
      <c r="CN14" s="3">
        <v>54.101410000000001</v>
      </c>
      <c r="CO14" s="3">
        <v>51.696759999999998</v>
      </c>
      <c r="CP14" s="3">
        <v>50.820959999999999</v>
      </c>
      <c r="CQ14" s="2">
        <v>-0.87133649999999996</v>
      </c>
      <c r="CR14" s="2">
        <v>3.7395719999999999</v>
      </c>
      <c r="CS14" s="2">
        <v>5.5273289999999999</v>
      </c>
      <c r="CT14" s="2">
        <v>-4.4447000000000001</v>
      </c>
      <c r="CU14" s="2">
        <v>63.114829999999998</v>
      </c>
      <c r="CV14" s="3">
        <v>6.7744570000000004E-2</v>
      </c>
      <c r="CW14" s="2">
        <v>3.831156</v>
      </c>
      <c r="CX14" s="2">
        <v>-1.00152</v>
      </c>
      <c r="CY14" s="2">
        <v>-0.9789485</v>
      </c>
      <c r="CZ14" s="2">
        <v>19.616160000000001</v>
      </c>
    </row>
    <row r="15" spans="1:104" ht="15" customHeight="1" x14ac:dyDescent="0.2">
      <c r="A15" s="1">
        <f t="shared" si="0"/>
        <v>9</v>
      </c>
      <c r="B15" s="1" t="s">
        <v>35</v>
      </c>
      <c r="C15" s="1" t="s">
        <v>34</v>
      </c>
      <c r="D15" s="1" t="s">
        <v>3</v>
      </c>
      <c r="E15" s="1" t="s">
        <v>15</v>
      </c>
      <c r="F15" s="1" t="s">
        <v>36</v>
      </c>
      <c r="G15" s="2">
        <v>52083.97</v>
      </c>
      <c r="H15" s="2">
        <v>61.026800000000001</v>
      </c>
      <c r="I15" s="2">
        <v>31785.18</v>
      </c>
      <c r="J15" s="3">
        <v>15.428000000000001</v>
      </c>
      <c r="K15" s="3">
        <v>0</v>
      </c>
      <c r="L15" s="2">
        <v>5.7039150000000003</v>
      </c>
      <c r="M15" s="2">
        <v>6.0928180000000003</v>
      </c>
      <c r="N15" s="2">
        <v>6.2224519999999997</v>
      </c>
      <c r="O15" s="2">
        <v>6.352087</v>
      </c>
      <c r="P15" s="2">
        <v>4.0814810000000001</v>
      </c>
      <c r="Q15" s="2">
        <v>6.1222219999999998</v>
      </c>
      <c r="R15" s="2">
        <v>6.5695220000000001</v>
      </c>
      <c r="S15" s="2">
        <v>6.5271929999999996</v>
      </c>
      <c r="T15" s="2">
        <v>2.1533120000000001</v>
      </c>
      <c r="U15" s="2">
        <v>3.002856</v>
      </c>
      <c r="V15" s="2">
        <v>3.114843</v>
      </c>
      <c r="W15" s="2">
        <v>3.167519</v>
      </c>
      <c r="X15" s="2">
        <v>0.98392860000000004</v>
      </c>
      <c r="Y15" s="2">
        <v>0.90298880000000004</v>
      </c>
      <c r="Z15" s="2">
        <v>0.83939070000000005</v>
      </c>
      <c r="AA15" s="2">
        <v>0.78739720000000002</v>
      </c>
      <c r="AB15" s="2">
        <v>3.0227550000000001</v>
      </c>
      <c r="AC15" s="2">
        <v>3.2985350000000002</v>
      </c>
      <c r="AD15" s="2">
        <v>3.148571</v>
      </c>
      <c r="AE15" s="2">
        <v>3.0226570000000001</v>
      </c>
      <c r="AF15" s="2">
        <v>9.0148119999999992</v>
      </c>
      <c r="AG15" s="2">
        <v>7.9356369999999998</v>
      </c>
      <c r="AH15" s="2">
        <v>9.5498630000000002</v>
      </c>
      <c r="AI15" s="2">
        <v>11.275639999999999</v>
      </c>
      <c r="AJ15" s="2">
        <v>10.041740000000001</v>
      </c>
      <c r="AK15" s="2">
        <v>11.99127</v>
      </c>
      <c r="AL15" s="3" t="e">
        <v>#N/A</v>
      </c>
      <c r="AM15" s="3" t="e">
        <v>#N/A</v>
      </c>
      <c r="AN15" s="2">
        <v>20.868590000000001</v>
      </c>
      <c r="AO15" s="2">
        <v>22.128499999999999</v>
      </c>
      <c r="AP15" s="2">
        <v>21.52074</v>
      </c>
      <c r="AQ15" s="2">
        <v>21.16048</v>
      </c>
      <c r="AR15" s="2">
        <v>0.43383100000000002</v>
      </c>
      <c r="AS15" s="2">
        <v>0.60209020000000002</v>
      </c>
      <c r="AT15" s="2">
        <v>0.65329179999999998</v>
      </c>
      <c r="AU15" s="2">
        <v>0.64490329999999996</v>
      </c>
      <c r="AV15" s="1" t="s">
        <v>37</v>
      </c>
      <c r="AW15" s="3">
        <v>1.462963</v>
      </c>
      <c r="AX15" s="3">
        <v>17.5</v>
      </c>
      <c r="AY15" s="2">
        <v>13.430120000000001</v>
      </c>
      <c r="AZ15" s="2">
        <v>14.749359999999999</v>
      </c>
      <c r="BA15" s="2">
        <v>-9.9503000000000004</v>
      </c>
      <c r="BB15" s="2">
        <v>16.4026</v>
      </c>
      <c r="BC15" s="2">
        <v>16.122229999999998</v>
      </c>
      <c r="BD15" s="3">
        <v>11.686</v>
      </c>
      <c r="BE15" s="2">
        <v>32.02122</v>
      </c>
      <c r="BF15" s="3">
        <v>15.83</v>
      </c>
      <c r="BG15" s="2">
        <v>-2.5394800000000002</v>
      </c>
      <c r="BH15" s="2">
        <v>22.940290000000001</v>
      </c>
      <c r="BI15" s="2">
        <v>37.615180000000002</v>
      </c>
      <c r="BJ15" s="2">
        <v>40.418219999999998</v>
      </c>
      <c r="BK15" s="2">
        <v>43.395690000000002</v>
      </c>
      <c r="BL15" s="2">
        <v>26</v>
      </c>
      <c r="BM15" s="2">
        <v>25</v>
      </c>
      <c r="BN15" s="4">
        <v>27</v>
      </c>
      <c r="BO15" s="4">
        <v>1</v>
      </c>
      <c r="BP15" s="4">
        <v>0</v>
      </c>
      <c r="BQ15" s="4">
        <v>25</v>
      </c>
      <c r="BR15" s="2">
        <v>3.8461539999999999</v>
      </c>
      <c r="BS15" s="4">
        <v>16</v>
      </c>
      <c r="BT15" s="4">
        <v>0</v>
      </c>
      <c r="BU15" s="4">
        <v>27</v>
      </c>
      <c r="BV15" s="2">
        <v>59.259259999999998</v>
      </c>
      <c r="BW15" s="2">
        <v>9.8773400000000002</v>
      </c>
      <c r="BX15" s="2">
        <v>3375.9380000000001</v>
      </c>
      <c r="BY15" s="3">
        <v>11.727320000000001</v>
      </c>
      <c r="BZ15" s="3">
        <v>0.34737970000000001</v>
      </c>
      <c r="CA15" s="2">
        <v>1.2567299999999999</v>
      </c>
      <c r="CB15" s="3">
        <v>0.34737970000000001</v>
      </c>
      <c r="CC15" s="3">
        <v>2.474987</v>
      </c>
      <c r="CD15" s="3">
        <v>2.4812180000000001</v>
      </c>
      <c r="CE15" s="2">
        <v>0.25176999999999999</v>
      </c>
      <c r="CF15" s="3">
        <v>13292.57</v>
      </c>
      <c r="CG15" s="3">
        <v>13850.78</v>
      </c>
      <c r="CH15" s="2">
        <v>4.1994569999999998</v>
      </c>
      <c r="CI15" s="3">
        <v>16.188400000000001</v>
      </c>
      <c r="CJ15" s="2">
        <v>8.1020950000000003</v>
      </c>
      <c r="CK15" s="3">
        <v>96141.29</v>
      </c>
      <c r="CL15" s="3">
        <v>96216.3</v>
      </c>
      <c r="CM15" s="2">
        <v>7.8022480000000005E-2</v>
      </c>
      <c r="CN15" s="3">
        <v>13.837759999999999</v>
      </c>
      <c r="CO15" s="3">
        <v>15.00051</v>
      </c>
      <c r="CP15" s="3">
        <v>15.230079999999999</v>
      </c>
      <c r="CQ15" s="2">
        <v>11.49203</v>
      </c>
      <c r="CR15" s="2">
        <v>2.8498410000000001</v>
      </c>
      <c r="CS15" s="2">
        <v>1.2995479999999999</v>
      </c>
      <c r="CT15" s="2">
        <v>8.4027290000000008</v>
      </c>
      <c r="CU15" s="2">
        <v>165.0977</v>
      </c>
      <c r="CV15" s="3">
        <v>0.31698369999999998</v>
      </c>
      <c r="CW15" s="2">
        <v>4.1492979999999999</v>
      </c>
      <c r="CX15" s="2">
        <v>-31.49417</v>
      </c>
      <c r="CY15" s="2">
        <v>1.7127760000000001</v>
      </c>
      <c r="CZ15" s="2">
        <v>20.424240000000001</v>
      </c>
    </row>
    <row r="16" spans="1:104" ht="15" customHeight="1" x14ac:dyDescent="0.2">
      <c r="A16" s="1">
        <f t="shared" si="0"/>
        <v>10</v>
      </c>
      <c r="B16" s="1" t="s">
        <v>39</v>
      </c>
      <c r="C16" s="1" t="s">
        <v>38</v>
      </c>
      <c r="D16" s="1" t="s">
        <v>40</v>
      </c>
      <c r="E16" s="1" t="s">
        <v>4</v>
      </c>
      <c r="F16" s="1" t="s">
        <v>41</v>
      </c>
      <c r="G16" s="2">
        <v>51653.19</v>
      </c>
      <c r="H16" s="2">
        <v>100</v>
      </c>
      <c r="I16" s="2">
        <v>51653.19</v>
      </c>
      <c r="J16" s="3">
        <v>378.5</v>
      </c>
      <c r="K16" s="3">
        <v>0</v>
      </c>
      <c r="L16" s="2">
        <v>3.0647289999999998</v>
      </c>
      <c r="M16" s="2">
        <v>3.2760899999999999</v>
      </c>
      <c r="N16" s="2">
        <v>3.4874499999999999</v>
      </c>
      <c r="O16" s="2">
        <v>3.7146629999999998</v>
      </c>
      <c r="P16" s="2">
        <v>15.36744</v>
      </c>
      <c r="Q16" s="2">
        <v>11.480270000000001</v>
      </c>
      <c r="R16" s="2">
        <v>10.13269</v>
      </c>
      <c r="S16" s="2">
        <v>9.5604949999999995</v>
      </c>
      <c r="T16" s="2">
        <v>9.4313540000000007</v>
      </c>
      <c r="U16" s="2">
        <v>9.1760429999999999</v>
      </c>
      <c r="V16" s="2">
        <v>8.8687579999999997</v>
      </c>
      <c r="W16" s="2">
        <v>7.2493670000000003</v>
      </c>
      <c r="X16" s="2">
        <v>2.5033069999999999</v>
      </c>
      <c r="Y16" s="2">
        <v>1.7664629999999999</v>
      </c>
      <c r="Z16" s="2">
        <v>1.6085849999999999</v>
      </c>
      <c r="AA16" s="2">
        <v>1.469903</v>
      </c>
      <c r="AB16" s="2" t="e">
        <v>#N/A</v>
      </c>
      <c r="AC16" s="2" t="e">
        <v>#N/A</v>
      </c>
      <c r="AD16" s="2" t="e">
        <v>#N/A</v>
      </c>
      <c r="AE16" s="2" t="e">
        <v>#N/A</v>
      </c>
      <c r="AF16" s="2">
        <v>4.4800839999999997</v>
      </c>
      <c r="AG16" s="2">
        <v>3.4181789999999999</v>
      </c>
      <c r="AH16" s="2">
        <v>4.9640849999999999</v>
      </c>
      <c r="AI16" s="2">
        <v>5.1902600000000003</v>
      </c>
      <c r="AJ16" s="2">
        <v>3.9600240000000002</v>
      </c>
      <c r="AK16" s="2">
        <v>5.05</v>
      </c>
      <c r="AL16" s="3">
        <v>0.97198859999999998</v>
      </c>
      <c r="AM16" s="3">
        <v>0.86771560000000003</v>
      </c>
      <c r="AN16" s="2">
        <v>7.1489859999999998</v>
      </c>
      <c r="AO16" s="2">
        <v>9.3541910000000001</v>
      </c>
      <c r="AP16" s="2">
        <v>9.5068850000000005</v>
      </c>
      <c r="AQ16" s="2">
        <v>10.03485</v>
      </c>
      <c r="AR16" s="2">
        <v>0.55718210000000001</v>
      </c>
      <c r="AS16" s="2">
        <v>1.2555449999999999</v>
      </c>
      <c r="AT16" s="2">
        <v>1.2134990000000001</v>
      </c>
      <c r="AU16" s="2">
        <v>0.1233317</v>
      </c>
      <c r="AV16" s="1" t="s">
        <v>6</v>
      </c>
      <c r="AW16" s="3">
        <v>1.4761899999999999</v>
      </c>
      <c r="AX16" s="3">
        <v>399</v>
      </c>
      <c r="AY16" s="2">
        <v>5.4161190000000001</v>
      </c>
      <c r="AZ16" s="2">
        <v>15.386950000000001</v>
      </c>
      <c r="BA16" s="2">
        <v>8</v>
      </c>
      <c r="BB16" s="2">
        <v>41.54824</v>
      </c>
      <c r="BC16" s="2">
        <v>24.50658</v>
      </c>
      <c r="BD16" s="3">
        <v>267.2</v>
      </c>
      <c r="BE16" s="2">
        <v>41.654179999999997</v>
      </c>
      <c r="BF16" s="3">
        <v>384</v>
      </c>
      <c r="BG16" s="2">
        <v>-1.432294</v>
      </c>
      <c r="BH16" s="2">
        <v>47.236240000000002</v>
      </c>
      <c r="BI16" s="2">
        <v>37.818489999999997</v>
      </c>
      <c r="BJ16" s="2">
        <v>36.090699999999998</v>
      </c>
      <c r="BK16" s="2">
        <v>35.897129999999997</v>
      </c>
      <c r="BL16" s="2">
        <v>19</v>
      </c>
      <c r="BM16" s="2">
        <v>9</v>
      </c>
      <c r="BN16" s="4">
        <v>21</v>
      </c>
      <c r="BO16" s="4">
        <v>0</v>
      </c>
      <c r="BP16" s="4">
        <v>1</v>
      </c>
      <c r="BQ16" s="4">
        <v>20</v>
      </c>
      <c r="BR16" s="2">
        <v>0</v>
      </c>
      <c r="BS16" s="4">
        <v>13</v>
      </c>
      <c r="BT16" s="4">
        <v>1</v>
      </c>
      <c r="BU16" s="4">
        <v>21</v>
      </c>
      <c r="BV16" s="2">
        <v>61.904760000000003</v>
      </c>
      <c r="BW16" s="2">
        <v>6.70763</v>
      </c>
      <c r="BX16" s="2">
        <v>136.46809999999999</v>
      </c>
      <c r="BY16" s="3">
        <v>0.30213909999999999</v>
      </c>
      <c r="BZ16" s="3">
        <v>0.22139900000000001</v>
      </c>
      <c r="CA16" s="2">
        <v>0.77093199999999995</v>
      </c>
      <c r="CB16" s="3">
        <v>0.22139900000000001</v>
      </c>
      <c r="CC16" s="3">
        <v>32.288249999999998</v>
      </c>
      <c r="CD16" s="3">
        <v>32.984380000000002</v>
      </c>
      <c r="CE16" s="2">
        <v>2.1560069999999998</v>
      </c>
      <c r="CF16" s="3">
        <v>5922.2349999999997</v>
      </c>
      <c r="CG16" s="3">
        <v>6098.277</v>
      </c>
      <c r="CH16" s="2">
        <v>2.9725549999999998</v>
      </c>
      <c r="CI16" s="3">
        <v>361.73329999999999</v>
      </c>
      <c r="CJ16" s="2">
        <v>10.302250000000001</v>
      </c>
      <c r="CK16" s="3">
        <v>66811.17</v>
      </c>
      <c r="CL16" s="3">
        <v>65487.89</v>
      </c>
      <c r="CM16" s="2">
        <v>-1.980621</v>
      </c>
      <c r="CN16" s="3">
        <v>341.33390000000003</v>
      </c>
      <c r="CO16" s="3">
        <v>370.09410000000003</v>
      </c>
      <c r="CP16" s="3">
        <v>374.98840000000001</v>
      </c>
      <c r="CQ16" s="2">
        <v>10.888479999999999</v>
      </c>
      <c r="CR16" s="2">
        <v>2.2712949999999998</v>
      </c>
      <c r="CS16" s="2">
        <v>0.93644859999999996</v>
      </c>
      <c r="CT16" s="2">
        <v>8.425808</v>
      </c>
      <c r="CU16" s="2">
        <v>96.697620000000001</v>
      </c>
      <c r="CV16" s="3">
        <v>0.1872055</v>
      </c>
      <c r="CW16" s="2">
        <v>-11.67155</v>
      </c>
      <c r="CX16" s="2" t="e">
        <v>#N/A</v>
      </c>
      <c r="CY16" s="2">
        <v>-12.610150000000001</v>
      </c>
      <c r="CZ16" s="2">
        <v>20.484850000000002</v>
      </c>
    </row>
    <row r="17" spans="1:104" ht="15" customHeight="1" x14ac:dyDescent="0.2">
      <c r="A17" s="1">
        <f t="shared" si="0"/>
        <v>11</v>
      </c>
      <c r="B17" s="1" t="s">
        <v>43</v>
      </c>
      <c r="C17" s="1" t="s">
        <v>42</v>
      </c>
      <c r="D17" s="1" t="s">
        <v>14</v>
      </c>
      <c r="E17" s="1" t="s">
        <v>44</v>
      </c>
      <c r="F17" s="1" t="s">
        <v>45</v>
      </c>
      <c r="G17" s="2">
        <v>62815.85</v>
      </c>
      <c r="H17" s="2">
        <v>81.832700000000003</v>
      </c>
      <c r="I17" s="2">
        <v>51403.91</v>
      </c>
      <c r="J17" s="3">
        <v>147.02000000000001</v>
      </c>
      <c r="K17" s="3">
        <v>0</v>
      </c>
      <c r="L17" s="2">
        <v>0.91824249999999996</v>
      </c>
      <c r="M17" s="2">
        <v>1.4147730000000001</v>
      </c>
      <c r="N17" s="2">
        <v>1.8296829999999999</v>
      </c>
      <c r="O17" s="2">
        <v>2.2377910000000001</v>
      </c>
      <c r="P17" s="2">
        <v>54.85821</v>
      </c>
      <c r="Q17" s="2">
        <v>27.95599</v>
      </c>
      <c r="R17" s="2">
        <v>22.16159</v>
      </c>
      <c r="S17" s="2">
        <v>18.274709999999999</v>
      </c>
      <c r="T17" s="2">
        <v>14.387549999999999</v>
      </c>
      <c r="U17" s="2">
        <v>14.100809999999999</v>
      </c>
      <c r="V17" s="2">
        <v>11.494400000000001</v>
      </c>
      <c r="W17" s="2">
        <v>9.6923770000000005</v>
      </c>
      <c r="X17" s="2">
        <v>6.0180110000000004</v>
      </c>
      <c r="Y17" s="2">
        <v>5.524991</v>
      </c>
      <c r="Z17" s="2">
        <v>4.8361850000000004</v>
      </c>
      <c r="AA17" s="2">
        <v>4.176704</v>
      </c>
      <c r="AB17" s="2">
        <v>21.314330000000002</v>
      </c>
      <c r="AC17" s="2">
        <v>16.24053</v>
      </c>
      <c r="AD17" s="2">
        <v>15.032719999999999</v>
      </c>
      <c r="AE17" s="2">
        <v>12.822050000000001</v>
      </c>
      <c r="AF17" s="2">
        <v>4.5477860000000003</v>
      </c>
      <c r="AG17" s="2">
        <v>4.6844299999999999</v>
      </c>
      <c r="AH17" s="2">
        <v>5.6108070000000003</v>
      </c>
      <c r="AI17" s="2">
        <v>4.4974319999999999</v>
      </c>
      <c r="AJ17" s="2">
        <v>4.5109890000000004</v>
      </c>
      <c r="AK17" s="2">
        <v>5.2576890000000001</v>
      </c>
      <c r="AL17" s="3">
        <v>0.72783640000000005</v>
      </c>
      <c r="AM17" s="3">
        <v>0.5718067</v>
      </c>
      <c r="AN17" s="2">
        <v>18.234829999999999</v>
      </c>
      <c r="AO17" s="2">
        <v>18.922969999999999</v>
      </c>
      <c r="AP17" s="2">
        <v>19.869759999999999</v>
      </c>
      <c r="AQ17" s="2">
        <v>20.382919999999999</v>
      </c>
      <c r="AR17" s="2">
        <v>-4.0334200000000002E-3</v>
      </c>
      <c r="AS17" s="2">
        <v>-0.15787280000000001</v>
      </c>
      <c r="AT17" s="2">
        <v>-0.44194280000000002</v>
      </c>
      <c r="AU17" s="2">
        <v>-0.65096149999999997</v>
      </c>
      <c r="AV17" s="1" t="s">
        <v>6</v>
      </c>
      <c r="AW17" s="3">
        <v>1.3095239999999999</v>
      </c>
      <c r="AX17" s="3">
        <v>175</v>
      </c>
      <c r="AY17" s="2">
        <v>19.031420000000001</v>
      </c>
      <c r="AZ17" s="2">
        <v>19.763169999999999</v>
      </c>
      <c r="BA17" s="2">
        <v>36.673200000000001</v>
      </c>
      <c r="BB17" s="2">
        <v>30.429390000000001</v>
      </c>
      <c r="BC17" s="2">
        <v>25.7441</v>
      </c>
      <c r="BD17" s="3">
        <v>108.74</v>
      </c>
      <c r="BE17" s="2">
        <v>35.203240000000001</v>
      </c>
      <c r="BF17" s="3">
        <v>153.9</v>
      </c>
      <c r="BG17" s="2">
        <v>-4.4704259999999998</v>
      </c>
      <c r="BH17" s="2">
        <v>51.52646</v>
      </c>
      <c r="BI17" s="2">
        <v>38.820749999999997</v>
      </c>
      <c r="BJ17" s="2">
        <v>38.459739999999996</v>
      </c>
      <c r="BK17" s="2">
        <v>39.597189999999998</v>
      </c>
      <c r="BL17" s="2">
        <v>18</v>
      </c>
      <c r="BM17" s="2">
        <v>18</v>
      </c>
      <c r="BN17" s="4">
        <v>21</v>
      </c>
      <c r="BO17" s="4">
        <v>0</v>
      </c>
      <c r="BP17" s="4">
        <v>1</v>
      </c>
      <c r="BQ17" s="4">
        <v>20</v>
      </c>
      <c r="BR17" s="2">
        <v>0</v>
      </c>
      <c r="BS17" s="4">
        <v>16</v>
      </c>
      <c r="BT17" s="4">
        <v>0</v>
      </c>
      <c r="BU17" s="4">
        <v>21</v>
      </c>
      <c r="BV17" s="2">
        <v>76.190479999999994</v>
      </c>
      <c r="BW17" s="2">
        <v>9.1639800000000005</v>
      </c>
      <c r="BX17" s="2">
        <v>427.26060000000001</v>
      </c>
      <c r="BY17" s="3">
        <v>0.62395020000000001</v>
      </c>
      <c r="BZ17" s="3">
        <v>0.1460351</v>
      </c>
      <c r="CA17" s="2">
        <v>1.2467200000000001</v>
      </c>
      <c r="CB17" s="3">
        <v>0.1460351</v>
      </c>
      <c r="CC17" s="3">
        <v>5.072953</v>
      </c>
      <c r="CD17" s="3">
        <v>5.2752460000000001</v>
      </c>
      <c r="CE17" s="2">
        <v>3.9876819999999999</v>
      </c>
      <c r="CF17" s="3">
        <v>3085.6559999999999</v>
      </c>
      <c r="CG17" s="3">
        <v>3177.0520000000001</v>
      </c>
      <c r="CH17" s="2">
        <v>2.961957</v>
      </c>
      <c r="CI17" s="3">
        <v>167.64439999999999</v>
      </c>
      <c r="CJ17" s="2">
        <v>4.3875929999999999</v>
      </c>
      <c r="CK17" s="3">
        <v>23116.23</v>
      </c>
      <c r="CL17" s="3">
        <v>23316.78</v>
      </c>
      <c r="CM17" s="2">
        <v>0.86758139999999995</v>
      </c>
      <c r="CN17" s="3">
        <v>140.6808</v>
      </c>
      <c r="CO17" s="3">
        <v>148.0686</v>
      </c>
      <c r="CP17" s="3">
        <v>147.93539999999999</v>
      </c>
      <c r="CQ17" s="2">
        <v>4.5060520000000004</v>
      </c>
      <c r="CR17" s="2">
        <v>-0.70820450000000001</v>
      </c>
      <c r="CS17" s="2">
        <v>-0.61876770000000003</v>
      </c>
      <c r="CT17" s="2">
        <v>5.251455</v>
      </c>
      <c r="CU17" s="2">
        <v>82.151939999999996</v>
      </c>
      <c r="CV17" s="3">
        <v>0.13078219999999999</v>
      </c>
      <c r="CW17" s="2" t="e">
        <v>#N/A</v>
      </c>
      <c r="CX17" s="2">
        <v>1.0714440000000001</v>
      </c>
      <c r="CY17" s="2" t="e">
        <v>#N/A</v>
      </c>
      <c r="CZ17" s="2">
        <v>20.545449999999999</v>
      </c>
    </row>
    <row r="18" spans="1:104" ht="15" customHeight="1" x14ac:dyDescent="0.2">
      <c r="A18" s="1">
        <f t="shared" si="0"/>
        <v>12</v>
      </c>
      <c r="B18" s="1" t="s">
        <v>47</v>
      </c>
      <c r="C18" s="1" t="s">
        <v>46</v>
      </c>
      <c r="D18" s="1" t="s">
        <v>40</v>
      </c>
      <c r="E18" s="1" t="s">
        <v>48</v>
      </c>
      <c r="F18" s="1" t="s">
        <v>49</v>
      </c>
      <c r="G18" s="2">
        <v>155700.6</v>
      </c>
      <c r="H18" s="2">
        <v>83.308000000000007</v>
      </c>
      <c r="I18" s="2">
        <v>129711.1</v>
      </c>
      <c r="J18" s="3">
        <v>126.74</v>
      </c>
      <c r="K18" s="3">
        <v>0</v>
      </c>
      <c r="L18" s="2">
        <v>1.5780339999999999</v>
      </c>
      <c r="M18" s="2">
        <v>1.6614720000000001</v>
      </c>
      <c r="N18" s="2">
        <v>1.725913</v>
      </c>
      <c r="O18" s="2">
        <v>1.834862</v>
      </c>
      <c r="P18" s="2">
        <v>31.06373</v>
      </c>
      <c r="Q18" s="2">
        <v>24.407589999999999</v>
      </c>
      <c r="R18" s="2">
        <v>20.599689999999999</v>
      </c>
      <c r="S18" s="2">
        <v>17.615010000000002</v>
      </c>
      <c r="T18" s="2">
        <v>18.026160000000001</v>
      </c>
      <c r="U18" s="2">
        <v>15.635579999999999</v>
      </c>
      <c r="V18" s="2">
        <v>13.566039999999999</v>
      </c>
      <c r="W18" s="2">
        <v>11.959759999999999</v>
      </c>
      <c r="X18" s="2">
        <v>3.6938</v>
      </c>
      <c r="Y18" s="2">
        <v>3.3529100000000001</v>
      </c>
      <c r="Z18" s="2">
        <v>3.161781</v>
      </c>
      <c r="AA18" s="2">
        <v>2.9605229999999998</v>
      </c>
      <c r="AB18" s="2">
        <v>26.276900000000001</v>
      </c>
      <c r="AC18" s="2">
        <v>25.55189</v>
      </c>
      <c r="AD18" s="2">
        <v>20.477879999999999</v>
      </c>
      <c r="AE18" s="2">
        <v>17.030819999999999</v>
      </c>
      <c r="AF18" s="2">
        <v>3.3876210000000002</v>
      </c>
      <c r="AG18" s="2">
        <v>4.1548819999999997</v>
      </c>
      <c r="AH18" s="2">
        <v>5.1577679999999999</v>
      </c>
      <c r="AI18" s="2">
        <v>3.3083939999999998</v>
      </c>
      <c r="AJ18" s="2">
        <v>4.0095150000000004</v>
      </c>
      <c r="AK18" s="2">
        <v>4.8661909999999997</v>
      </c>
      <c r="AL18" s="3">
        <v>1.591002</v>
      </c>
      <c r="AM18" s="3">
        <v>1.350303</v>
      </c>
      <c r="AN18" s="2">
        <v>22.08943</v>
      </c>
      <c r="AO18" s="2">
        <v>31.291889999999999</v>
      </c>
      <c r="AP18" s="2">
        <v>32.688980000000001</v>
      </c>
      <c r="AQ18" s="2">
        <v>32.771430000000002</v>
      </c>
      <c r="AR18" s="2">
        <v>0.66121859999999999</v>
      </c>
      <c r="AS18" s="2">
        <v>-0.37442429999999999</v>
      </c>
      <c r="AT18" s="2">
        <v>-0.49184339999999999</v>
      </c>
      <c r="AU18" s="2">
        <v>-0.71661569999999997</v>
      </c>
      <c r="AV18" s="1" t="s">
        <v>6</v>
      </c>
      <c r="AW18" s="3">
        <v>1.387097</v>
      </c>
      <c r="AX18" s="3">
        <v>145</v>
      </c>
      <c r="AY18" s="2">
        <v>14.40746</v>
      </c>
      <c r="AZ18" s="2">
        <v>13.737159999999999</v>
      </c>
      <c r="BA18" s="2">
        <v>18.771329999999999</v>
      </c>
      <c r="BB18" s="2">
        <v>29.763480000000001</v>
      </c>
      <c r="BC18" s="2">
        <v>31.48667</v>
      </c>
      <c r="BD18" s="3">
        <v>94.9</v>
      </c>
      <c r="BE18" s="2">
        <v>33.551099999999998</v>
      </c>
      <c r="BF18" s="3">
        <v>131.69999999999999</v>
      </c>
      <c r="BG18" s="2">
        <v>-3.7661370000000001</v>
      </c>
      <c r="BH18" s="2">
        <v>48.987659999999998</v>
      </c>
      <c r="BI18" s="2">
        <v>40.903700000000001</v>
      </c>
      <c r="BJ18" s="2">
        <v>35.338349999999998</v>
      </c>
      <c r="BK18" s="2">
        <v>32.412329999999997</v>
      </c>
      <c r="BL18" s="2">
        <v>28</v>
      </c>
      <c r="BM18" s="2">
        <v>26</v>
      </c>
      <c r="BN18" s="4">
        <v>31</v>
      </c>
      <c r="BO18" s="4">
        <v>0</v>
      </c>
      <c r="BP18" s="4">
        <v>0</v>
      </c>
      <c r="BQ18" s="4">
        <v>31</v>
      </c>
      <c r="BR18" s="2">
        <v>0</v>
      </c>
      <c r="BS18" s="4">
        <v>21</v>
      </c>
      <c r="BT18" s="4">
        <v>0</v>
      </c>
      <c r="BU18" s="4">
        <v>31</v>
      </c>
      <c r="BV18" s="2">
        <v>67.74194</v>
      </c>
      <c r="BW18" s="2">
        <v>8.6970799999999997</v>
      </c>
      <c r="BX18" s="2">
        <v>1228.5039999999999</v>
      </c>
      <c r="BY18" s="3">
        <v>1.71208</v>
      </c>
      <c r="BZ18" s="3">
        <v>0.13936299999999999</v>
      </c>
      <c r="CA18" s="2">
        <v>1.2051799999999999</v>
      </c>
      <c r="CB18" s="3">
        <v>0.13936299999999999</v>
      </c>
      <c r="CC18" s="3">
        <v>5.1274470000000001</v>
      </c>
      <c r="CD18" s="3">
        <v>5.2019919999999997</v>
      </c>
      <c r="CE18" s="2">
        <v>1.4538409999999999</v>
      </c>
      <c r="CF18" s="3">
        <v>8681.39</v>
      </c>
      <c r="CG18" s="3">
        <v>8722.68</v>
      </c>
      <c r="CH18" s="2">
        <v>0.47562120000000002</v>
      </c>
      <c r="CI18" s="3">
        <v>137.381</v>
      </c>
      <c r="CJ18" s="2">
        <v>5.5459259999999997</v>
      </c>
      <c r="CK18" s="3">
        <v>31142.41</v>
      </c>
      <c r="CL18" s="3">
        <v>31101.61</v>
      </c>
      <c r="CM18" s="2">
        <v>-0.13103490000000001</v>
      </c>
      <c r="CN18" s="3">
        <v>120.2306</v>
      </c>
      <c r="CO18" s="3">
        <v>125.4879</v>
      </c>
      <c r="CP18" s="3">
        <v>123.6</v>
      </c>
      <c r="CQ18" s="2">
        <v>5.4141159999999999</v>
      </c>
      <c r="CR18" s="2">
        <v>0.99781750000000002</v>
      </c>
      <c r="CS18" s="2">
        <v>2.5404450000000001</v>
      </c>
      <c r="CT18" s="2">
        <v>4.372668</v>
      </c>
      <c r="CU18" s="2">
        <v>216.66319999999999</v>
      </c>
      <c r="CV18" s="3">
        <v>0.13915369999999999</v>
      </c>
      <c r="CW18" s="2">
        <v>8.1033609999999996</v>
      </c>
      <c r="CX18" s="2">
        <v>-0.17649709999999999</v>
      </c>
      <c r="CY18" s="2">
        <v>3.4339870000000001</v>
      </c>
      <c r="CZ18" s="2">
        <v>20.757580000000001</v>
      </c>
    </row>
    <row r="19" spans="1:104" ht="15" customHeight="1" x14ac:dyDescent="0.2">
      <c r="A19" s="1">
        <f t="shared" si="0"/>
        <v>13</v>
      </c>
      <c r="B19" s="1" t="s">
        <v>51</v>
      </c>
      <c r="C19" s="1" t="s">
        <v>50</v>
      </c>
      <c r="D19" s="1" t="s">
        <v>9</v>
      </c>
      <c r="E19" s="1" t="s">
        <v>4</v>
      </c>
      <c r="F19" s="1" t="s">
        <v>5</v>
      </c>
      <c r="G19" s="2">
        <v>56094.25</v>
      </c>
      <c r="H19" s="2">
        <v>99.535899999999998</v>
      </c>
      <c r="I19" s="2">
        <v>55833.919999999998</v>
      </c>
      <c r="J19" s="3">
        <v>3.4660000000000002</v>
      </c>
      <c r="K19" s="3">
        <v>0</v>
      </c>
      <c r="L19" s="2">
        <v>3.1736870000000001</v>
      </c>
      <c r="M19" s="2">
        <v>4.7878759999999998</v>
      </c>
      <c r="N19" s="2">
        <v>5.3259379999999998</v>
      </c>
      <c r="O19" s="2">
        <v>6.0588569999999997</v>
      </c>
      <c r="P19" s="2">
        <v>6.4304269999999999</v>
      </c>
      <c r="Q19" s="2">
        <v>5.5015869999999998</v>
      </c>
      <c r="R19" s="2">
        <v>5.082141</v>
      </c>
      <c r="S19" s="2">
        <v>4.881691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>
        <v>0.64423790000000003</v>
      </c>
      <c r="Y19" s="2">
        <v>0.57766669999999998</v>
      </c>
      <c r="Z19" s="2">
        <v>0.5332308</v>
      </c>
      <c r="AA19" s="2">
        <v>0.48305510000000002</v>
      </c>
      <c r="AB19" s="2" t="e">
        <v>#N/A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3">
        <v>0.56577440000000001</v>
      </c>
      <c r="AM19" s="3">
        <v>0.52185389999999998</v>
      </c>
      <c r="AN19" s="2" t="e">
        <v>#N/A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1" t="s">
        <v>6</v>
      </c>
      <c r="AW19" s="3">
        <v>1.4038459999999999</v>
      </c>
      <c r="AX19" s="3">
        <v>4.9000000000000004</v>
      </c>
      <c r="AY19" s="2">
        <v>41.373339999999999</v>
      </c>
      <c r="AZ19" s="2">
        <v>10.5</v>
      </c>
      <c r="BA19" s="2">
        <v>9.773066</v>
      </c>
      <c r="BB19" s="2">
        <v>32.18918</v>
      </c>
      <c r="BC19" s="2">
        <v>23.67529</v>
      </c>
      <c r="BD19" s="3">
        <v>2.5015000000000001</v>
      </c>
      <c r="BE19" s="2">
        <v>38.55686</v>
      </c>
      <c r="BF19" s="3">
        <v>3.8725000000000001</v>
      </c>
      <c r="BG19" s="2">
        <v>-10.49709</v>
      </c>
      <c r="BH19" s="2">
        <v>23.634329999999999</v>
      </c>
      <c r="BI19" s="2">
        <v>31.122959999999999</v>
      </c>
      <c r="BJ19" s="2">
        <v>32.593229999999998</v>
      </c>
      <c r="BK19" s="2">
        <v>35.436390000000003</v>
      </c>
      <c r="BL19" s="2">
        <v>25</v>
      </c>
      <c r="BM19" s="2">
        <v>16</v>
      </c>
      <c r="BN19" s="4">
        <v>26</v>
      </c>
      <c r="BO19" s="4">
        <v>1</v>
      </c>
      <c r="BP19" s="4">
        <v>0</v>
      </c>
      <c r="BQ19" s="4">
        <v>26</v>
      </c>
      <c r="BR19" s="2">
        <v>3.7037040000000001</v>
      </c>
      <c r="BS19" s="4">
        <v>17</v>
      </c>
      <c r="BT19" s="4">
        <v>1</v>
      </c>
      <c r="BU19" s="4">
        <v>26</v>
      </c>
      <c r="BV19" s="2">
        <v>65.384609999999995</v>
      </c>
      <c r="BW19" s="2">
        <v>11.1647</v>
      </c>
      <c r="BX19" s="2">
        <v>16184.15</v>
      </c>
      <c r="BY19" s="3">
        <v>44.363909999999997</v>
      </c>
      <c r="BZ19" s="3">
        <v>0.27411960000000002</v>
      </c>
      <c r="CA19" s="2">
        <v>1.6253299999999999</v>
      </c>
      <c r="CB19" s="3">
        <v>0.27411960000000002</v>
      </c>
      <c r="CC19" s="3">
        <v>0.61084749999999999</v>
      </c>
      <c r="CD19" s="3">
        <v>0.62683670000000002</v>
      </c>
      <c r="CE19" s="2">
        <v>2.6175380000000001</v>
      </c>
      <c r="CF19" s="3">
        <v>32968.51</v>
      </c>
      <c r="CG19" s="3">
        <v>32040.04</v>
      </c>
      <c r="CH19" s="2">
        <v>-2.81623</v>
      </c>
      <c r="CI19" s="3">
        <v>4.7353839999999998</v>
      </c>
      <c r="CJ19" s="2">
        <v>3.476286</v>
      </c>
      <c r="CK19" s="3">
        <v>56659.59</v>
      </c>
      <c r="CL19" s="3">
        <v>57481.17</v>
      </c>
      <c r="CM19" s="2">
        <v>1.450026</v>
      </c>
      <c r="CN19" s="3">
        <v>3.418803</v>
      </c>
      <c r="CO19" s="3">
        <v>3.5175000000000001</v>
      </c>
      <c r="CP19" s="3">
        <v>3.5289619999999999</v>
      </c>
      <c r="CQ19" s="2">
        <v>1.380503</v>
      </c>
      <c r="CR19" s="2">
        <v>-1.4641169999999999</v>
      </c>
      <c r="CS19" s="2">
        <v>-1.7841400000000001</v>
      </c>
      <c r="CT19" s="2">
        <v>2.8868909999999999</v>
      </c>
      <c r="CU19" s="2">
        <v>120.08450000000001</v>
      </c>
      <c r="CV19" s="3">
        <v>0.2140763</v>
      </c>
      <c r="CW19" s="2">
        <v>-0.39759329999999998</v>
      </c>
      <c r="CX19" s="2">
        <v>1.9534590000000001</v>
      </c>
      <c r="CY19" s="2">
        <v>3.4811139999999998</v>
      </c>
      <c r="CZ19" s="2">
        <v>20.929290000000002</v>
      </c>
    </row>
    <row r="20" spans="1:104" ht="15" customHeight="1" x14ac:dyDescent="0.2">
      <c r="A20" s="1">
        <f t="shared" si="0"/>
        <v>14</v>
      </c>
      <c r="B20" s="1" t="s">
        <v>53</v>
      </c>
      <c r="C20" s="1" t="s">
        <v>52</v>
      </c>
      <c r="D20" s="1" t="s">
        <v>9</v>
      </c>
      <c r="E20" s="1" t="s">
        <v>27</v>
      </c>
      <c r="F20" s="1" t="s">
        <v>28</v>
      </c>
      <c r="G20" s="2">
        <v>66677.919999999998</v>
      </c>
      <c r="H20" s="2">
        <v>99.373000000000005</v>
      </c>
      <c r="I20" s="2">
        <v>66259.850000000006</v>
      </c>
      <c r="J20" s="3">
        <v>10.5</v>
      </c>
      <c r="K20" s="3">
        <v>0</v>
      </c>
      <c r="L20" s="2">
        <v>4.6666670000000003</v>
      </c>
      <c r="M20" s="2">
        <v>4.9523809999999999</v>
      </c>
      <c r="N20" s="2">
        <v>5.2380950000000004</v>
      </c>
      <c r="O20" s="2">
        <v>5.4722569999999999</v>
      </c>
      <c r="P20" s="2">
        <v>15.909090000000001</v>
      </c>
      <c r="Q20" s="2">
        <v>14.181190000000001</v>
      </c>
      <c r="R20" s="2">
        <v>13.51539</v>
      </c>
      <c r="S20" s="2">
        <v>12.68582</v>
      </c>
      <c r="T20" s="2">
        <v>8.5641590000000001</v>
      </c>
      <c r="U20" s="2">
        <v>7.5259070000000001</v>
      </c>
      <c r="V20" s="2">
        <v>7.8376979999999996</v>
      </c>
      <c r="W20" s="2">
        <v>7.49932</v>
      </c>
      <c r="X20" s="2">
        <v>1.5645770000000001</v>
      </c>
      <c r="Y20" s="2">
        <v>1.5318860000000001</v>
      </c>
      <c r="Z20" s="2">
        <v>1.4468840000000001</v>
      </c>
      <c r="AA20" s="2">
        <v>1.413845</v>
      </c>
      <c r="AB20" s="2">
        <v>7.0984509999999998</v>
      </c>
      <c r="AC20" s="2">
        <v>6.3555359999999999</v>
      </c>
      <c r="AD20" s="2">
        <v>6.0450520000000001</v>
      </c>
      <c r="AE20" s="2">
        <v>5.7386900000000001</v>
      </c>
      <c r="AF20" s="2">
        <v>1.9995069999999999</v>
      </c>
      <c r="AG20" s="2">
        <v>-3.95764</v>
      </c>
      <c r="AH20" s="2">
        <v>0.61931650000000005</v>
      </c>
      <c r="AI20" s="2">
        <v>3.272764</v>
      </c>
      <c r="AJ20" s="2">
        <v>-7.1144439999999998</v>
      </c>
      <c r="AK20" s="2">
        <v>1.1353770000000001</v>
      </c>
      <c r="AL20" s="3">
        <v>1.622919</v>
      </c>
      <c r="AM20" s="3">
        <v>1.5594410000000001</v>
      </c>
      <c r="AN20" s="2">
        <v>24.519449999999999</v>
      </c>
      <c r="AO20" s="2">
        <v>25.539449999999999</v>
      </c>
      <c r="AP20" s="2">
        <v>27.44773</v>
      </c>
      <c r="AQ20" s="2">
        <v>28.37744</v>
      </c>
      <c r="AR20" s="2">
        <v>3.3073030000000001</v>
      </c>
      <c r="AS20" s="2">
        <v>2.9279259999999998</v>
      </c>
      <c r="AT20" s="2">
        <v>3.4777239999999998</v>
      </c>
      <c r="AU20" s="2">
        <v>3.4086500000000002</v>
      </c>
      <c r="AV20" s="1" t="s">
        <v>37</v>
      </c>
      <c r="AW20" s="3">
        <v>1.46</v>
      </c>
      <c r="AX20" s="3">
        <v>12.445970000000001</v>
      </c>
      <c r="AY20" s="2">
        <v>18.533080000000002</v>
      </c>
      <c r="AZ20" s="2">
        <v>10.802239999999999</v>
      </c>
      <c r="BA20" s="2">
        <v>8.7482919999999993</v>
      </c>
      <c r="BB20" s="2">
        <v>2.1897790000000001</v>
      </c>
      <c r="BC20" s="2">
        <v>-3.9341270000000002</v>
      </c>
      <c r="BD20" s="3">
        <v>9.8800000000000008</v>
      </c>
      <c r="BE20" s="2">
        <v>6.2753079999999999</v>
      </c>
      <c r="BF20" s="3">
        <v>12.244999999999999</v>
      </c>
      <c r="BG20" s="2">
        <v>-14.25071</v>
      </c>
      <c r="BH20" s="2">
        <v>72.764390000000006</v>
      </c>
      <c r="BI20" s="2">
        <v>70.908869999999993</v>
      </c>
      <c r="BJ20" s="2">
        <v>70.787610000000001</v>
      </c>
      <c r="BK20" s="2">
        <v>69.669330000000002</v>
      </c>
      <c r="BL20" s="2">
        <v>20</v>
      </c>
      <c r="BM20" s="2">
        <v>19</v>
      </c>
      <c r="BN20" s="4">
        <v>25</v>
      </c>
      <c r="BO20" s="4">
        <v>1</v>
      </c>
      <c r="BP20" s="4">
        <v>0</v>
      </c>
      <c r="BQ20" s="4">
        <v>21</v>
      </c>
      <c r="BR20" s="2">
        <v>4.5454549999999996</v>
      </c>
      <c r="BS20" s="4">
        <v>16</v>
      </c>
      <c r="BT20" s="4">
        <v>0</v>
      </c>
      <c r="BU20" s="4">
        <v>25</v>
      </c>
      <c r="BV20" s="2">
        <v>64</v>
      </c>
      <c r="BW20" s="2">
        <v>6.6692099999999996</v>
      </c>
      <c r="BX20" s="2">
        <v>6350.2780000000002</v>
      </c>
      <c r="BY20" s="3">
        <v>11.657640000000001</v>
      </c>
      <c r="BZ20" s="3">
        <v>0.18357689999999999</v>
      </c>
      <c r="CA20" s="2">
        <v>0.62627600000000005</v>
      </c>
      <c r="CB20" s="3">
        <v>0.18357689999999999</v>
      </c>
      <c r="CC20" s="3">
        <v>0.72818050000000001</v>
      </c>
      <c r="CD20" s="3">
        <v>0.73955300000000002</v>
      </c>
      <c r="CE20" s="2">
        <v>1.5617730000000001</v>
      </c>
      <c r="CF20" s="3">
        <v>9013.8860000000004</v>
      </c>
      <c r="CG20" s="3">
        <v>9124.36</v>
      </c>
      <c r="CH20" s="2">
        <v>1.225603</v>
      </c>
      <c r="CI20" s="3">
        <v>12.54508</v>
      </c>
      <c r="CJ20" s="2">
        <v>-0.79001779999999999</v>
      </c>
      <c r="CK20" s="3">
        <v>54914.080000000002</v>
      </c>
      <c r="CL20" s="3">
        <v>57136.07</v>
      </c>
      <c r="CM20" s="2">
        <v>4.0463089999999999</v>
      </c>
      <c r="CN20" s="3">
        <v>11.13322</v>
      </c>
      <c r="CO20" s="3">
        <v>10.66132</v>
      </c>
      <c r="CP20" s="3">
        <v>10.413919999999999</v>
      </c>
      <c r="CQ20" s="2">
        <v>-5.6876300000000004</v>
      </c>
      <c r="CR20" s="2">
        <v>-1.5131060000000001</v>
      </c>
      <c r="CS20" s="2">
        <v>0.82654950000000005</v>
      </c>
      <c r="CT20" s="2">
        <v>-4.2386590000000002</v>
      </c>
      <c r="CU20" s="2">
        <v>109.1485</v>
      </c>
      <c r="CV20" s="3">
        <v>0.16369510000000001</v>
      </c>
      <c r="CW20" s="2">
        <v>16.26343</v>
      </c>
      <c r="CX20" s="2">
        <v>-26.172910000000002</v>
      </c>
      <c r="CY20" s="2">
        <v>6.2421449999999998</v>
      </c>
      <c r="CZ20" s="2">
        <v>21.515149999999998</v>
      </c>
    </row>
    <row r="21" spans="1:104" ht="15" customHeight="1" x14ac:dyDescent="0.2">
      <c r="A21" s="1">
        <f t="shared" si="0"/>
        <v>15</v>
      </c>
      <c r="B21" s="1" t="s">
        <v>55</v>
      </c>
      <c r="C21" s="1" t="s">
        <v>54</v>
      </c>
      <c r="D21" s="1" t="s">
        <v>9</v>
      </c>
      <c r="E21" s="1" t="s">
        <v>56</v>
      </c>
      <c r="F21" s="1" t="s">
        <v>57</v>
      </c>
      <c r="G21" s="2">
        <v>101447</v>
      </c>
      <c r="H21" s="2">
        <v>35.442999999999998</v>
      </c>
      <c r="I21" s="2">
        <v>35955.870000000003</v>
      </c>
      <c r="J21" s="3">
        <v>32.549999999999997</v>
      </c>
      <c r="K21" s="3">
        <v>0</v>
      </c>
      <c r="L21" s="2">
        <v>3.686636</v>
      </c>
      <c r="M21" s="2">
        <v>4.6697389999999999</v>
      </c>
      <c r="N21" s="2">
        <v>5.1385439999999996</v>
      </c>
      <c r="O21" s="2">
        <v>5.4070660000000004</v>
      </c>
      <c r="P21" s="2">
        <v>24.52901</v>
      </c>
      <c r="Q21" s="2">
        <v>19.260349999999999</v>
      </c>
      <c r="R21" s="2">
        <v>17.78688</v>
      </c>
      <c r="S21" s="2">
        <v>16.607140000000001</v>
      </c>
      <c r="T21" s="2">
        <v>7.7903580000000003</v>
      </c>
      <c r="U21" s="2">
        <v>9.2155520000000006</v>
      </c>
      <c r="V21" s="2">
        <v>8.5181799999999992</v>
      </c>
      <c r="W21" s="2">
        <v>7.9343409999999999</v>
      </c>
      <c r="X21" s="2">
        <v>5.9576750000000001</v>
      </c>
      <c r="Y21" s="2">
        <v>5.5122780000000002</v>
      </c>
      <c r="Z21" s="2">
        <v>5.2013780000000001</v>
      </c>
      <c r="AA21" s="2">
        <v>5.0270270000000004</v>
      </c>
      <c r="AB21" s="2">
        <v>18.08333</v>
      </c>
      <c r="AC21" s="2">
        <v>13.827120000000001</v>
      </c>
      <c r="AD21" s="2">
        <v>11.421049999999999</v>
      </c>
      <c r="AE21" s="2">
        <v>12.417770000000001</v>
      </c>
      <c r="AF21" s="2">
        <v>6.3343910000000001</v>
      </c>
      <c r="AG21" s="2">
        <v>6.8412379999999997</v>
      </c>
      <c r="AH21" s="2">
        <v>7.3639789999999996</v>
      </c>
      <c r="AI21" s="2">
        <v>5.6111810000000002</v>
      </c>
      <c r="AJ21" s="2">
        <v>5.9859739999999997</v>
      </c>
      <c r="AK21" s="2">
        <v>6.3769090000000004</v>
      </c>
      <c r="AL21" s="3">
        <v>1.322138</v>
      </c>
      <c r="AM21" s="3">
        <v>1.2212940000000001</v>
      </c>
      <c r="AN21" s="2">
        <v>26.55593</v>
      </c>
      <c r="AO21" s="2">
        <v>26.955549999999999</v>
      </c>
      <c r="AP21" s="2">
        <v>26.942170000000001</v>
      </c>
      <c r="AQ21" s="2">
        <v>26.724229999999999</v>
      </c>
      <c r="AR21" s="2">
        <v>-1.1642969999999999</v>
      </c>
      <c r="AS21" s="2">
        <v>-1.187767</v>
      </c>
      <c r="AT21" s="2">
        <v>-1.2170609999999999</v>
      </c>
      <c r="AU21" s="2">
        <v>-1.228143</v>
      </c>
      <c r="AV21" s="1" t="s">
        <v>6</v>
      </c>
      <c r="AW21" s="3">
        <v>1.433333</v>
      </c>
      <c r="AX21" s="3">
        <v>38.5</v>
      </c>
      <c r="AY21" s="2">
        <v>18.279579999999999</v>
      </c>
      <c r="AZ21" s="2">
        <v>28.619810000000001</v>
      </c>
      <c r="BA21" s="2">
        <v>15</v>
      </c>
      <c r="BB21" s="2">
        <v>41.89188</v>
      </c>
      <c r="BC21" s="2">
        <v>30.98592</v>
      </c>
      <c r="BD21" s="3">
        <v>22.59</v>
      </c>
      <c r="BE21" s="2">
        <v>44.090310000000002</v>
      </c>
      <c r="BF21" s="3">
        <v>36.479999999999997</v>
      </c>
      <c r="BG21" s="2">
        <v>-10.77303</v>
      </c>
      <c r="BH21" s="2">
        <v>90.393649999999994</v>
      </c>
      <c r="BI21" s="2">
        <v>90.284639999999996</v>
      </c>
      <c r="BJ21" s="2">
        <v>90.697929999999999</v>
      </c>
      <c r="BK21" s="2">
        <v>89.042929999999998</v>
      </c>
      <c r="BL21" s="2">
        <v>27</v>
      </c>
      <c r="BM21" s="2">
        <v>26</v>
      </c>
      <c r="BN21" s="4">
        <v>30</v>
      </c>
      <c r="BO21" s="4">
        <v>2</v>
      </c>
      <c r="BP21" s="4">
        <v>1</v>
      </c>
      <c r="BQ21" s="4">
        <v>29</v>
      </c>
      <c r="BR21" s="2">
        <v>6.25</v>
      </c>
      <c r="BS21" s="4">
        <v>18</v>
      </c>
      <c r="BT21" s="4">
        <v>0</v>
      </c>
      <c r="BU21" s="4">
        <v>30</v>
      </c>
      <c r="BV21" s="2">
        <v>60</v>
      </c>
      <c r="BW21" s="2">
        <v>9.2207600000000003</v>
      </c>
      <c r="BX21" s="2">
        <v>3116.652</v>
      </c>
      <c r="BY21" s="3">
        <v>3.157089</v>
      </c>
      <c r="BZ21" s="3">
        <v>0.1012974</v>
      </c>
      <c r="CA21" s="2">
        <v>1.2484999999999999</v>
      </c>
      <c r="CB21" s="3">
        <v>0.1012974</v>
      </c>
      <c r="CC21" s="3">
        <v>1.6117429999999999</v>
      </c>
      <c r="CD21" s="3">
        <v>1.681378</v>
      </c>
      <c r="CE21" s="2">
        <v>4.3204549999999999</v>
      </c>
      <c r="CF21" s="3">
        <v>6409.1490000000003</v>
      </c>
      <c r="CG21" s="3">
        <v>6630.0609999999997</v>
      </c>
      <c r="CH21" s="2">
        <v>3.4468169999999998</v>
      </c>
      <c r="CI21" s="3">
        <v>36.578519999999997</v>
      </c>
      <c r="CJ21" s="2">
        <v>5.2530289999999997</v>
      </c>
      <c r="CK21" s="3">
        <v>35835.449999999997</v>
      </c>
      <c r="CL21" s="3">
        <v>36181.230000000003</v>
      </c>
      <c r="CM21" s="2">
        <v>0.96490379999999998</v>
      </c>
      <c r="CN21" s="3">
        <v>32.356960000000001</v>
      </c>
      <c r="CO21" s="3">
        <v>34.813920000000003</v>
      </c>
      <c r="CP21" s="3">
        <v>34.417299999999997</v>
      </c>
      <c r="CQ21" s="2">
        <v>0.59660670000000005</v>
      </c>
      <c r="CR21" s="2">
        <v>-6.5029139999999996</v>
      </c>
      <c r="CS21" s="2">
        <v>-5.4254829999999998</v>
      </c>
      <c r="CT21" s="2">
        <v>7.5933099999999998</v>
      </c>
      <c r="CU21" s="2">
        <v>108.8464</v>
      </c>
      <c r="CV21" s="3">
        <v>0.10729379999999999</v>
      </c>
      <c r="CW21" s="2">
        <v>7.3853419999999996</v>
      </c>
      <c r="CX21" s="2">
        <v>2.0711439999999999</v>
      </c>
      <c r="CY21" s="2">
        <v>5.676482</v>
      </c>
      <c r="CZ21" s="2">
        <v>21.595960000000002</v>
      </c>
    </row>
    <row r="22" spans="1:104" ht="15" customHeight="1" x14ac:dyDescent="0.2">
      <c r="A22" s="1">
        <f t="shared" si="0"/>
        <v>16</v>
      </c>
      <c r="B22" s="1" t="s">
        <v>59</v>
      </c>
      <c r="C22" s="1" t="s">
        <v>58</v>
      </c>
      <c r="D22" s="1" t="s">
        <v>3</v>
      </c>
      <c r="E22" s="1" t="s">
        <v>20</v>
      </c>
      <c r="F22" s="1" t="s">
        <v>21</v>
      </c>
      <c r="G22" s="2">
        <v>55365.16</v>
      </c>
      <c r="H22" s="2">
        <v>67.309399999999997</v>
      </c>
      <c r="I22" s="2">
        <v>37265.96</v>
      </c>
      <c r="J22" s="3">
        <v>285.5</v>
      </c>
      <c r="K22" s="3">
        <v>0</v>
      </c>
      <c r="L22" s="2">
        <v>0.55765410000000004</v>
      </c>
      <c r="M22" s="2">
        <v>0.80300660000000001</v>
      </c>
      <c r="N22" s="2">
        <v>0.88966719999999999</v>
      </c>
      <c r="O22" s="2">
        <v>0.98774079999999997</v>
      </c>
      <c r="P22" s="2">
        <v>56.09037</v>
      </c>
      <c r="Q22" s="2">
        <v>43.587780000000002</v>
      </c>
      <c r="R22" s="2">
        <v>38.245139999999999</v>
      </c>
      <c r="S22" s="2">
        <v>34.250599999999999</v>
      </c>
      <c r="T22" s="2">
        <v>29.399819999999998</v>
      </c>
      <c r="U22" s="2">
        <v>32.861240000000002</v>
      </c>
      <c r="V22" s="2">
        <v>29.387810000000002</v>
      </c>
      <c r="W22" s="2">
        <v>26.539100000000001</v>
      </c>
      <c r="X22" s="2">
        <v>20.67342</v>
      </c>
      <c r="Y22" s="2">
        <v>17.121770000000001</v>
      </c>
      <c r="Z22" s="2">
        <v>14.47621</v>
      </c>
      <c r="AA22" s="2">
        <v>12.04641</v>
      </c>
      <c r="AB22" s="2">
        <v>37.220730000000003</v>
      </c>
      <c r="AC22" s="2">
        <v>29.599889999999998</v>
      </c>
      <c r="AD22" s="2">
        <v>23.94877</v>
      </c>
      <c r="AE22" s="2">
        <v>22.996559999999999</v>
      </c>
      <c r="AF22" s="2">
        <v>1.607011</v>
      </c>
      <c r="AG22" s="2">
        <v>2.0929489999999999</v>
      </c>
      <c r="AH22" s="2">
        <v>2.3965450000000001</v>
      </c>
      <c r="AI22" s="2">
        <v>1.613108</v>
      </c>
      <c r="AJ22" s="2">
        <v>2.0938129999999999</v>
      </c>
      <c r="AK22" s="2">
        <v>2.3801770000000002</v>
      </c>
      <c r="AL22" s="3">
        <v>4.0560510000000001</v>
      </c>
      <c r="AM22" s="3">
        <v>3.525598</v>
      </c>
      <c r="AN22" s="2">
        <v>34.798819999999999</v>
      </c>
      <c r="AO22" s="2">
        <v>38.315359999999998</v>
      </c>
      <c r="AP22" s="2">
        <v>39.08023</v>
      </c>
      <c r="AQ22" s="2">
        <v>39.844299999999997</v>
      </c>
      <c r="AR22" s="2">
        <v>0.34988809999999998</v>
      </c>
      <c r="AS22" s="2">
        <v>9.3718979999999993E-2</v>
      </c>
      <c r="AT22" s="2">
        <v>9.140301E-3</v>
      </c>
      <c r="AU22" s="2">
        <v>-0.13734730000000001</v>
      </c>
      <c r="AV22" s="1" t="s">
        <v>37</v>
      </c>
      <c r="AW22" s="3">
        <v>1.545455</v>
      </c>
      <c r="AX22" s="3">
        <v>314.06880000000001</v>
      </c>
      <c r="AY22" s="2">
        <v>10.00658</v>
      </c>
      <c r="AZ22" s="2">
        <v>39.281120000000001</v>
      </c>
      <c r="BA22" s="2">
        <v>10.861219999999999</v>
      </c>
      <c r="BB22" s="2">
        <v>43.107770000000002</v>
      </c>
      <c r="BC22" s="2">
        <v>42.607390000000002</v>
      </c>
      <c r="BD22" s="3">
        <v>192.2</v>
      </c>
      <c r="BE22" s="2">
        <v>48.543190000000003</v>
      </c>
      <c r="BF22" s="3">
        <v>300.5</v>
      </c>
      <c r="BG22" s="2">
        <v>-4.9916799999999997</v>
      </c>
      <c r="BH22" s="2">
        <v>31.891999999999999</v>
      </c>
      <c r="BI22" s="2">
        <v>31.669219999999999</v>
      </c>
      <c r="BJ22" s="2">
        <v>31.224250000000001</v>
      </c>
      <c r="BK22" s="2">
        <v>31.684180000000001</v>
      </c>
      <c r="BL22" s="2">
        <v>20</v>
      </c>
      <c r="BM22" s="2">
        <v>19</v>
      </c>
      <c r="BN22" s="4">
        <v>22</v>
      </c>
      <c r="BO22" s="4">
        <v>1</v>
      </c>
      <c r="BP22" s="4">
        <v>3</v>
      </c>
      <c r="BQ22" s="4">
        <v>22</v>
      </c>
      <c r="BR22" s="2">
        <v>3.8461539999999999</v>
      </c>
      <c r="BS22" s="4">
        <v>12</v>
      </c>
      <c r="BT22" s="4">
        <v>1</v>
      </c>
      <c r="BU22" s="4">
        <v>22</v>
      </c>
      <c r="BV22" s="2">
        <v>54.545459999999999</v>
      </c>
      <c r="BW22" s="2">
        <v>7.5011799999999997</v>
      </c>
      <c r="BX22" s="2">
        <v>193.92349999999999</v>
      </c>
      <c r="BY22" s="3">
        <v>0.29787550000000002</v>
      </c>
      <c r="BZ22" s="3">
        <v>0.15360470000000001</v>
      </c>
      <c r="CA22" s="2">
        <v>0.63848199999999999</v>
      </c>
      <c r="CB22" s="3">
        <v>0.15360470000000001</v>
      </c>
      <c r="CC22" s="3">
        <v>6.3388530000000003</v>
      </c>
      <c r="CD22" s="3">
        <v>6.4807290000000002</v>
      </c>
      <c r="CE22" s="2">
        <v>2.2382019999999998</v>
      </c>
      <c r="CF22" s="3">
        <v>1548.944</v>
      </c>
      <c r="CG22" s="3">
        <v>1580.39</v>
      </c>
      <c r="CH22" s="2">
        <v>2.0301580000000001</v>
      </c>
      <c r="CI22" s="3">
        <v>302.7448</v>
      </c>
      <c r="CJ22" s="2">
        <v>3.7404299999999999</v>
      </c>
      <c r="CK22" s="3">
        <v>5835.8379999999997</v>
      </c>
      <c r="CL22" s="3">
        <v>5863.25</v>
      </c>
      <c r="CM22" s="2">
        <v>0.46970840000000003</v>
      </c>
      <c r="CN22" s="3">
        <v>269.92739999999998</v>
      </c>
      <c r="CO22" s="3">
        <v>284.20979999999997</v>
      </c>
      <c r="CP22" s="3">
        <v>285.18079999999998</v>
      </c>
      <c r="CQ22" s="2">
        <v>5.7691689999999998</v>
      </c>
      <c r="CR22" s="2">
        <v>0.4539609</v>
      </c>
      <c r="CS22" s="2">
        <v>0.1119375</v>
      </c>
      <c r="CT22" s="2">
        <v>5.291188</v>
      </c>
      <c r="CU22" s="2">
        <v>94.454930000000004</v>
      </c>
      <c r="CV22" s="3">
        <v>0.17060349999999999</v>
      </c>
      <c r="CW22" s="2">
        <v>5.5414960000000004</v>
      </c>
      <c r="CX22" s="2">
        <v>-0.15879260000000001</v>
      </c>
      <c r="CY22" s="2">
        <v>5.9967309999999996</v>
      </c>
      <c r="CZ22" s="2">
        <v>22.383839999999999</v>
      </c>
    </row>
    <row r="23" spans="1:104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40</v>
      </c>
      <c r="E23" s="1" t="s">
        <v>4</v>
      </c>
      <c r="F23" s="1" t="s">
        <v>62</v>
      </c>
      <c r="G23" s="2">
        <v>89092.06</v>
      </c>
      <c r="H23" s="2">
        <v>99.572299999999998</v>
      </c>
      <c r="I23" s="2">
        <v>88711.02</v>
      </c>
      <c r="J23" s="3">
        <v>220.9</v>
      </c>
      <c r="K23" s="3">
        <v>0</v>
      </c>
      <c r="L23" s="2">
        <v>5.1607060000000002</v>
      </c>
      <c r="M23" s="2">
        <v>5.4323230000000002</v>
      </c>
      <c r="N23" s="2">
        <v>5.8222129999999996</v>
      </c>
      <c r="O23" s="2">
        <v>6.2471709999999998</v>
      </c>
      <c r="P23" s="2">
        <v>13.58549</v>
      </c>
      <c r="Q23" s="2">
        <v>9.6093860000000006</v>
      </c>
      <c r="R23" s="2">
        <v>8.5454539999999994</v>
      </c>
      <c r="S23" s="2">
        <v>8.0370640000000009</v>
      </c>
      <c r="T23" s="2">
        <v>10.61443</v>
      </c>
      <c r="U23" s="2">
        <v>8.2180739999999997</v>
      </c>
      <c r="V23" s="2">
        <v>7.7957710000000002</v>
      </c>
      <c r="W23" s="2">
        <v>7.4926500000000003</v>
      </c>
      <c r="X23" s="2">
        <v>1.7326919999999999</v>
      </c>
      <c r="Y23" s="2">
        <v>1.525123</v>
      </c>
      <c r="Z23" s="2">
        <v>1.3934569999999999</v>
      </c>
      <c r="AA23" s="2">
        <v>1.270875</v>
      </c>
      <c r="AB23" s="2" t="e">
        <v>#N/A</v>
      </c>
      <c r="AC23" s="2" t="e">
        <v>#N/A</v>
      </c>
      <c r="AD23" s="2" t="e">
        <v>#N/A</v>
      </c>
      <c r="AE23" s="2" t="e">
        <v>#N/A</v>
      </c>
      <c r="AF23" s="2">
        <v>6.7432999999999996</v>
      </c>
      <c r="AG23" s="2">
        <v>7.118004</v>
      </c>
      <c r="AH23" s="2">
        <v>5.3851240000000002</v>
      </c>
      <c r="AI23" s="2">
        <v>9.1119230000000009</v>
      </c>
      <c r="AJ23" s="2">
        <v>9.6164570000000005</v>
      </c>
      <c r="AK23" s="2">
        <v>7.2733749999999997</v>
      </c>
      <c r="AL23" s="3">
        <v>0.86953769999999997</v>
      </c>
      <c r="AM23" s="3">
        <v>0.7710108</v>
      </c>
      <c r="AN23" s="2">
        <v>6.2952310000000002</v>
      </c>
      <c r="AO23" s="2">
        <v>9.4825149999999994</v>
      </c>
      <c r="AP23" s="2">
        <v>9.5644439999999999</v>
      </c>
      <c r="AQ23" s="2">
        <v>9.724278</v>
      </c>
      <c r="AR23" s="2">
        <v>2.1854990000000001</v>
      </c>
      <c r="AS23" s="2">
        <v>2.136269</v>
      </c>
      <c r="AT23" s="2">
        <v>2.02542</v>
      </c>
      <c r="AU23" s="2">
        <v>1.9451780000000001</v>
      </c>
      <c r="AV23" s="1" t="s">
        <v>6</v>
      </c>
      <c r="AW23" s="3">
        <v>1.3421050000000001</v>
      </c>
      <c r="AX23" s="3">
        <v>250.41499999999999</v>
      </c>
      <c r="AY23" s="2">
        <v>13.36125</v>
      </c>
      <c r="AZ23" s="2">
        <v>15.87119</v>
      </c>
      <c r="BA23" s="2">
        <v>11.0038</v>
      </c>
      <c r="BB23" s="2">
        <v>21.240390000000001</v>
      </c>
      <c r="BC23" s="2">
        <v>9.9552040000000002</v>
      </c>
      <c r="BD23" s="3">
        <v>181.52</v>
      </c>
      <c r="BE23" s="2">
        <v>21.694579999999998</v>
      </c>
      <c r="BF23" s="3">
        <v>234.55</v>
      </c>
      <c r="BG23" s="2">
        <v>-5.8196599999999998</v>
      </c>
      <c r="BH23" s="2">
        <v>70.432400000000001</v>
      </c>
      <c r="BI23" s="2">
        <v>52.505549999999999</v>
      </c>
      <c r="BJ23" s="2">
        <v>49.856729999999999</v>
      </c>
      <c r="BK23" s="2">
        <v>49.861159999999998</v>
      </c>
      <c r="BL23" s="2">
        <v>16</v>
      </c>
      <c r="BM23" s="2">
        <v>12</v>
      </c>
      <c r="BN23" s="4">
        <v>19</v>
      </c>
      <c r="BO23" s="4">
        <v>1</v>
      </c>
      <c r="BP23" s="4">
        <v>0</v>
      </c>
      <c r="BQ23" s="4">
        <v>18</v>
      </c>
      <c r="BR23" s="2">
        <v>5.2631579999999998</v>
      </c>
      <c r="BS23" s="4">
        <v>14</v>
      </c>
      <c r="BT23" s="4">
        <v>1</v>
      </c>
      <c r="BU23" s="4">
        <v>19</v>
      </c>
      <c r="BV23" s="2">
        <v>73.684209999999993</v>
      </c>
      <c r="BW23" s="2">
        <v>8.2229200000000002</v>
      </c>
      <c r="BX23" s="2">
        <v>403.31400000000002</v>
      </c>
      <c r="BY23" s="3">
        <v>0.91036890000000004</v>
      </c>
      <c r="BZ23" s="3">
        <v>0.22572210000000001</v>
      </c>
      <c r="CA23" s="2">
        <v>1.12436</v>
      </c>
      <c r="CB23" s="3">
        <v>0.22572210000000001</v>
      </c>
      <c r="CC23" s="3">
        <v>23.28764</v>
      </c>
      <c r="CD23" s="3">
        <v>23.086839999999999</v>
      </c>
      <c r="CE23" s="2">
        <v>-0.86225870000000004</v>
      </c>
      <c r="CF23" s="3">
        <v>14465.68</v>
      </c>
      <c r="CG23" s="3">
        <v>14636.35</v>
      </c>
      <c r="CH23" s="2">
        <v>1.179862</v>
      </c>
      <c r="CI23" s="3">
        <v>245.90600000000001</v>
      </c>
      <c r="CJ23" s="2">
        <v>1.833618</v>
      </c>
      <c r="CK23" s="3">
        <v>155623.1</v>
      </c>
      <c r="CL23" s="3">
        <v>155524.20000000001</v>
      </c>
      <c r="CM23" s="2">
        <v>-6.3592200000000002E-2</v>
      </c>
      <c r="CN23" s="3">
        <v>217.18790000000001</v>
      </c>
      <c r="CO23" s="3">
        <v>224.38630000000001</v>
      </c>
      <c r="CP23" s="3">
        <v>222.7269</v>
      </c>
      <c r="CQ23" s="2">
        <v>1.709139</v>
      </c>
      <c r="CR23" s="2">
        <v>-1.5537019999999999</v>
      </c>
      <c r="CS23" s="2">
        <v>-0.82024339999999996</v>
      </c>
      <c r="CT23" s="2">
        <v>3.3143400000000001</v>
      </c>
      <c r="CU23" s="2">
        <v>177.2868</v>
      </c>
      <c r="CV23" s="3">
        <v>0.1989928</v>
      </c>
      <c r="CW23" s="2">
        <v>5.7197230000000001</v>
      </c>
      <c r="CX23" s="2" t="e">
        <v>#N/A</v>
      </c>
      <c r="CY23" s="2">
        <v>4.318295</v>
      </c>
      <c r="CZ23" s="2">
        <v>22.434339999999999</v>
      </c>
    </row>
    <row r="24" spans="1:104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14</v>
      </c>
      <c r="E24" s="1" t="s">
        <v>65</v>
      </c>
      <c r="F24" s="1" t="s">
        <v>66</v>
      </c>
      <c r="G24" s="2">
        <v>62403.57</v>
      </c>
      <c r="H24" s="2">
        <v>82.582999999999998</v>
      </c>
      <c r="I24" s="2">
        <v>51534.75</v>
      </c>
      <c r="J24" s="3">
        <v>104.48</v>
      </c>
      <c r="K24" s="3">
        <v>0</v>
      </c>
      <c r="L24" s="2">
        <v>3.828484</v>
      </c>
      <c r="M24" s="2">
        <v>4.2400460000000004</v>
      </c>
      <c r="N24" s="2">
        <v>4.6420360000000001</v>
      </c>
      <c r="O24" s="2">
        <v>4.9531010000000002</v>
      </c>
      <c r="P24" s="2">
        <v>13.986610000000001</v>
      </c>
      <c r="Q24" s="2">
        <v>12.813190000000001</v>
      </c>
      <c r="R24" s="2">
        <v>11.99541</v>
      </c>
      <c r="S24" s="2">
        <v>10.87201</v>
      </c>
      <c r="T24" s="2">
        <v>7.1989179999999999</v>
      </c>
      <c r="U24" s="2">
        <v>6.8294730000000001</v>
      </c>
      <c r="V24" s="2">
        <v>6.3799570000000001</v>
      </c>
      <c r="W24" s="2">
        <v>5.9594329999999998</v>
      </c>
      <c r="X24" s="2">
        <v>2.271455</v>
      </c>
      <c r="Y24" s="2">
        <v>2.1009449999999998</v>
      </c>
      <c r="Z24" s="2">
        <v>1.930882</v>
      </c>
      <c r="AA24" s="2">
        <v>1.7748250000000001</v>
      </c>
      <c r="AB24" s="2">
        <v>7.1926839999999999</v>
      </c>
      <c r="AC24" s="2">
        <v>7.2475610000000001</v>
      </c>
      <c r="AD24" s="2">
        <v>6.9412570000000002</v>
      </c>
      <c r="AE24" s="2">
        <v>6.4751539999999999</v>
      </c>
      <c r="AF24" s="2">
        <v>6.0718620000000003</v>
      </c>
      <c r="AG24" s="2">
        <v>6.4374359999999999</v>
      </c>
      <c r="AH24" s="2">
        <v>7.1196989999999998</v>
      </c>
      <c r="AI24" s="2">
        <v>7.7648799999999998</v>
      </c>
      <c r="AJ24" s="2">
        <v>8.0617649999999994</v>
      </c>
      <c r="AK24" s="2">
        <v>8.7056819999999995</v>
      </c>
      <c r="AL24" s="3">
        <v>1.874841</v>
      </c>
      <c r="AM24" s="3">
        <v>1.7409380000000001</v>
      </c>
      <c r="AN24" s="2">
        <v>16.562629999999999</v>
      </c>
      <c r="AO24" s="2">
        <v>17.20504</v>
      </c>
      <c r="AP24" s="2">
        <v>17.62302</v>
      </c>
      <c r="AQ24" s="2">
        <v>17.971530000000001</v>
      </c>
      <c r="AR24" s="2">
        <v>1.8162510000000001</v>
      </c>
      <c r="AS24" s="2">
        <v>1.4890669999999999</v>
      </c>
      <c r="AT24" s="2">
        <v>1.2854680000000001</v>
      </c>
      <c r="AU24" s="2">
        <v>1.0856760000000001</v>
      </c>
      <c r="AV24" s="1" t="s">
        <v>6</v>
      </c>
      <c r="AW24" s="3">
        <v>1.1666669999999999</v>
      </c>
      <c r="AX24" s="3">
        <v>125</v>
      </c>
      <c r="AY24" s="2">
        <v>19.64012</v>
      </c>
      <c r="AZ24" s="2">
        <v>16.396740000000001</v>
      </c>
      <c r="BA24" s="2">
        <v>6.8044289999999998</v>
      </c>
      <c r="BB24" s="2">
        <v>12.12707</v>
      </c>
      <c r="BC24" s="2">
        <v>11.994859999999999</v>
      </c>
      <c r="BD24" s="3">
        <v>91.88</v>
      </c>
      <c r="BE24" s="2">
        <v>13.71355</v>
      </c>
      <c r="BF24" s="3">
        <v>112.4</v>
      </c>
      <c r="BG24" s="2">
        <v>-7.046265</v>
      </c>
      <c r="BH24" s="2">
        <v>53.682639999999999</v>
      </c>
      <c r="BI24" s="2">
        <v>54.672600000000003</v>
      </c>
      <c r="BJ24" s="2">
        <v>55.214370000000002</v>
      </c>
      <c r="BK24" s="2">
        <v>55.446599999999997</v>
      </c>
      <c r="BL24" s="2">
        <v>17</v>
      </c>
      <c r="BM24" s="2">
        <v>15</v>
      </c>
      <c r="BN24" s="4">
        <v>21</v>
      </c>
      <c r="BO24" s="4">
        <v>0</v>
      </c>
      <c r="BP24" s="4">
        <v>0</v>
      </c>
      <c r="BQ24" s="4">
        <v>21</v>
      </c>
      <c r="BR24" s="2">
        <v>0</v>
      </c>
      <c r="BS24" s="4">
        <v>19</v>
      </c>
      <c r="BT24" s="4">
        <v>1</v>
      </c>
      <c r="BU24" s="4">
        <v>21</v>
      </c>
      <c r="BV24" s="2">
        <v>90.476190000000003</v>
      </c>
      <c r="BW24" s="2">
        <v>7.1216299999999997</v>
      </c>
      <c r="BX24" s="2">
        <v>597.27769999999998</v>
      </c>
      <c r="BY24" s="3">
        <v>0.82625749999999998</v>
      </c>
      <c r="BZ24" s="3">
        <v>0.13833719999999999</v>
      </c>
      <c r="CA24" s="2">
        <v>1.1025100000000001</v>
      </c>
      <c r="CB24" s="3">
        <v>0.13833719999999999</v>
      </c>
      <c r="CC24" s="3">
        <v>8.0950279999999992</v>
      </c>
      <c r="CD24" s="3">
        <v>8.1898719999999994</v>
      </c>
      <c r="CE24" s="2">
        <v>1.171637</v>
      </c>
      <c r="CF24" s="3">
        <v>7947.7610000000004</v>
      </c>
      <c r="CG24" s="3">
        <v>8066.5410000000002</v>
      </c>
      <c r="CH24" s="2">
        <v>1.4945029999999999</v>
      </c>
      <c r="CI24" s="3">
        <v>126.6448</v>
      </c>
      <c r="CJ24" s="2">
        <v>-1.2987489999999999</v>
      </c>
      <c r="CK24" s="3">
        <v>66903.87</v>
      </c>
      <c r="CL24" s="3">
        <v>67497.539999999994</v>
      </c>
      <c r="CM24" s="2">
        <v>0.88734630000000003</v>
      </c>
      <c r="CN24" s="3">
        <v>105.7795</v>
      </c>
      <c r="CO24" s="3">
        <v>103.2518</v>
      </c>
      <c r="CP24" s="3">
        <v>102.5731</v>
      </c>
      <c r="CQ24" s="2">
        <v>-1.2285109999999999</v>
      </c>
      <c r="CR24" s="2">
        <v>1.1895659999999999</v>
      </c>
      <c r="CS24" s="2">
        <v>1.859081</v>
      </c>
      <c r="CT24" s="2">
        <v>-2.3896519999999999</v>
      </c>
      <c r="CU24" s="2">
        <v>72.444410000000005</v>
      </c>
      <c r="CV24" s="3">
        <v>0.1160902</v>
      </c>
      <c r="CW24" s="2" t="e">
        <v>#N/A</v>
      </c>
      <c r="CX24" s="2">
        <v>0.66940310000000003</v>
      </c>
      <c r="CY24" s="2" t="e">
        <v>#N/A</v>
      </c>
      <c r="CZ24" s="2">
        <v>22.44444</v>
      </c>
    </row>
    <row r="25" spans="1:104" ht="15" customHeight="1" x14ac:dyDescent="0.2">
      <c r="A25" s="1">
        <f t="shared" si="0"/>
        <v>19</v>
      </c>
      <c r="B25" s="1" t="s">
        <v>68</v>
      </c>
      <c r="C25" s="1" t="s">
        <v>67</v>
      </c>
      <c r="D25" s="1" t="s">
        <v>14</v>
      </c>
      <c r="E25" s="1" t="s">
        <v>69</v>
      </c>
      <c r="F25" s="1" t="s">
        <v>70</v>
      </c>
      <c r="G25" s="2">
        <v>84678.55</v>
      </c>
      <c r="H25" s="2">
        <v>99.751599999999996</v>
      </c>
      <c r="I25" s="2">
        <v>84468.21</v>
      </c>
      <c r="J25" s="3">
        <v>161.68</v>
      </c>
      <c r="K25" s="3">
        <v>0</v>
      </c>
      <c r="L25" s="2">
        <v>1.824592</v>
      </c>
      <c r="M25" s="2">
        <v>1.973033</v>
      </c>
      <c r="N25" s="2">
        <v>2.109105</v>
      </c>
      <c r="O25" s="2">
        <v>2.2884709999999999</v>
      </c>
      <c r="P25" s="2">
        <v>26.69453</v>
      </c>
      <c r="Q25" s="2">
        <v>24.884370000000001</v>
      </c>
      <c r="R25" s="2">
        <v>22.771830000000001</v>
      </c>
      <c r="S25" s="2">
        <v>21.00067</v>
      </c>
      <c r="T25" s="2">
        <v>10.857760000000001</v>
      </c>
      <c r="U25" s="2">
        <v>12.40682</v>
      </c>
      <c r="V25" s="2">
        <v>11.46311</v>
      </c>
      <c r="W25" s="2">
        <v>10.765560000000001</v>
      </c>
      <c r="X25" s="2">
        <v>3.5559069999999999</v>
      </c>
      <c r="Y25" s="2">
        <v>3.3214640000000002</v>
      </c>
      <c r="Z25" s="2">
        <v>3.082992</v>
      </c>
      <c r="AA25" s="2">
        <v>2.8487360000000002</v>
      </c>
      <c r="AB25" s="2">
        <v>14.56392</v>
      </c>
      <c r="AC25" s="2">
        <v>14.08901</v>
      </c>
      <c r="AD25" s="2">
        <v>13.350949999999999</v>
      </c>
      <c r="AE25" s="2">
        <v>12.12491</v>
      </c>
      <c r="AF25" s="2">
        <v>2.733895</v>
      </c>
      <c r="AG25" s="2">
        <v>2.912722</v>
      </c>
      <c r="AH25" s="2">
        <v>3.2361970000000002</v>
      </c>
      <c r="AI25" s="2">
        <v>3.0533980000000001</v>
      </c>
      <c r="AJ25" s="2">
        <v>3.2332010000000002</v>
      </c>
      <c r="AK25" s="2">
        <v>3.5720550000000002</v>
      </c>
      <c r="AL25" s="3">
        <v>2.8941210000000002</v>
      </c>
      <c r="AM25" s="3">
        <v>2.6583939999999999</v>
      </c>
      <c r="AN25" s="2">
        <v>24.479520000000001</v>
      </c>
      <c r="AO25" s="2">
        <v>27.35482</v>
      </c>
      <c r="AP25" s="2">
        <v>27.920459999999999</v>
      </c>
      <c r="AQ25" s="2">
        <v>27.987349999999999</v>
      </c>
      <c r="AR25" s="2">
        <v>1.400344</v>
      </c>
      <c r="AS25" s="2">
        <v>1.2982309999999999</v>
      </c>
      <c r="AT25" s="2">
        <v>1.1362380000000001</v>
      </c>
      <c r="AU25" s="2">
        <v>1.0122180000000001</v>
      </c>
      <c r="AV25" s="1" t="s">
        <v>6</v>
      </c>
      <c r="AW25" s="3">
        <v>1.4347829999999999</v>
      </c>
      <c r="AX25" s="3">
        <v>185</v>
      </c>
      <c r="AY25" s="2">
        <v>14.42356</v>
      </c>
      <c r="AZ25" s="2">
        <v>13.34759</v>
      </c>
      <c r="BA25" s="2">
        <v>8.8829049999999992</v>
      </c>
      <c r="BB25" s="2">
        <v>22.207090000000001</v>
      </c>
      <c r="BC25" s="2">
        <v>22.114799999999999</v>
      </c>
      <c r="BD25" s="3">
        <v>126.72</v>
      </c>
      <c r="BE25" s="2">
        <v>27.588380000000001</v>
      </c>
      <c r="BF25" s="3">
        <v>168.48</v>
      </c>
      <c r="BG25" s="2">
        <v>-4.0360870000000002</v>
      </c>
      <c r="BH25" s="2">
        <v>48.685400000000001</v>
      </c>
      <c r="BI25" s="2">
        <v>48.727620000000002</v>
      </c>
      <c r="BJ25" s="2">
        <v>47.947809999999997</v>
      </c>
      <c r="BK25" s="2">
        <v>46.971899999999998</v>
      </c>
      <c r="BL25" s="2">
        <v>22</v>
      </c>
      <c r="BM25" s="2">
        <v>20</v>
      </c>
      <c r="BN25" s="4">
        <v>23</v>
      </c>
      <c r="BO25" s="4">
        <v>2</v>
      </c>
      <c r="BP25" s="4">
        <v>0</v>
      </c>
      <c r="BQ25" s="4">
        <v>22</v>
      </c>
      <c r="BR25" s="2">
        <v>8.3333340000000007</v>
      </c>
      <c r="BS25" s="4">
        <v>16</v>
      </c>
      <c r="BT25" s="4">
        <v>1</v>
      </c>
      <c r="BU25" s="4">
        <v>23</v>
      </c>
      <c r="BV25" s="2">
        <v>69.565219999999997</v>
      </c>
      <c r="BW25" s="2">
        <v>5.9907599999999999</v>
      </c>
      <c r="BX25" s="2">
        <v>523.74159999999995</v>
      </c>
      <c r="BY25" s="3">
        <v>0.67376610000000003</v>
      </c>
      <c r="BZ25" s="3">
        <v>0.1286447</v>
      </c>
      <c r="CA25" s="2">
        <v>0.772007</v>
      </c>
      <c r="CB25" s="3">
        <v>0.1286447</v>
      </c>
      <c r="CC25" s="3">
        <v>6.5146300000000004</v>
      </c>
      <c r="CD25" s="3">
        <v>6.4894290000000003</v>
      </c>
      <c r="CE25" s="2">
        <v>-0.38684010000000002</v>
      </c>
      <c r="CF25" s="3">
        <v>5136.0420000000004</v>
      </c>
      <c r="CG25" s="3">
        <v>5097.8869999999997</v>
      </c>
      <c r="CH25" s="2">
        <v>-0.74289439999999995</v>
      </c>
      <c r="CI25" s="3">
        <v>176.10820000000001</v>
      </c>
      <c r="CJ25" s="2">
        <v>5.0490380000000004</v>
      </c>
      <c r="CK25" s="3">
        <v>28969.78</v>
      </c>
      <c r="CL25" s="3">
        <v>28152.57</v>
      </c>
      <c r="CM25" s="2">
        <v>-2.8209149999999998</v>
      </c>
      <c r="CN25" s="3">
        <v>157.6516</v>
      </c>
      <c r="CO25" s="3">
        <v>161.35730000000001</v>
      </c>
      <c r="CP25" s="3">
        <v>158.4931</v>
      </c>
      <c r="CQ25" s="2">
        <v>2.5552389999999998</v>
      </c>
      <c r="CR25" s="2">
        <v>0.2000093</v>
      </c>
      <c r="CS25" s="2">
        <v>2.0107390000000001</v>
      </c>
      <c r="CT25" s="2">
        <v>2.3505210000000001</v>
      </c>
      <c r="CU25" s="2">
        <v>92.363330000000005</v>
      </c>
      <c r="CV25" s="3">
        <v>0.1090752</v>
      </c>
      <c r="CW25" s="2" t="e">
        <v>#N/A</v>
      </c>
      <c r="CX25" s="2">
        <v>-1.8464449999999999</v>
      </c>
      <c r="CY25" s="2" t="e">
        <v>#N/A</v>
      </c>
      <c r="CZ25" s="2">
        <v>22.80808</v>
      </c>
    </row>
    <row r="26" spans="1:104" ht="15" customHeight="1" x14ac:dyDescent="0.2">
      <c r="A26" s="1">
        <f t="shared" si="0"/>
        <v>20</v>
      </c>
      <c r="B26" s="1" t="s">
        <v>72</v>
      </c>
      <c r="C26" s="1" t="s">
        <v>71</v>
      </c>
      <c r="D26" s="1" t="s">
        <v>40</v>
      </c>
      <c r="E26" s="1" t="s">
        <v>73</v>
      </c>
      <c r="F26" s="1" t="s">
        <v>74</v>
      </c>
      <c r="G26" s="2">
        <v>102097.7</v>
      </c>
      <c r="H26" s="2">
        <v>64.753600000000006</v>
      </c>
      <c r="I26" s="2">
        <v>66111.960000000006</v>
      </c>
      <c r="J26" s="3">
        <v>20.475000000000001</v>
      </c>
      <c r="K26" s="3">
        <v>0</v>
      </c>
      <c r="L26" s="2">
        <v>3.418803</v>
      </c>
      <c r="M26" s="2">
        <v>3.8339439999999998</v>
      </c>
      <c r="N26" s="2">
        <v>4.1514040000000003</v>
      </c>
      <c r="O26" s="2">
        <v>4.688644</v>
      </c>
      <c r="P26" s="2">
        <v>11.18852</v>
      </c>
      <c r="Q26" s="2">
        <v>12.42919</v>
      </c>
      <c r="R26" s="2">
        <v>11.148160000000001</v>
      </c>
      <c r="S26" s="2">
        <v>9.8272820000000003</v>
      </c>
      <c r="T26" s="2">
        <v>5.8536260000000002</v>
      </c>
      <c r="U26" s="2">
        <v>5.8778420000000002</v>
      </c>
      <c r="V26" s="2">
        <v>5.359375</v>
      </c>
      <c r="W26" s="2">
        <v>5.1316860000000002</v>
      </c>
      <c r="X26" s="2">
        <v>2.0993879999999998</v>
      </c>
      <c r="Y26" s="2">
        <v>1.828125</v>
      </c>
      <c r="Z26" s="2">
        <v>1.7201949999999999</v>
      </c>
      <c r="AA26" s="2">
        <v>1.676904</v>
      </c>
      <c r="AB26" s="2">
        <v>3.2687040000000001</v>
      </c>
      <c r="AC26" s="2">
        <v>3.217371</v>
      </c>
      <c r="AD26" s="2">
        <v>2.946043</v>
      </c>
      <c r="AE26" s="2">
        <v>2.8198029999999998</v>
      </c>
      <c r="AF26" s="2">
        <v>6.4354310000000003</v>
      </c>
      <c r="AG26" s="2">
        <v>7.6330280000000004</v>
      </c>
      <c r="AH26" s="2">
        <v>8.2460599999999999</v>
      </c>
      <c r="AI26" s="2">
        <v>15.09173</v>
      </c>
      <c r="AJ26" s="2">
        <v>17.4954</v>
      </c>
      <c r="AK26" s="2">
        <v>18.951039999999999</v>
      </c>
      <c r="AL26" s="3">
        <v>1.8180019999999999</v>
      </c>
      <c r="AM26" s="3">
        <v>1.8033110000000001</v>
      </c>
      <c r="AN26" s="2">
        <v>35.142859999999999</v>
      </c>
      <c r="AO26" s="2">
        <v>36.595469999999999</v>
      </c>
      <c r="AP26" s="2">
        <v>37.961709999999997</v>
      </c>
      <c r="AQ26" s="2">
        <v>38.654670000000003</v>
      </c>
      <c r="AR26" s="2">
        <v>3.5422060000000002</v>
      </c>
      <c r="AS26" s="2">
        <v>3.371407</v>
      </c>
      <c r="AT26" s="2">
        <v>3.0211459999999999</v>
      </c>
      <c r="AU26" s="2">
        <v>2.898765</v>
      </c>
      <c r="AV26" s="1" t="s">
        <v>6</v>
      </c>
      <c r="AW26" s="3">
        <v>1.1315789999999999</v>
      </c>
      <c r="AX26" s="3">
        <v>26</v>
      </c>
      <c r="AY26" s="2">
        <v>26.984120000000001</v>
      </c>
      <c r="AZ26" s="2">
        <v>14.708320000000001</v>
      </c>
      <c r="BA26" s="2">
        <v>6.0143579999999996</v>
      </c>
      <c r="BB26" s="2">
        <v>6.8409560000000003</v>
      </c>
      <c r="BC26" s="2">
        <v>9.8562130000000003</v>
      </c>
      <c r="BD26" s="3">
        <v>18.501999999999999</v>
      </c>
      <c r="BE26" s="2">
        <v>10.66371</v>
      </c>
      <c r="BF26" s="3">
        <v>23.125</v>
      </c>
      <c r="BG26" s="2">
        <v>-11.45946</v>
      </c>
      <c r="BH26" s="2">
        <v>38.209330000000001</v>
      </c>
      <c r="BI26" s="2">
        <v>43.197920000000003</v>
      </c>
      <c r="BJ26" s="2">
        <v>48.47316</v>
      </c>
      <c r="BK26" s="2">
        <v>48.349249999999998</v>
      </c>
      <c r="BL26" s="2">
        <v>14</v>
      </c>
      <c r="BM26" s="2">
        <v>11</v>
      </c>
      <c r="BN26" s="4">
        <v>19</v>
      </c>
      <c r="BO26" s="4">
        <v>0</v>
      </c>
      <c r="BP26" s="4">
        <v>0</v>
      </c>
      <c r="BQ26" s="4">
        <v>19</v>
      </c>
      <c r="BR26" s="2">
        <v>0</v>
      </c>
      <c r="BS26" s="4">
        <v>17</v>
      </c>
      <c r="BT26" s="4">
        <v>0</v>
      </c>
      <c r="BU26" s="4">
        <v>19</v>
      </c>
      <c r="BV26" s="2">
        <v>89.473690000000005</v>
      </c>
      <c r="BW26" s="2">
        <v>5.85562</v>
      </c>
      <c r="BX26" s="2">
        <v>4986.4579999999996</v>
      </c>
      <c r="BY26" s="3">
        <v>6.8090099999999998</v>
      </c>
      <c r="BZ26" s="3">
        <v>0.13655</v>
      </c>
      <c r="CA26" s="2">
        <v>0.70170399999999999</v>
      </c>
      <c r="CB26" s="3">
        <v>0.13655</v>
      </c>
      <c r="CC26" s="3">
        <v>1.8130189999999999</v>
      </c>
      <c r="CD26" s="3">
        <v>1.807131</v>
      </c>
      <c r="CE26" s="2">
        <v>-0.3247797</v>
      </c>
      <c r="CF26" s="3">
        <v>22408.95</v>
      </c>
      <c r="CG26" s="3">
        <v>22372.59</v>
      </c>
      <c r="CH26" s="2">
        <v>-0.16227359999999999</v>
      </c>
      <c r="CI26" s="3">
        <v>25.872920000000001</v>
      </c>
      <c r="CJ26" s="2">
        <v>0.491178</v>
      </c>
      <c r="CK26" s="3">
        <v>111823.3</v>
      </c>
      <c r="CL26" s="3">
        <v>111572.2</v>
      </c>
      <c r="CM26" s="2">
        <v>-0.2245665</v>
      </c>
      <c r="CN26" s="3">
        <v>20.52908</v>
      </c>
      <c r="CO26" s="3">
        <v>20.114999999999998</v>
      </c>
      <c r="CP26" s="3">
        <v>20.19885</v>
      </c>
      <c r="CQ26" s="2">
        <v>-0.26343460000000002</v>
      </c>
      <c r="CR26" s="2">
        <v>1.789725</v>
      </c>
      <c r="CS26" s="2">
        <v>1.367164</v>
      </c>
      <c r="CT26" s="2">
        <v>-2.0170569999999999</v>
      </c>
      <c r="CU26" s="2">
        <v>115.4175</v>
      </c>
      <c r="CV26" s="3">
        <v>0.1130461</v>
      </c>
      <c r="CW26" s="2">
        <v>-2.9297339999999998</v>
      </c>
      <c r="CX26" s="2">
        <v>2.0896319999999999E-2</v>
      </c>
      <c r="CY26" s="2">
        <v>8.5993030000000008</v>
      </c>
      <c r="CZ26" s="2">
        <v>23</v>
      </c>
    </row>
    <row r="27" spans="1:104" ht="15" customHeight="1" x14ac:dyDescent="0.2">
      <c r="A27" s="1">
        <f t="shared" si="0"/>
        <v>21</v>
      </c>
      <c r="B27" s="1" t="s">
        <v>76</v>
      </c>
      <c r="C27" s="1" t="s">
        <v>75</v>
      </c>
      <c r="D27" s="1" t="s">
        <v>14</v>
      </c>
      <c r="E27" s="1" t="s">
        <v>77</v>
      </c>
      <c r="F27" s="1" t="s">
        <v>78</v>
      </c>
      <c r="G27" s="2">
        <v>26029.95</v>
      </c>
      <c r="H27" s="2">
        <v>90.490799999999993</v>
      </c>
      <c r="I27" s="2">
        <v>23554.71</v>
      </c>
      <c r="J27" s="3">
        <v>51.4</v>
      </c>
      <c r="K27" s="3">
        <v>0</v>
      </c>
      <c r="L27" s="2">
        <v>3.8910499999999999</v>
      </c>
      <c r="M27" s="2">
        <v>4.0272370000000004</v>
      </c>
      <c r="N27" s="2">
        <v>4.2898829999999997</v>
      </c>
      <c r="O27" s="2">
        <v>4.5393090000000003</v>
      </c>
      <c r="P27" s="2">
        <v>7.932099</v>
      </c>
      <c r="Q27" s="2">
        <v>8.2909860000000002</v>
      </c>
      <c r="R27" s="2">
        <v>8.0690749999999998</v>
      </c>
      <c r="S27" s="2">
        <v>7.3850569999999998</v>
      </c>
      <c r="T27" s="2">
        <v>4.4588989999999997</v>
      </c>
      <c r="U27" s="2">
        <v>4.6421979999999996</v>
      </c>
      <c r="V27" s="2">
        <v>4.3687649999999998</v>
      </c>
      <c r="W27" s="2">
        <v>3.968146</v>
      </c>
      <c r="X27" s="2">
        <v>1.171376</v>
      </c>
      <c r="Y27" s="2">
        <v>1.084538</v>
      </c>
      <c r="Z27" s="2">
        <v>0.99844469999999996</v>
      </c>
      <c r="AA27" s="2">
        <v>0.91704359999999996</v>
      </c>
      <c r="AB27" s="2">
        <v>4.9131729999999996</v>
      </c>
      <c r="AC27" s="2">
        <v>5.1853699999999998</v>
      </c>
      <c r="AD27" s="2">
        <v>5.0752179999999996</v>
      </c>
      <c r="AE27" s="2">
        <v>4.9757990000000003</v>
      </c>
      <c r="AF27" s="2">
        <v>9.6790699999999994</v>
      </c>
      <c r="AG27" s="2">
        <v>10.30044</v>
      </c>
      <c r="AH27" s="2">
        <v>11.313179999999999</v>
      </c>
      <c r="AI27" s="2">
        <v>12.250640000000001</v>
      </c>
      <c r="AJ27" s="2">
        <v>12.25311</v>
      </c>
      <c r="AK27" s="2">
        <v>12.888249999999999</v>
      </c>
      <c r="AL27" s="3">
        <v>24.615880000000001</v>
      </c>
      <c r="AM27" s="3">
        <v>23.649090000000001</v>
      </c>
      <c r="AN27" s="2">
        <v>13.91976</v>
      </c>
      <c r="AO27" s="2">
        <v>14.73978</v>
      </c>
      <c r="AP27" s="2">
        <v>14.58915</v>
      </c>
      <c r="AQ27" s="2">
        <v>14.84867</v>
      </c>
      <c r="AR27" s="2">
        <v>1.155125</v>
      </c>
      <c r="AS27" s="2">
        <v>0.97445789999999999</v>
      </c>
      <c r="AT27" s="2">
        <v>0.69621279999999997</v>
      </c>
      <c r="AU27" s="2">
        <v>0.48494579999999998</v>
      </c>
      <c r="AV27" s="1" t="s">
        <v>6</v>
      </c>
      <c r="AW27" s="3">
        <v>1.2749999999999999</v>
      </c>
      <c r="AX27" s="3">
        <v>72</v>
      </c>
      <c r="AY27" s="2">
        <v>40.077820000000003</v>
      </c>
      <c r="AZ27" s="2">
        <v>13.08093</v>
      </c>
      <c r="BA27" s="2">
        <v>0.34006910000000001</v>
      </c>
      <c r="BB27" s="2">
        <v>24.154589999999999</v>
      </c>
      <c r="BC27" s="2">
        <v>12.595829999999999</v>
      </c>
      <c r="BD27" s="3">
        <v>39.72</v>
      </c>
      <c r="BE27" s="2">
        <v>29.405840000000001</v>
      </c>
      <c r="BF27" s="3">
        <v>62.14</v>
      </c>
      <c r="BG27" s="2">
        <v>-17.283550000000002</v>
      </c>
      <c r="BH27" s="2">
        <v>31.27205</v>
      </c>
      <c r="BI27" s="2">
        <v>34.264789999999998</v>
      </c>
      <c r="BJ27" s="2">
        <v>35.108669999999996</v>
      </c>
      <c r="BK27" s="2">
        <v>35.111370000000001</v>
      </c>
      <c r="BL27" s="2">
        <v>19</v>
      </c>
      <c r="BM27" s="2">
        <v>18</v>
      </c>
      <c r="BN27" s="4">
        <v>20</v>
      </c>
      <c r="BO27" s="4">
        <v>0</v>
      </c>
      <c r="BP27" s="4">
        <v>0</v>
      </c>
      <c r="BQ27" s="4">
        <v>20</v>
      </c>
      <c r="BR27" s="2">
        <v>0</v>
      </c>
      <c r="BS27" s="4">
        <v>15</v>
      </c>
      <c r="BT27" s="4">
        <v>0</v>
      </c>
      <c r="BU27" s="4">
        <v>20</v>
      </c>
      <c r="BV27" s="2">
        <v>75</v>
      </c>
      <c r="BW27" s="2">
        <v>8.8143700000000003</v>
      </c>
      <c r="BX27" s="2">
        <v>506.41930000000002</v>
      </c>
      <c r="BY27" s="3">
        <v>1.172442</v>
      </c>
      <c r="BZ27" s="3">
        <v>0.2315161</v>
      </c>
      <c r="CA27" s="2">
        <v>1.2593099999999999</v>
      </c>
      <c r="CB27" s="3">
        <v>0.2315161</v>
      </c>
      <c r="CC27" s="3">
        <v>5.9417989999999996</v>
      </c>
      <c r="CD27" s="3">
        <v>6.140174</v>
      </c>
      <c r="CE27" s="2">
        <v>3.338635</v>
      </c>
      <c r="CF27" s="3">
        <v>4977.3530000000001</v>
      </c>
      <c r="CG27" s="3">
        <v>5079.45</v>
      </c>
      <c r="CH27" s="2">
        <v>2.051234</v>
      </c>
      <c r="CI27" s="3">
        <v>71.861109999999996</v>
      </c>
      <c r="CJ27" s="2">
        <v>0.193274</v>
      </c>
      <c r="CK27" s="3">
        <v>48516.41</v>
      </c>
      <c r="CL27" s="3">
        <v>48213.45</v>
      </c>
      <c r="CM27" s="2">
        <v>-0.62446590000000002</v>
      </c>
      <c r="CN27" s="3">
        <v>54.866709999999998</v>
      </c>
      <c r="CO27" s="3">
        <v>55.455379999999998</v>
      </c>
      <c r="CP27" s="3">
        <v>53.139809999999997</v>
      </c>
      <c r="CQ27" s="2">
        <v>-6.3184139999999998</v>
      </c>
      <c r="CR27" s="2">
        <v>-7.3128760000000002</v>
      </c>
      <c r="CS27" s="2">
        <v>-3.2740239999999998</v>
      </c>
      <c r="CT27" s="2">
        <v>1.072919</v>
      </c>
      <c r="CU27" s="2">
        <v>68.707470000000001</v>
      </c>
      <c r="CV27" s="3">
        <v>0.26395540000000001</v>
      </c>
      <c r="CW27" s="2" t="e">
        <v>#N/A</v>
      </c>
      <c r="CX27" s="2">
        <v>0.48413270000000003</v>
      </c>
      <c r="CY27" s="2" t="e">
        <v>#N/A</v>
      </c>
      <c r="CZ27" s="2">
        <v>23.404039999999998</v>
      </c>
    </row>
    <row r="28" spans="1:104" ht="15" customHeight="1" x14ac:dyDescent="0.2">
      <c r="A28" s="1">
        <f t="shared" si="0"/>
        <v>22</v>
      </c>
      <c r="B28" s="1" t="s">
        <v>80</v>
      </c>
      <c r="C28" s="1" t="s">
        <v>79</v>
      </c>
      <c r="D28" s="1" t="s">
        <v>81</v>
      </c>
      <c r="E28" s="1" t="s">
        <v>4</v>
      </c>
      <c r="F28" s="1" t="s">
        <v>5</v>
      </c>
      <c r="G28" s="2">
        <v>35272.410000000003</v>
      </c>
      <c r="H28" s="2" t="e">
        <v>#N/A</v>
      </c>
      <c r="I28" s="2" t="e">
        <v>#N/A</v>
      </c>
      <c r="J28" s="3">
        <v>9.9390000000000001</v>
      </c>
      <c r="K28" s="3">
        <v>0</v>
      </c>
      <c r="L28" s="2">
        <v>8.0490999999999993</v>
      </c>
      <c r="M28" s="2">
        <v>9.8601469999999996</v>
      </c>
      <c r="N28" s="2">
        <v>9.9607609999999998</v>
      </c>
      <c r="O28" s="2">
        <v>9.9607609999999998</v>
      </c>
      <c r="P28" s="2">
        <v>9.0354550000000007</v>
      </c>
      <c r="Q28" s="2">
        <v>6.9992960000000002</v>
      </c>
      <c r="R28" s="2">
        <v>6.9747370000000002</v>
      </c>
      <c r="S28" s="2">
        <v>6.8544830000000001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>
        <v>1.161098</v>
      </c>
      <c r="Y28" s="2">
        <v>1.13931</v>
      </c>
      <c r="Z28" s="2">
        <v>1.0933870000000001</v>
      </c>
      <c r="AA28" s="2">
        <v>1.047533</v>
      </c>
      <c r="AB28" s="2" t="e">
        <v>#N/A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3">
        <v>0.63954880000000003</v>
      </c>
      <c r="AM28" s="3">
        <v>0.63775349999999997</v>
      </c>
      <c r="AN28" s="2" t="e">
        <v>#N/A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1" t="s">
        <v>6</v>
      </c>
      <c r="AW28" s="3">
        <v>1.36</v>
      </c>
      <c r="AX28" s="3">
        <v>12.96025</v>
      </c>
      <c r="AY28" s="2">
        <v>30.39789</v>
      </c>
      <c r="AZ28" s="2">
        <v>16.2775</v>
      </c>
      <c r="BA28" s="2">
        <v>10.76445</v>
      </c>
      <c r="BB28" s="2">
        <v>2.718067</v>
      </c>
      <c r="BC28" s="2">
        <v>-0.90727210000000003</v>
      </c>
      <c r="BD28" s="3">
        <v>9.157</v>
      </c>
      <c r="BE28" s="2">
        <v>8.5399270000000005</v>
      </c>
      <c r="BF28" s="3">
        <v>12.157999999999999</v>
      </c>
      <c r="BG28" s="2">
        <v>-18.251349999999999</v>
      </c>
      <c r="BH28" s="2">
        <v>70.476190000000003</v>
      </c>
      <c r="BI28" s="2">
        <v>68.039540000000002</v>
      </c>
      <c r="BJ28" s="2">
        <v>68.753910000000005</v>
      </c>
      <c r="BK28" s="2">
        <v>69.112139999999997</v>
      </c>
      <c r="BL28" s="2">
        <v>24</v>
      </c>
      <c r="BM28" s="2">
        <v>18</v>
      </c>
      <c r="BN28" s="4">
        <v>25</v>
      </c>
      <c r="BO28" s="4">
        <v>0</v>
      </c>
      <c r="BP28" s="4">
        <v>1</v>
      </c>
      <c r="BQ28" s="4">
        <v>25</v>
      </c>
      <c r="BR28" s="2">
        <v>0</v>
      </c>
      <c r="BS28" s="4">
        <v>17</v>
      </c>
      <c r="BT28" s="4">
        <v>0</v>
      </c>
      <c r="BU28" s="4">
        <v>25</v>
      </c>
      <c r="BV28" s="2">
        <v>68</v>
      </c>
      <c r="BW28" s="2">
        <v>7.3488699999999998</v>
      </c>
      <c r="BX28" s="2">
        <v>3548.89</v>
      </c>
      <c r="BY28" s="3">
        <v>4.9336909999999996</v>
      </c>
      <c r="BZ28" s="3">
        <v>0.1390207</v>
      </c>
      <c r="CA28" s="2">
        <v>1.00132</v>
      </c>
      <c r="CB28" s="3">
        <v>0.1390207</v>
      </c>
      <c r="CC28" s="3">
        <v>1.3722369999999999</v>
      </c>
      <c r="CD28" s="3">
        <v>1.4210849999999999</v>
      </c>
      <c r="CE28" s="2">
        <v>3.5596969999999999</v>
      </c>
      <c r="CF28" s="3">
        <v>6611.348</v>
      </c>
      <c r="CG28" s="3">
        <v>6647.6540000000005</v>
      </c>
      <c r="CH28" s="2">
        <v>0.5491376</v>
      </c>
      <c r="CI28" s="3">
        <v>12.6683</v>
      </c>
      <c r="CJ28" s="2">
        <v>2.3045420000000001</v>
      </c>
      <c r="CK28" s="3">
        <v>11784.81</v>
      </c>
      <c r="CL28" s="3">
        <v>11885.16</v>
      </c>
      <c r="CM28" s="2">
        <v>0.85151200000000005</v>
      </c>
      <c r="CN28" s="3">
        <v>10.255649999999999</v>
      </c>
      <c r="CO28" s="3">
        <v>10.224220000000001</v>
      </c>
      <c r="CP28" s="3">
        <v>10.300230000000001</v>
      </c>
      <c r="CQ28" s="2">
        <v>-3.0875620000000001</v>
      </c>
      <c r="CR28" s="2">
        <v>-2.7896049999999999</v>
      </c>
      <c r="CS28" s="2">
        <v>-3.507018</v>
      </c>
      <c r="CT28" s="2">
        <v>-0.30650500000000003</v>
      </c>
      <c r="CU28" s="2">
        <v>40.350949999999997</v>
      </c>
      <c r="CV28" s="3">
        <v>0.114398</v>
      </c>
      <c r="CW28" s="2">
        <v>4.0645610000000003</v>
      </c>
      <c r="CX28" s="2">
        <v>-0.60292080000000003</v>
      </c>
      <c r="CY28" s="2">
        <v>3.8078580000000001E-2</v>
      </c>
      <c r="CZ28" s="2">
        <v>23.526319999999998</v>
      </c>
    </row>
    <row r="29" spans="1:104" ht="15" customHeight="1" x14ac:dyDescent="0.2">
      <c r="A29" s="1">
        <f t="shared" si="0"/>
        <v>23</v>
      </c>
      <c r="B29" s="1" t="s">
        <v>83</v>
      </c>
      <c r="C29" s="1" t="s">
        <v>82</v>
      </c>
      <c r="D29" s="1" t="s">
        <v>14</v>
      </c>
      <c r="E29" s="1" t="s">
        <v>44</v>
      </c>
      <c r="F29" s="1" t="s">
        <v>45</v>
      </c>
      <c r="G29" s="2">
        <v>99819.23</v>
      </c>
      <c r="H29" s="2">
        <v>74.040700000000001</v>
      </c>
      <c r="I29" s="2">
        <v>73906.850000000006</v>
      </c>
      <c r="J29" s="3">
        <v>126.28</v>
      </c>
      <c r="K29" s="3">
        <v>0</v>
      </c>
      <c r="L29" s="2">
        <v>1.4254039999999999</v>
      </c>
      <c r="M29" s="2">
        <v>1.583782</v>
      </c>
      <c r="N29" s="2">
        <v>2.0065870000000001</v>
      </c>
      <c r="O29" s="2">
        <v>2.5736460000000001</v>
      </c>
      <c r="P29" s="2">
        <v>23.385190000000001</v>
      </c>
      <c r="Q29" s="2">
        <v>22.29175</v>
      </c>
      <c r="R29" s="2">
        <v>18.543320000000001</v>
      </c>
      <c r="S29" s="2">
        <v>14.508290000000001</v>
      </c>
      <c r="T29" s="2">
        <v>9.3582070000000002</v>
      </c>
      <c r="U29" s="2">
        <v>10.15211</v>
      </c>
      <c r="V29" s="2">
        <v>8.430631</v>
      </c>
      <c r="W29" s="2">
        <v>6.7322579999999999</v>
      </c>
      <c r="X29" s="2">
        <v>7.6758480000000002</v>
      </c>
      <c r="Y29" s="2">
        <v>6.2497309999999997</v>
      </c>
      <c r="Z29" s="2">
        <v>5.0516920000000001</v>
      </c>
      <c r="AA29" s="2">
        <v>4.0647060000000002</v>
      </c>
      <c r="AB29" s="2">
        <v>15.212759999999999</v>
      </c>
      <c r="AC29" s="2">
        <v>16.792549999999999</v>
      </c>
      <c r="AD29" s="2">
        <v>12.46594</v>
      </c>
      <c r="AE29" s="2">
        <v>10.62069</v>
      </c>
      <c r="AF29" s="2">
        <v>3.5851760000000001</v>
      </c>
      <c r="AG29" s="2">
        <v>5.9750670000000001</v>
      </c>
      <c r="AH29" s="2">
        <v>7.8808480000000003</v>
      </c>
      <c r="AI29" s="2">
        <v>3.1805659999999998</v>
      </c>
      <c r="AJ29" s="2">
        <v>5.1600279999999996</v>
      </c>
      <c r="AK29" s="2">
        <v>6.5247549999999999</v>
      </c>
      <c r="AL29" s="3">
        <v>0.92417680000000002</v>
      </c>
      <c r="AM29" s="3">
        <v>0.76127</v>
      </c>
      <c r="AN29" s="2">
        <v>14.197710000000001</v>
      </c>
      <c r="AO29" s="2">
        <v>13.56249</v>
      </c>
      <c r="AP29" s="2">
        <v>14.14364</v>
      </c>
      <c r="AQ29" s="2">
        <v>14.940300000000001</v>
      </c>
      <c r="AR29" s="2">
        <v>-1.130409</v>
      </c>
      <c r="AS29" s="2">
        <v>-1.291485</v>
      </c>
      <c r="AT29" s="2">
        <v>-1.3316380000000001</v>
      </c>
      <c r="AU29" s="2">
        <v>-1.399221</v>
      </c>
      <c r="AV29" s="1" t="s">
        <v>6</v>
      </c>
      <c r="AW29" s="3">
        <v>1.32</v>
      </c>
      <c r="AX29" s="3">
        <v>154.62039999999999</v>
      </c>
      <c r="AY29" s="2">
        <v>22.442519999999998</v>
      </c>
      <c r="AZ29" s="2">
        <v>28.036069999999999</v>
      </c>
      <c r="BA29" s="2">
        <v>24.2623</v>
      </c>
      <c r="BB29" s="2">
        <v>15.24</v>
      </c>
      <c r="BC29" s="2">
        <v>13.74527</v>
      </c>
      <c r="BD29" s="3">
        <v>107.04</v>
      </c>
      <c r="BE29" s="2">
        <v>17.974589999999999</v>
      </c>
      <c r="BF29" s="3">
        <v>138.76</v>
      </c>
      <c r="BG29" s="2">
        <v>-8.9939409999999995</v>
      </c>
      <c r="BH29" s="2">
        <v>33.209879999999998</v>
      </c>
      <c r="BI29" s="2">
        <v>36.146810000000002</v>
      </c>
      <c r="BJ29" s="2">
        <v>36.051110000000001</v>
      </c>
      <c r="BK29" s="2">
        <v>36.478659999999998</v>
      </c>
      <c r="BL29" s="2">
        <v>22</v>
      </c>
      <c r="BM29" s="2">
        <v>21</v>
      </c>
      <c r="BN29" s="4">
        <v>25</v>
      </c>
      <c r="BO29" s="4">
        <v>0</v>
      </c>
      <c r="BP29" s="4">
        <v>0</v>
      </c>
      <c r="BQ29" s="4">
        <v>24</v>
      </c>
      <c r="BR29" s="2">
        <v>0</v>
      </c>
      <c r="BS29" s="4">
        <v>21</v>
      </c>
      <c r="BT29" s="4">
        <v>2</v>
      </c>
      <c r="BU29" s="4">
        <v>25</v>
      </c>
      <c r="BV29" s="2">
        <v>84</v>
      </c>
      <c r="BW29" s="2">
        <v>9.9585000000000008</v>
      </c>
      <c r="BX29" s="2">
        <v>790.45950000000005</v>
      </c>
      <c r="BY29" s="3">
        <v>1.015811</v>
      </c>
      <c r="BZ29" s="3">
        <v>0.12850890000000001</v>
      </c>
      <c r="CA29" s="2">
        <v>1.4513199999999999</v>
      </c>
      <c r="CB29" s="3">
        <v>0.12850890000000001</v>
      </c>
      <c r="CC29" s="3">
        <v>5.6154109999999999</v>
      </c>
      <c r="CD29" s="3">
        <v>5.6318039999999998</v>
      </c>
      <c r="CE29" s="2">
        <v>0.29194360000000003</v>
      </c>
      <c r="CF29" s="3">
        <v>6075.0569999999998</v>
      </c>
      <c r="CG29" s="3">
        <v>6014.7439999999997</v>
      </c>
      <c r="CH29" s="2">
        <v>-0.99279879999999998</v>
      </c>
      <c r="CI29" s="3">
        <v>146.75</v>
      </c>
      <c r="CJ29" s="2">
        <v>5.3631419999999999</v>
      </c>
      <c r="CK29" s="3">
        <v>64131.65</v>
      </c>
      <c r="CL29" s="3">
        <v>64313.29</v>
      </c>
      <c r="CM29" s="2">
        <v>0.28322940000000002</v>
      </c>
      <c r="CN29" s="3">
        <v>126.2458</v>
      </c>
      <c r="CO29" s="3">
        <v>127.83839999999999</v>
      </c>
      <c r="CP29" s="3">
        <v>124.69</v>
      </c>
      <c r="CQ29" s="2">
        <v>2.7108190000000001E-2</v>
      </c>
      <c r="CR29" s="2">
        <v>-1.219052</v>
      </c>
      <c r="CS29" s="2">
        <v>1.2751699999999999</v>
      </c>
      <c r="CT29" s="2">
        <v>1.261544</v>
      </c>
      <c r="CU29" s="2">
        <v>108.5788</v>
      </c>
      <c r="CV29" s="3">
        <v>0.10877539999999999</v>
      </c>
      <c r="CW29" s="2">
        <v>-13.408910000000001</v>
      </c>
      <c r="CX29" s="2">
        <v>0.31399559999999999</v>
      </c>
      <c r="CY29" s="2">
        <v>-13.8986</v>
      </c>
      <c r="CZ29" s="2">
        <v>24.161619999999999</v>
      </c>
    </row>
    <row r="30" spans="1:104" ht="15" customHeight="1" x14ac:dyDescent="0.2">
      <c r="A30" s="1">
        <f t="shared" si="0"/>
        <v>24</v>
      </c>
      <c r="B30" s="1" t="s">
        <v>85</v>
      </c>
      <c r="C30" s="1" t="s">
        <v>84</v>
      </c>
      <c r="D30" s="1" t="s">
        <v>24</v>
      </c>
      <c r="E30" s="1" t="s">
        <v>44</v>
      </c>
      <c r="F30" s="1" t="s">
        <v>86</v>
      </c>
      <c r="G30" s="2">
        <v>227309.5</v>
      </c>
      <c r="H30" s="2">
        <v>99.025899999999993</v>
      </c>
      <c r="I30" s="2">
        <v>225095.3</v>
      </c>
      <c r="J30" s="3">
        <v>563.85</v>
      </c>
      <c r="K30" s="3">
        <v>-0.25650260000000003</v>
      </c>
      <c r="L30" s="2">
        <v>1.0286420000000001</v>
      </c>
      <c r="M30" s="2">
        <v>1.1527890000000001</v>
      </c>
      <c r="N30" s="2">
        <v>1.241465</v>
      </c>
      <c r="O30" s="2">
        <v>1.461382</v>
      </c>
      <c r="P30" s="2">
        <v>39.876240000000003</v>
      </c>
      <c r="Q30" s="2">
        <v>28.913399999999999</v>
      </c>
      <c r="R30" s="2">
        <v>28.893160000000002</v>
      </c>
      <c r="S30" s="2">
        <v>20.58222</v>
      </c>
      <c r="T30" s="2">
        <v>28.13916</v>
      </c>
      <c r="U30" s="2">
        <v>23.63879</v>
      </c>
      <c r="V30" s="2">
        <v>23.329609999999999</v>
      </c>
      <c r="W30" s="2">
        <v>16.942519999999998</v>
      </c>
      <c r="X30" s="2">
        <v>25.473230000000001</v>
      </c>
      <c r="Y30" s="2">
        <v>18.29494</v>
      </c>
      <c r="Z30" s="2">
        <v>16.486840000000001</v>
      </c>
      <c r="AA30" s="2">
        <v>13.402659999999999</v>
      </c>
      <c r="AB30" s="2">
        <v>26.446999999999999</v>
      </c>
      <c r="AC30" s="2">
        <v>27.119990000000001</v>
      </c>
      <c r="AD30" s="2">
        <v>26.225580000000001</v>
      </c>
      <c r="AE30" s="2">
        <v>19.764700000000001</v>
      </c>
      <c r="AF30" s="2">
        <v>1.904155</v>
      </c>
      <c r="AG30" s="2">
        <v>2.7856269999999999</v>
      </c>
      <c r="AH30" s="2">
        <v>3.7487879999999998</v>
      </c>
      <c r="AI30" s="2">
        <v>1.885877</v>
      </c>
      <c r="AJ30" s="2">
        <v>2.748103</v>
      </c>
      <c r="AK30" s="2">
        <v>3.6825640000000002</v>
      </c>
      <c r="AL30" s="3">
        <v>1.3247439999999999</v>
      </c>
      <c r="AM30" s="3">
        <v>1.317026</v>
      </c>
      <c r="AN30" s="2">
        <v>33.459119999999999</v>
      </c>
      <c r="AO30" s="2">
        <v>35.073390000000003</v>
      </c>
      <c r="AP30" s="2">
        <v>35.372349999999997</v>
      </c>
      <c r="AQ30" s="2">
        <v>39.70008</v>
      </c>
      <c r="AR30" s="2">
        <v>-0.52990420000000005</v>
      </c>
      <c r="AS30" s="2">
        <v>-0.2285035</v>
      </c>
      <c r="AT30" s="2">
        <v>-0.31772729999999999</v>
      </c>
      <c r="AU30" s="2">
        <v>-0.30388280000000001</v>
      </c>
      <c r="AV30" s="1" t="s">
        <v>6</v>
      </c>
      <c r="AW30" s="3">
        <v>1.3</v>
      </c>
      <c r="AX30" s="3">
        <v>700</v>
      </c>
      <c r="AY30" s="2">
        <v>24.1465</v>
      </c>
      <c r="AZ30" s="2">
        <v>63.274940000000001</v>
      </c>
      <c r="BA30" s="2">
        <v>22</v>
      </c>
      <c r="BB30" s="2">
        <v>17.960249999999998</v>
      </c>
      <c r="BC30" s="2">
        <v>11.919409999999999</v>
      </c>
      <c r="BD30" s="3">
        <v>448.55</v>
      </c>
      <c r="BE30" s="2">
        <v>25.70505</v>
      </c>
      <c r="BF30" s="3">
        <v>698.1</v>
      </c>
      <c r="BG30" s="2">
        <v>-19.23077</v>
      </c>
      <c r="BH30" s="2">
        <v>40.284230000000001</v>
      </c>
      <c r="BI30" s="2">
        <v>32.435020000000002</v>
      </c>
      <c r="BJ30" s="2">
        <v>36.178440000000002</v>
      </c>
      <c r="BK30" s="2">
        <v>30.920179999999998</v>
      </c>
      <c r="BL30" s="2">
        <v>38</v>
      </c>
      <c r="BM30" s="2">
        <v>37</v>
      </c>
      <c r="BN30" s="4">
        <v>40</v>
      </c>
      <c r="BO30" s="4">
        <v>0</v>
      </c>
      <c r="BP30" s="4">
        <v>4</v>
      </c>
      <c r="BQ30" s="4">
        <v>34</v>
      </c>
      <c r="BR30" s="2">
        <v>0</v>
      </c>
      <c r="BS30" s="4">
        <v>30</v>
      </c>
      <c r="BT30" s="4">
        <v>1</v>
      </c>
      <c r="BU30" s="4">
        <v>40</v>
      </c>
      <c r="BV30" s="2">
        <v>75</v>
      </c>
      <c r="BW30" s="2">
        <v>10.2044</v>
      </c>
      <c r="BX30" s="2">
        <v>403.13819999999998</v>
      </c>
      <c r="BY30" s="3">
        <v>0.63445680000000004</v>
      </c>
      <c r="BZ30" s="3">
        <v>0.15737950000000001</v>
      </c>
      <c r="CA30" s="2">
        <v>1.72749</v>
      </c>
      <c r="CB30" s="3">
        <v>0.15737950000000001</v>
      </c>
      <c r="CC30" s="3">
        <v>19.343710000000002</v>
      </c>
      <c r="CD30" s="3">
        <v>19.48339</v>
      </c>
      <c r="CE30" s="2">
        <v>0.72211029999999998</v>
      </c>
      <c r="CF30" s="3">
        <v>8792.0949999999993</v>
      </c>
      <c r="CG30" s="3">
        <v>8849.5169999999998</v>
      </c>
      <c r="CH30" s="2">
        <v>0.65311189999999997</v>
      </c>
      <c r="CI30" s="3">
        <v>741.4674</v>
      </c>
      <c r="CJ30" s="2">
        <v>-5.5926140000000002</v>
      </c>
      <c r="CK30" s="3">
        <v>27138.45</v>
      </c>
      <c r="CL30" s="3">
        <v>27195.09</v>
      </c>
      <c r="CM30" s="2">
        <v>0.20873549999999999</v>
      </c>
      <c r="CN30" s="3">
        <v>608.0181</v>
      </c>
      <c r="CO30" s="3">
        <v>574.02729999999997</v>
      </c>
      <c r="CP30" s="3">
        <v>559.5154</v>
      </c>
      <c r="CQ30" s="2">
        <v>-7.2642800000000003</v>
      </c>
      <c r="CR30" s="2">
        <v>-1.7729760000000001</v>
      </c>
      <c r="CS30" s="2">
        <v>0.77470539999999999</v>
      </c>
      <c r="CT30" s="2">
        <v>-5.5904210000000001</v>
      </c>
      <c r="CU30" s="2">
        <v>330.14940000000001</v>
      </c>
      <c r="CV30" s="3">
        <v>0.14524219999999999</v>
      </c>
      <c r="CW30" s="2">
        <v>4.01023</v>
      </c>
      <c r="CX30" s="2">
        <v>-1.0024919999999999</v>
      </c>
      <c r="CY30" s="2">
        <v>3.0924399999999999</v>
      </c>
      <c r="CZ30" s="2">
        <v>24.212119999999999</v>
      </c>
    </row>
    <row r="31" spans="1:104" ht="15" customHeight="1" x14ac:dyDescent="0.2">
      <c r="A31" s="1">
        <f t="shared" si="0"/>
        <v>25</v>
      </c>
      <c r="B31" s="1" t="s">
        <v>88</v>
      </c>
      <c r="C31" s="1" t="s">
        <v>87</v>
      </c>
      <c r="D31" s="1" t="s">
        <v>89</v>
      </c>
      <c r="E31" s="1" t="s">
        <v>90</v>
      </c>
      <c r="F31" s="1" t="s">
        <v>91</v>
      </c>
      <c r="G31" s="2">
        <v>26138.6</v>
      </c>
      <c r="H31" s="2" t="e">
        <v>#N/A</v>
      </c>
      <c r="I31" s="2" t="e">
        <v>#N/A</v>
      </c>
      <c r="J31" s="3">
        <v>147.94999999999999</v>
      </c>
      <c r="K31" s="3">
        <v>0</v>
      </c>
      <c r="L31" s="2">
        <v>0</v>
      </c>
      <c r="M31" s="2">
        <v>0</v>
      </c>
      <c r="N31" s="2">
        <v>1.5506880000000001</v>
      </c>
      <c r="O31" s="2">
        <v>1.758087</v>
      </c>
      <c r="P31" s="2">
        <v>69.47963</v>
      </c>
      <c r="Q31" s="2">
        <v>29.092179999999999</v>
      </c>
      <c r="R31" s="2">
        <v>23.1387</v>
      </c>
      <c r="S31" s="2">
        <v>17.446429999999999</v>
      </c>
      <c r="T31" s="2">
        <v>23.5855</v>
      </c>
      <c r="U31" s="2">
        <v>16.368960000000001</v>
      </c>
      <c r="V31" s="2">
        <v>12.652509999999999</v>
      </c>
      <c r="W31" s="2">
        <v>9.8919779999999999</v>
      </c>
      <c r="X31" s="2">
        <v>2.2480099999999998</v>
      </c>
      <c r="Y31" s="2">
        <v>2.1655609999999998</v>
      </c>
      <c r="Z31" s="2">
        <v>2.073982</v>
      </c>
      <c r="AA31" s="2">
        <v>1.988826</v>
      </c>
      <c r="AB31" s="2">
        <v>25.129159999999999</v>
      </c>
      <c r="AC31" s="2">
        <v>18.84395</v>
      </c>
      <c r="AD31" s="2">
        <v>15.118</v>
      </c>
      <c r="AE31" s="2">
        <v>12.61645</v>
      </c>
      <c r="AF31" s="2">
        <v>2.4840140000000002</v>
      </c>
      <c r="AG31" s="2">
        <v>4.2003810000000001</v>
      </c>
      <c r="AH31" s="2">
        <v>5.4627780000000001</v>
      </c>
      <c r="AI31" s="2">
        <v>2.967794</v>
      </c>
      <c r="AJ31" s="2">
        <v>4.852506</v>
      </c>
      <c r="AK31" s="2">
        <v>6.0298090000000002</v>
      </c>
      <c r="AL31" s="3">
        <v>0.7158563</v>
      </c>
      <c r="AM31" s="3">
        <v>0.5353869</v>
      </c>
      <c r="AN31" s="2">
        <v>13.583780000000001</v>
      </c>
      <c r="AO31" s="2">
        <v>17.055789999999998</v>
      </c>
      <c r="AP31" s="2">
        <v>19.346779999999999</v>
      </c>
      <c r="AQ31" s="2">
        <v>21.202549999999999</v>
      </c>
      <c r="AR31" s="2">
        <v>4.5639989999999999</v>
      </c>
      <c r="AS31" s="2">
        <v>2.6548120000000002</v>
      </c>
      <c r="AT31" s="2">
        <v>1.691473</v>
      </c>
      <c r="AU31" s="2">
        <v>0.92513319999999999</v>
      </c>
      <c r="AV31" s="1" t="s">
        <v>6</v>
      </c>
      <c r="AW31" s="3">
        <v>1.22</v>
      </c>
      <c r="AX31" s="3">
        <v>206.4203</v>
      </c>
      <c r="AY31" s="2">
        <v>39.520310000000002</v>
      </c>
      <c r="AZ31" s="2">
        <v>7.443791</v>
      </c>
      <c r="BA31" s="2">
        <v>40.86627</v>
      </c>
      <c r="BB31" s="2">
        <v>10.49291</v>
      </c>
      <c r="BC31" s="2">
        <v>15.766819999999999</v>
      </c>
      <c r="BD31" s="3">
        <v>125.95</v>
      </c>
      <c r="BE31" s="2">
        <v>17.46725</v>
      </c>
      <c r="BF31" s="3">
        <v>192.75</v>
      </c>
      <c r="BG31" s="2">
        <v>-23.242550000000001</v>
      </c>
      <c r="BH31" s="2">
        <v>3.1932779999999998</v>
      </c>
      <c r="BI31" s="2">
        <v>3.1111260000000001</v>
      </c>
      <c r="BJ31" s="2">
        <v>25.406330000000001</v>
      </c>
      <c r="BK31" s="2">
        <v>27.327539999999999</v>
      </c>
      <c r="BL31" s="2">
        <v>21</v>
      </c>
      <c r="BM31" s="2">
        <v>17</v>
      </c>
      <c r="BN31" s="4">
        <v>25</v>
      </c>
      <c r="BO31" s="4">
        <v>1</v>
      </c>
      <c r="BP31" s="4">
        <v>1</v>
      </c>
      <c r="BQ31" s="4">
        <v>24</v>
      </c>
      <c r="BR31" s="2">
        <v>3.8461539999999999</v>
      </c>
      <c r="BS31" s="4">
        <v>20</v>
      </c>
      <c r="BT31" s="4">
        <v>0</v>
      </c>
      <c r="BU31" s="4">
        <v>25</v>
      </c>
      <c r="BV31" s="2">
        <v>80</v>
      </c>
      <c r="BW31" s="2">
        <v>11.4825</v>
      </c>
      <c r="BX31" s="2">
        <v>176.67179999999999</v>
      </c>
      <c r="BY31" s="3">
        <v>0.20789569999999999</v>
      </c>
      <c r="BZ31" s="3">
        <v>0.1176734</v>
      </c>
      <c r="CA31" s="2">
        <v>1.2960700000000001</v>
      </c>
      <c r="CB31" s="3">
        <v>0.1176734</v>
      </c>
      <c r="CC31" s="3">
        <v>4.5433750000000002</v>
      </c>
      <c r="CD31" s="3">
        <v>4.8881170000000003</v>
      </c>
      <c r="CE31" s="2">
        <v>7.58779</v>
      </c>
      <c r="CF31" s="3">
        <v>1337.15</v>
      </c>
      <c r="CG31" s="3">
        <v>1336.528</v>
      </c>
      <c r="CH31" s="2">
        <v>-4.653931E-2</v>
      </c>
      <c r="CI31" s="3">
        <v>203.74340000000001</v>
      </c>
      <c r="CJ31" s="2">
        <v>1.3138650000000001</v>
      </c>
      <c r="CK31" s="3">
        <v>11041.44</v>
      </c>
      <c r="CL31" s="3">
        <v>11222.07</v>
      </c>
      <c r="CM31" s="2">
        <v>1.6359090000000001</v>
      </c>
      <c r="CN31" s="3">
        <v>166.84899999999999</v>
      </c>
      <c r="CO31" s="3">
        <v>158.57650000000001</v>
      </c>
      <c r="CP31" s="3">
        <v>151.8981</v>
      </c>
      <c r="CQ31" s="2">
        <v>-11.32701</v>
      </c>
      <c r="CR31" s="2">
        <v>-6.7011710000000004</v>
      </c>
      <c r="CS31" s="2">
        <v>-2.5991680000000001</v>
      </c>
      <c r="CT31" s="2">
        <v>-4.9580869999999999</v>
      </c>
      <c r="CU31" s="2">
        <v>26.933489999999999</v>
      </c>
      <c r="CV31" s="3">
        <v>0.1030411</v>
      </c>
      <c r="CW31" s="2" t="e">
        <v>#N/A</v>
      </c>
      <c r="CX31" s="2">
        <v>4.9950460000000003</v>
      </c>
      <c r="CY31" s="2" t="e">
        <v>#N/A</v>
      </c>
      <c r="CZ31" s="2">
        <v>24.347370000000002</v>
      </c>
    </row>
    <row r="32" spans="1:104" ht="15" customHeight="1" x14ac:dyDescent="0.2">
      <c r="A32" s="1">
        <f t="shared" si="0"/>
        <v>26</v>
      </c>
      <c r="B32" s="1" t="s">
        <v>93</v>
      </c>
      <c r="C32" s="1" t="s">
        <v>92</v>
      </c>
      <c r="D32" s="1" t="s">
        <v>40</v>
      </c>
      <c r="E32" s="1" t="s">
        <v>32</v>
      </c>
      <c r="F32" s="1" t="s">
        <v>94</v>
      </c>
      <c r="G32" s="2">
        <v>30096</v>
      </c>
      <c r="H32" s="2">
        <v>88.212100000000007</v>
      </c>
      <c r="I32" s="2">
        <v>26548.31</v>
      </c>
      <c r="J32" s="3">
        <v>167.2</v>
      </c>
      <c r="K32" s="3">
        <v>0</v>
      </c>
      <c r="L32" s="2">
        <v>0.41866029999999999</v>
      </c>
      <c r="M32" s="2">
        <v>0.27511960000000002</v>
      </c>
      <c r="N32" s="2">
        <v>0.99880380000000002</v>
      </c>
      <c r="O32" s="2">
        <v>1.9810859999999999</v>
      </c>
      <c r="P32" s="2">
        <v>133.76</v>
      </c>
      <c r="Q32" s="2" t="e">
        <v>#N/A</v>
      </c>
      <c r="R32" s="2">
        <v>39.156910000000003</v>
      </c>
      <c r="S32" s="2">
        <v>21.22992</v>
      </c>
      <c r="T32" s="2">
        <v>13.32179</v>
      </c>
      <c r="U32" s="2">
        <v>24.923449999999999</v>
      </c>
      <c r="V32" s="2">
        <v>13.367000000000001</v>
      </c>
      <c r="W32" s="2">
        <v>9.8353420000000007</v>
      </c>
      <c r="X32" s="2">
        <v>6.1380319999999999</v>
      </c>
      <c r="Y32" s="2">
        <v>6.1223000000000001</v>
      </c>
      <c r="Z32" s="2">
        <v>5.3290829999999998</v>
      </c>
      <c r="AA32" s="2">
        <v>4.4521369999999996</v>
      </c>
      <c r="AB32" s="2" t="e">
        <v>#N/A</v>
      </c>
      <c r="AC32" s="2">
        <v>14.35201</v>
      </c>
      <c r="AD32" s="2">
        <v>13.822900000000001</v>
      </c>
      <c r="AE32" s="2">
        <v>11.61111</v>
      </c>
      <c r="AF32" s="2">
        <v>3.1429969999999998</v>
      </c>
      <c r="AG32" s="2">
        <v>3.341002</v>
      </c>
      <c r="AH32" s="2">
        <v>4.643548</v>
      </c>
      <c r="AI32" s="2">
        <v>3.3981319999999999</v>
      </c>
      <c r="AJ32" s="2">
        <v>3.6333319999999998</v>
      </c>
      <c r="AK32" s="2">
        <v>5.0270149999999996</v>
      </c>
      <c r="AL32" s="3">
        <v>56.372970000000002</v>
      </c>
      <c r="AM32" s="3">
        <v>0.49076769999999997</v>
      </c>
      <c r="AN32" s="2">
        <v>8.5424900000000008</v>
      </c>
      <c r="AO32" s="2">
        <v>6.0418830000000003</v>
      </c>
      <c r="AP32" s="2">
        <v>10.492380000000001</v>
      </c>
      <c r="AQ32" s="2">
        <v>13.017160000000001</v>
      </c>
      <c r="AR32" s="2">
        <v>1.3910560000000001</v>
      </c>
      <c r="AS32" s="2">
        <v>1.8712770000000001</v>
      </c>
      <c r="AT32" s="2">
        <v>1.0754779999999999</v>
      </c>
      <c r="AU32" s="2">
        <v>0.75025339999999996</v>
      </c>
      <c r="AV32" s="1" t="s">
        <v>95</v>
      </c>
      <c r="AW32" s="3">
        <v>1.774194</v>
      </c>
      <c r="AX32" s="3">
        <v>191.05160000000001</v>
      </c>
      <c r="AY32" s="2">
        <v>14.265320000000001</v>
      </c>
      <c r="AZ32" s="2">
        <v>-0.86749549999999997</v>
      </c>
      <c r="BA32" s="2">
        <v>79.599999999999994</v>
      </c>
      <c r="BB32" s="2">
        <v>68.923010000000005</v>
      </c>
      <c r="BC32" s="2">
        <v>31.1784</v>
      </c>
      <c r="BD32" s="3">
        <v>93.4</v>
      </c>
      <c r="BE32" s="2">
        <v>79.014979999999994</v>
      </c>
      <c r="BF32" s="3">
        <v>188.6</v>
      </c>
      <c r="BG32" s="2">
        <v>-11.346769999999999</v>
      </c>
      <c r="BH32" s="2">
        <v>63.858759999999997</v>
      </c>
      <c r="BI32" s="2">
        <v>1082.1769999999999</v>
      </c>
      <c r="BJ32" s="2">
        <v>38.443060000000003</v>
      </c>
      <c r="BK32" s="2">
        <v>39.457900000000002</v>
      </c>
      <c r="BL32" s="2">
        <v>28</v>
      </c>
      <c r="BM32" s="2">
        <v>27</v>
      </c>
      <c r="BN32" s="4">
        <v>31</v>
      </c>
      <c r="BO32" s="4">
        <v>4</v>
      </c>
      <c r="BP32" s="4">
        <v>0</v>
      </c>
      <c r="BQ32" s="4">
        <v>31</v>
      </c>
      <c r="BR32" s="2">
        <v>11.428570000000001</v>
      </c>
      <c r="BS32" s="4">
        <v>12</v>
      </c>
      <c r="BT32" s="4">
        <v>5</v>
      </c>
      <c r="BU32" s="4">
        <v>31</v>
      </c>
      <c r="BV32" s="2">
        <v>38.709670000000003</v>
      </c>
      <c r="BW32" s="2">
        <v>10.228199999999999</v>
      </c>
      <c r="BX32" s="2">
        <v>180</v>
      </c>
      <c r="BY32" s="3">
        <v>0.57044349999999999</v>
      </c>
      <c r="BZ32" s="3">
        <v>0.3169131</v>
      </c>
      <c r="CA32" s="2">
        <v>0.912887</v>
      </c>
      <c r="CB32" s="3">
        <v>0.3169131</v>
      </c>
      <c r="CC32" s="3">
        <v>-1.5790390000000001</v>
      </c>
      <c r="CD32" s="3">
        <v>3.8087490000000002E-2</v>
      </c>
      <c r="CE32" s="2">
        <v>-102.4121</v>
      </c>
      <c r="CF32" s="3">
        <v>-68.949380000000005</v>
      </c>
      <c r="CG32" s="3">
        <v>236.96969999999999</v>
      </c>
      <c r="CH32" s="2">
        <v>-443.6866</v>
      </c>
      <c r="CI32" s="3">
        <v>177.33930000000001</v>
      </c>
      <c r="CJ32" s="2">
        <v>7.7322600000000001</v>
      </c>
      <c r="CK32" s="3">
        <v>21348.61</v>
      </c>
      <c r="CL32" s="3">
        <v>21702.63</v>
      </c>
      <c r="CM32" s="2">
        <v>1.658261</v>
      </c>
      <c r="CN32" s="3">
        <v>163.64279999999999</v>
      </c>
      <c r="CO32" s="3">
        <v>170.89019999999999</v>
      </c>
      <c r="CP32" s="3">
        <v>166.46080000000001</v>
      </c>
      <c r="CQ32" s="2">
        <v>2.1737690000000001</v>
      </c>
      <c r="CR32" s="2">
        <v>-2.1594169999999999</v>
      </c>
      <c r="CS32" s="2">
        <v>0.44407839999999998</v>
      </c>
      <c r="CT32" s="2">
        <v>4.4288280000000002</v>
      </c>
      <c r="CU32" s="2">
        <v>83.22251</v>
      </c>
      <c r="CV32" s="3">
        <v>0.27652349999999998</v>
      </c>
      <c r="CW32" s="2" t="e">
        <v>#N/A</v>
      </c>
      <c r="CX32" s="2">
        <v>2.4396819999999999</v>
      </c>
      <c r="CY32" s="2">
        <v>173.96080000000001</v>
      </c>
      <c r="CZ32" s="2">
        <v>24.626259999999998</v>
      </c>
    </row>
    <row r="33" spans="1:104" ht="15" customHeight="1" x14ac:dyDescent="0.2">
      <c r="A33" s="1">
        <f t="shared" si="0"/>
        <v>27</v>
      </c>
      <c r="B33" s="1" t="s">
        <v>97</v>
      </c>
      <c r="C33" s="1" t="s">
        <v>96</v>
      </c>
      <c r="D33" s="1" t="s">
        <v>14</v>
      </c>
      <c r="E33" s="1" t="s">
        <v>4</v>
      </c>
      <c r="F33" s="1" t="s">
        <v>62</v>
      </c>
      <c r="G33" s="2">
        <v>63042.75</v>
      </c>
      <c r="H33" s="2">
        <v>91.745500000000007</v>
      </c>
      <c r="I33" s="2">
        <v>57838.89</v>
      </c>
      <c r="J33" s="3">
        <v>27.954999999999998</v>
      </c>
      <c r="K33" s="3">
        <v>0</v>
      </c>
      <c r="L33" s="2">
        <v>6.0812020000000002</v>
      </c>
      <c r="M33" s="2">
        <v>6.6410299999999998</v>
      </c>
      <c r="N33" s="2">
        <v>7.2250750000000004</v>
      </c>
      <c r="O33" s="2">
        <v>7.7982480000000001</v>
      </c>
      <c r="P33" s="2">
        <v>9.0762990000000006</v>
      </c>
      <c r="Q33" s="2">
        <v>8.1739759999999997</v>
      </c>
      <c r="R33" s="2">
        <v>7.7185959999999998</v>
      </c>
      <c r="S33" s="2">
        <v>7.2799480000000001</v>
      </c>
      <c r="T33" s="2">
        <v>8.7060910000000007</v>
      </c>
      <c r="U33" s="2">
        <v>7.6894689999999999</v>
      </c>
      <c r="V33" s="2">
        <v>7.2542330000000002</v>
      </c>
      <c r="W33" s="2">
        <v>7.0742339999999997</v>
      </c>
      <c r="X33" s="2">
        <v>1.4161600000000001</v>
      </c>
      <c r="Y33" s="2">
        <v>1.3271200000000001</v>
      </c>
      <c r="Z33" s="2">
        <v>1.239859</v>
      </c>
      <c r="AA33" s="2">
        <v>1.169062</v>
      </c>
      <c r="AB33" s="2">
        <v>10.35172</v>
      </c>
      <c r="AC33" s="2">
        <v>9.2843110000000006</v>
      </c>
      <c r="AD33" s="2">
        <v>8.2202140000000004</v>
      </c>
      <c r="AE33" s="2" t="e">
        <v>#N/A</v>
      </c>
      <c r="AF33" s="2">
        <v>5.0589329999999997</v>
      </c>
      <c r="AG33" s="2">
        <v>5.3091030000000003</v>
      </c>
      <c r="AH33" s="2">
        <v>5.5604380000000004</v>
      </c>
      <c r="AI33" s="2">
        <v>6.1161750000000001</v>
      </c>
      <c r="AJ33" s="2">
        <v>6.4186269999999999</v>
      </c>
      <c r="AK33" s="2">
        <v>6.7224870000000001</v>
      </c>
      <c r="AL33" s="3">
        <v>0.35338459999999999</v>
      </c>
      <c r="AM33" s="3">
        <v>0.32642670000000001</v>
      </c>
      <c r="AN33" s="2">
        <v>8.7420010000000001</v>
      </c>
      <c r="AO33" s="2">
        <v>14.572100000000001</v>
      </c>
      <c r="AP33" s="2">
        <v>15.00511</v>
      </c>
      <c r="AQ33" s="2">
        <v>14.665279999999999</v>
      </c>
      <c r="AR33" s="2">
        <v>1.8589469999999999</v>
      </c>
      <c r="AS33" s="2">
        <v>1.3292010000000001</v>
      </c>
      <c r="AT33" s="2">
        <v>1.2539659999999999</v>
      </c>
      <c r="AU33" s="2">
        <v>1.2228520000000001</v>
      </c>
      <c r="AV33" s="1" t="s">
        <v>6</v>
      </c>
      <c r="AW33" s="3">
        <v>1.1578949999999999</v>
      </c>
      <c r="AX33" s="3">
        <v>33.75</v>
      </c>
      <c r="AY33" s="2">
        <v>20.72974</v>
      </c>
      <c r="AZ33" s="2">
        <v>16.235910000000001</v>
      </c>
      <c r="BA33" s="2">
        <v>23.51427</v>
      </c>
      <c r="BB33" s="2">
        <v>11.819990000000001</v>
      </c>
      <c r="BC33" s="2">
        <v>7.2922710000000004</v>
      </c>
      <c r="BD33" s="3">
        <v>24.6</v>
      </c>
      <c r="BE33" s="2">
        <v>13.638210000000001</v>
      </c>
      <c r="BF33" s="3">
        <v>30.34</v>
      </c>
      <c r="BG33" s="2">
        <v>-7.8609109999999998</v>
      </c>
      <c r="BH33" s="2">
        <v>54.68535</v>
      </c>
      <c r="BI33" s="2">
        <v>55.041049999999998</v>
      </c>
      <c r="BJ33" s="2">
        <v>55.250920000000001</v>
      </c>
      <c r="BK33" s="2">
        <v>55.219940000000001</v>
      </c>
      <c r="BL33" s="2">
        <v>18</v>
      </c>
      <c r="BM33" s="2">
        <v>7</v>
      </c>
      <c r="BN33" s="4">
        <v>19</v>
      </c>
      <c r="BO33" s="4">
        <v>1</v>
      </c>
      <c r="BP33" s="4">
        <v>0</v>
      </c>
      <c r="BQ33" s="4">
        <v>19</v>
      </c>
      <c r="BR33" s="2">
        <v>5</v>
      </c>
      <c r="BS33" s="4">
        <v>17</v>
      </c>
      <c r="BT33" s="4">
        <v>0</v>
      </c>
      <c r="BU33" s="4">
        <v>19</v>
      </c>
      <c r="BV33" s="2">
        <v>89.473690000000005</v>
      </c>
      <c r="BW33" s="2">
        <v>9.8638499999999993</v>
      </c>
      <c r="BX33" s="2">
        <v>2255.1509999999998</v>
      </c>
      <c r="BY33" s="3">
        <v>3.98414</v>
      </c>
      <c r="BZ33" s="3">
        <v>0.1766684</v>
      </c>
      <c r="CA33" s="2">
        <v>1.4391499999999999</v>
      </c>
      <c r="CB33" s="3">
        <v>0.1766684</v>
      </c>
      <c r="CC33" s="3">
        <v>3.3601760000000001</v>
      </c>
      <c r="CD33" s="3">
        <v>3.3641890000000001</v>
      </c>
      <c r="CE33" s="2">
        <v>0.1194477</v>
      </c>
      <c r="CF33" s="3">
        <v>8829.34</v>
      </c>
      <c r="CG33" s="3">
        <v>8869.4850000000006</v>
      </c>
      <c r="CH33" s="2">
        <v>0.45468809999999998</v>
      </c>
      <c r="CI33" s="3">
        <v>33.427959999999999</v>
      </c>
      <c r="CJ33" s="2">
        <v>0.96337799999999996</v>
      </c>
      <c r="CK33" s="3">
        <v>103278</v>
      </c>
      <c r="CL33" s="3">
        <v>66242.19</v>
      </c>
      <c r="CM33" s="2">
        <v>-35.860309999999998</v>
      </c>
      <c r="CN33" s="3">
        <v>27.84759</v>
      </c>
      <c r="CO33" s="3">
        <v>28.021170000000001</v>
      </c>
      <c r="CP33" s="3">
        <v>27.865970000000001</v>
      </c>
      <c r="CQ33" s="2">
        <v>0.3857255</v>
      </c>
      <c r="CR33" s="2">
        <v>-0.23615359999999999</v>
      </c>
      <c r="CS33" s="2">
        <v>0.31950469999999997</v>
      </c>
      <c r="CT33" s="2">
        <v>0.62334540000000005</v>
      </c>
      <c r="CU33" s="2">
        <v>81.591710000000006</v>
      </c>
      <c r="CV33" s="3">
        <v>0.1294228</v>
      </c>
      <c r="CW33" s="2" t="e">
        <v>#N/A</v>
      </c>
      <c r="CX33" s="2" t="e">
        <v>#N/A</v>
      </c>
      <c r="CY33" s="2" t="e">
        <v>#N/A</v>
      </c>
      <c r="CZ33" s="2">
        <v>25.282830000000001</v>
      </c>
    </row>
    <row r="34" spans="1:104" ht="15" customHeight="1" x14ac:dyDescent="0.2">
      <c r="A34" s="1">
        <f t="shared" si="0"/>
        <v>28</v>
      </c>
      <c r="B34" s="1" t="s">
        <v>99</v>
      </c>
      <c r="C34" s="1" t="s">
        <v>98</v>
      </c>
      <c r="D34" s="1" t="s">
        <v>24</v>
      </c>
      <c r="E34" s="1" t="s">
        <v>100</v>
      </c>
      <c r="F34" s="1" t="s">
        <v>101</v>
      </c>
      <c r="G34" s="2">
        <v>70292.02</v>
      </c>
      <c r="H34" s="2">
        <v>54.635300000000001</v>
      </c>
      <c r="I34" s="2">
        <v>38404.25</v>
      </c>
      <c r="J34" s="3">
        <v>26.43</v>
      </c>
      <c r="K34" s="3">
        <v>0</v>
      </c>
      <c r="L34" s="2">
        <v>0.28230260000000001</v>
      </c>
      <c r="M34" s="2">
        <v>0.29561310000000002</v>
      </c>
      <c r="N34" s="2">
        <v>0.2863636</v>
      </c>
      <c r="O34" s="2">
        <v>0.21806300000000001</v>
      </c>
      <c r="P34" s="2">
        <v>34.072519999999997</v>
      </c>
      <c r="Q34" s="2">
        <v>15.42348</v>
      </c>
      <c r="R34" s="2">
        <v>12.197240000000001</v>
      </c>
      <c r="S34" s="2">
        <v>9.5133100000000006</v>
      </c>
      <c r="T34" s="2" t="e">
        <v>#N/A</v>
      </c>
      <c r="U34" s="2" t="e">
        <v>#N/A</v>
      </c>
      <c r="V34" s="2">
        <v>1701.538</v>
      </c>
      <c r="W34" s="2">
        <v>295.5829</v>
      </c>
      <c r="X34" s="2">
        <v>1.645613</v>
      </c>
      <c r="Y34" s="2">
        <v>1.555509</v>
      </c>
      <c r="Z34" s="2">
        <v>1.4781219999999999</v>
      </c>
      <c r="AA34" s="2">
        <v>1.2669619999999999</v>
      </c>
      <c r="AB34" s="2" t="e">
        <v>#N/A</v>
      </c>
      <c r="AC34" s="2">
        <v>608.49040000000002</v>
      </c>
      <c r="AD34" s="2">
        <v>168.92859999999999</v>
      </c>
      <c r="AE34" s="2">
        <v>117.9145</v>
      </c>
      <c r="AF34" s="2">
        <v>-0.65937179999999995</v>
      </c>
      <c r="AG34" s="2">
        <v>-0.1228626</v>
      </c>
      <c r="AH34" s="2">
        <v>0.38326070000000001</v>
      </c>
      <c r="AI34" s="2">
        <v>-0.65904549999999995</v>
      </c>
      <c r="AJ34" s="2">
        <v>-0.1226172</v>
      </c>
      <c r="AK34" s="2">
        <v>0.38396930000000001</v>
      </c>
      <c r="AL34" s="3" t="e">
        <v>#N/A</v>
      </c>
      <c r="AM34" s="3" t="e">
        <v>#N/A</v>
      </c>
      <c r="AN34" s="2">
        <v>-8.2063880000000005</v>
      </c>
      <c r="AO34" s="2">
        <v>-3.9710510000000001</v>
      </c>
      <c r="AP34" s="2">
        <v>0.63250740000000005</v>
      </c>
      <c r="AQ34" s="2">
        <v>3.2078090000000001</v>
      </c>
      <c r="AR34" s="2">
        <v>4.1916170000000003E-2</v>
      </c>
      <c r="AS34" s="2">
        <v>0.15630060000000001</v>
      </c>
      <c r="AT34" s="2">
        <v>-3.4040699999999999</v>
      </c>
      <c r="AU34" s="2">
        <v>0.54517110000000002</v>
      </c>
      <c r="AV34" s="1" t="s">
        <v>6</v>
      </c>
      <c r="AW34" s="3">
        <v>1.210526</v>
      </c>
      <c r="AX34" s="3">
        <v>40.754579999999997</v>
      </c>
      <c r="AY34" s="2">
        <v>54.198169999999998</v>
      </c>
      <c r="AZ34" s="2">
        <v>10.085330000000001</v>
      </c>
      <c r="BA34" s="2" t="e">
        <v>#N/A</v>
      </c>
      <c r="BB34" s="2">
        <v>30.80564</v>
      </c>
      <c r="BC34" s="2">
        <v>-10.61783</v>
      </c>
      <c r="BD34" s="3">
        <v>19.521940000000001</v>
      </c>
      <c r="BE34" s="2">
        <v>35.386150000000001</v>
      </c>
      <c r="BF34" s="3">
        <v>36.414960000000001</v>
      </c>
      <c r="BG34" s="2">
        <v>-27.419930000000001</v>
      </c>
      <c r="BH34" s="2">
        <v>6.4989140000000001</v>
      </c>
      <c r="BI34" s="2">
        <v>4.2951370000000004</v>
      </c>
      <c r="BJ34" s="2">
        <v>3.1693600000000002</v>
      </c>
      <c r="BK34" s="2">
        <v>2.5433370000000002</v>
      </c>
      <c r="BL34" s="2">
        <v>14</v>
      </c>
      <c r="BM34" s="2">
        <v>14</v>
      </c>
      <c r="BN34" s="4">
        <v>19</v>
      </c>
      <c r="BO34" s="4">
        <v>1</v>
      </c>
      <c r="BP34" s="4">
        <v>0</v>
      </c>
      <c r="BQ34" s="4">
        <v>19</v>
      </c>
      <c r="BR34" s="2">
        <v>5</v>
      </c>
      <c r="BS34" s="4">
        <v>16</v>
      </c>
      <c r="BT34" s="4">
        <v>0</v>
      </c>
      <c r="BU34" s="4">
        <v>19</v>
      </c>
      <c r="BV34" s="2">
        <v>84.210530000000006</v>
      </c>
      <c r="BW34" s="2">
        <v>12.230399999999999</v>
      </c>
      <c r="BX34" s="2">
        <v>2659.5540000000001</v>
      </c>
      <c r="BY34" s="3">
        <v>4.0591920000000004</v>
      </c>
      <c r="BZ34" s="3">
        <v>0.15262680000000001</v>
      </c>
      <c r="CA34" s="2">
        <v>0.67943699999999996</v>
      </c>
      <c r="CB34" s="3">
        <v>0.15262680000000001</v>
      </c>
      <c r="CC34" s="3">
        <v>1.374009</v>
      </c>
      <c r="CD34" s="3">
        <v>1.6763330000000001</v>
      </c>
      <c r="CE34" s="2">
        <v>22.00309</v>
      </c>
      <c r="CF34" s="3">
        <v>-442.53160000000003</v>
      </c>
      <c r="CG34" s="3">
        <v>-87.317620000000005</v>
      </c>
      <c r="CH34" s="2">
        <v>-80.268619999999999</v>
      </c>
      <c r="CI34" s="3">
        <v>41.209679999999999</v>
      </c>
      <c r="CJ34" s="2">
        <v>-1.104355</v>
      </c>
      <c r="CK34" s="3">
        <v>5986.5010000000002</v>
      </c>
      <c r="CL34" s="3">
        <v>5975.1509999999998</v>
      </c>
      <c r="CM34" s="2">
        <v>-0.1895964</v>
      </c>
      <c r="CN34" s="3">
        <v>30.531099999999999</v>
      </c>
      <c r="CO34" s="3">
        <v>28.177800000000001</v>
      </c>
      <c r="CP34" s="3">
        <v>27.229620000000001</v>
      </c>
      <c r="CQ34" s="2">
        <v>-13.43253</v>
      </c>
      <c r="CR34" s="2">
        <v>-6.2027510000000001</v>
      </c>
      <c r="CS34" s="2">
        <v>-2.936566</v>
      </c>
      <c r="CT34" s="2">
        <v>-7.7078699999999998</v>
      </c>
      <c r="CU34" s="2">
        <v>91.849670000000003</v>
      </c>
      <c r="CV34" s="3">
        <v>0.1306687</v>
      </c>
      <c r="CW34" s="2" t="e">
        <v>#N/A</v>
      </c>
      <c r="CX34" s="2" t="e">
        <v>#N/A</v>
      </c>
      <c r="CY34" s="2" t="e">
        <v>#N/A</v>
      </c>
      <c r="CZ34" s="2">
        <v>25.343440000000001</v>
      </c>
    </row>
    <row r="35" spans="1:104" ht="15" customHeight="1" x14ac:dyDescent="0.2">
      <c r="A35" s="1">
        <f t="shared" si="0"/>
        <v>29</v>
      </c>
      <c r="B35" s="1" t="s">
        <v>103</v>
      </c>
      <c r="C35" s="1" t="s">
        <v>102</v>
      </c>
      <c r="D35" s="1" t="s">
        <v>14</v>
      </c>
      <c r="E35" s="1" t="s">
        <v>104</v>
      </c>
      <c r="F35" s="1" t="s">
        <v>105</v>
      </c>
      <c r="G35" s="2">
        <v>108391.9</v>
      </c>
      <c r="H35" s="2">
        <v>89.623099999999994</v>
      </c>
      <c r="I35" s="2">
        <v>97144.17</v>
      </c>
      <c r="J35" s="3">
        <v>85.7</v>
      </c>
      <c r="K35" s="3">
        <v>0</v>
      </c>
      <c r="L35" s="2">
        <v>4.154026</v>
      </c>
      <c r="M35" s="2">
        <v>4.2357060000000004</v>
      </c>
      <c r="N35" s="2">
        <v>4.407006</v>
      </c>
      <c r="O35" s="2">
        <v>4.672714</v>
      </c>
      <c r="P35" s="2">
        <v>10.375299999999999</v>
      </c>
      <c r="Q35" s="2">
        <v>10.47677</v>
      </c>
      <c r="R35" s="2">
        <v>10.57372</v>
      </c>
      <c r="S35" s="2">
        <v>9.0305590000000002</v>
      </c>
      <c r="T35" s="2">
        <v>8.2580139999999993</v>
      </c>
      <c r="U35" s="2">
        <v>7.9634200000000002</v>
      </c>
      <c r="V35" s="2">
        <v>7.3508959999999997</v>
      </c>
      <c r="W35" s="2">
        <v>6.1467340000000004</v>
      </c>
      <c r="X35" s="2">
        <v>1.4736480000000001</v>
      </c>
      <c r="Y35" s="2">
        <v>1.3800319999999999</v>
      </c>
      <c r="Z35" s="2">
        <v>1.314619</v>
      </c>
      <c r="AA35" s="2">
        <v>1.2245569999999999</v>
      </c>
      <c r="AB35" s="2">
        <v>9.9709859999999999</v>
      </c>
      <c r="AC35" s="2">
        <v>9.5082599999999999</v>
      </c>
      <c r="AD35" s="2">
        <v>9.3393110000000004</v>
      </c>
      <c r="AE35" s="2">
        <v>8.3329310000000003</v>
      </c>
      <c r="AF35" s="2">
        <v>7.6043500000000002</v>
      </c>
      <c r="AG35" s="2">
        <v>8.3781389999999991</v>
      </c>
      <c r="AH35" s="2">
        <v>10.050380000000001</v>
      </c>
      <c r="AI35" s="2">
        <v>7.9443299999999999</v>
      </c>
      <c r="AJ35" s="2">
        <v>8.3773440000000008</v>
      </c>
      <c r="AK35" s="2">
        <v>9.5824180000000005</v>
      </c>
      <c r="AL35" s="3">
        <v>2.3575650000000001</v>
      </c>
      <c r="AM35" s="3">
        <v>2.3378700000000001</v>
      </c>
      <c r="AN35" s="2">
        <v>32.569560000000003</v>
      </c>
      <c r="AO35" s="2">
        <v>30.825410000000002</v>
      </c>
      <c r="AP35" s="2">
        <v>30.679220000000001</v>
      </c>
      <c r="AQ35" s="2">
        <v>33.14049</v>
      </c>
      <c r="AR35" s="2">
        <v>0.55516469999999996</v>
      </c>
      <c r="AS35" s="2">
        <v>0.34079779999999998</v>
      </c>
      <c r="AT35" s="2">
        <v>-6.9709519999999997E-4</v>
      </c>
      <c r="AU35" s="2">
        <v>-0.30017670000000002</v>
      </c>
      <c r="AV35" s="1" t="s">
        <v>6</v>
      </c>
      <c r="AW35" s="3">
        <v>1.4090910000000001</v>
      </c>
      <c r="AX35" s="3">
        <v>105</v>
      </c>
      <c r="AY35" s="2">
        <v>22.520420000000001</v>
      </c>
      <c r="AZ35" s="2">
        <v>13.1723</v>
      </c>
      <c r="BA35" s="2">
        <v>4</v>
      </c>
      <c r="BB35" s="2">
        <v>-1.86649</v>
      </c>
      <c r="BC35" s="2">
        <v>-4.6081899999999996</v>
      </c>
      <c r="BD35" s="3">
        <v>80.599999999999994</v>
      </c>
      <c r="BE35" s="2">
        <v>6.3275459999999999</v>
      </c>
      <c r="BF35" s="3">
        <v>105.18</v>
      </c>
      <c r="BG35" s="2">
        <v>-18.52064</v>
      </c>
      <c r="BH35" s="2">
        <v>42.869250000000001</v>
      </c>
      <c r="BI35" s="2">
        <v>44.404040000000002</v>
      </c>
      <c r="BJ35" s="2">
        <v>45.545380000000002</v>
      </c>
      <c r="BK35" s="2">
        <v>43.497199999999999</v>
      </c>
      <c r="BL35" s="2">
        <v>20</v>
      </c>
      <c r="BM35" s="2">
        <v>19</v>
      </c>
      <c r="BN35" s="4">
        <v>22</v>
      </c>
      <c r="BO35" s="4">
        <v>2</v>
      </c>
      <c r="BP35" s="4">
        <v>0</v>
      </c>
      <c r="BQ35" s="4">
        <v>19</v>
      </c>
      <c r="BR35" s="2">
        <v>9.523809</v>
      </c>
      <c r="BS35" s="4">
        <v>15</v>
      </c>
      <c r="BT35" s="4">
        <v>1</v>
      </c>
      <c r="BU35" s="4">
        <v>22</v>
      </c>
      <c r="BV35" s="2">
        <v>68.181820000000002</v>
      </c>
      <c r="BW35" s="2">
        <v>5.8245899999999997</v>
      </c>
      <c r="BX35" s="2">
        <v>1264.7829999999999</v>
      </c>
      <c r="BY35" s="3">
        <v>1.598168</v>
      </c>
      <c r="BZ35" s="3">
        <v>0.1263591</v>
      </c>
      <c r="CA35" s="2">
        <v>0.51793800000000001</v>
      </c>
      <c r="CB35" s="3">
        <v>0.1263591</v>
      </c>
      <c r="CC35" s="3">
        <v>8.2168609999999997</v>
      </c>
      <c r="CD35" s="3">
        <v>8.2013569999999998</v>
      </c>
      <c r="CE35" s="2">
        <v>-0.1886845</v>
      </c>
      <c r="CF35" s="3">
        <v>12624.18</v>
      </c>
      <c r="CG35" s="3">
        <v>12680.54</v>
      </c>
      <c r="CH35" s="2">
        <v>0.4464746</v>
      </c>
      <c r="CI35" s="3">
        <v>111.36360000000001</v>
      </c>
      <c r="CJ35" s="2">
        <v>-5.7142619999999997</v>
      </c>
      <c r="CK35" s="3">
        <v>45252.26</v>
      </c>
      <c r="CL35" s="3">
        <v>45264.2</v>
      </c>
      <c r="CM35" s="2">
        <v>2.639294E-2</v>
      </c>
      <c r="CN35" s="3">
        <v>96.661159999999995</v>
      </c>
      <c r="CO35" s="3">
        <v>99.998249999999999</v>
      </c>
      <c r="CP35" s="3">
        <v>99.566519999999997</v>
      </c>
      <c r="CQ35" s="2">
        <v>-11.339779999999999</v>
      </c>
      <c r="CR35" s="2">
        <v>-14.298500000000001</v>
      </c>
      <c r="CS35" s="2">
        <v>-13.92689</v>
      </c>
      <c r="CT35" s="2">
        <v>3.4523609999999998</v>
      </c>
      <c r="CU35" s="2">
        <v>144.95079999999999</v>
      </c>
      <c r="CV35" s="3">
        <v>0.1337285</v>
      </c>
      <c r="CW35" s="2">
        <v>-2.0514589999999999</v>
      </c>
      <c r="CX35" s="2">
        <v>1.7967960000000001</v>
      </c>
      <c r="CY35" s="2">
        <v>-0.22247690000000001</v>
      </c>
      <c r="CZ35" s="2">
        <v>25.676770000000001</v>
      </c>
    </row>
    <row r="36" spans="1:104" ht="15" customHeight="1" x14ac:dyDescent="0.2">
      <c r="A36" s="1">
        <f t="shared" si="0"/>
        <v>30</v>
      </c>
      <c r="B36" s="1" t="s">
        <v>107</v>
      </c>
      <c r="C36" s="1" t="s">
        <v>106</v>
      </c>
      <c r="D36" s="1" t="s">
        <v>40</v>
      </c>
      <c r="E36" s="1" t="s">
        <v>77</v>
      </c>
      <c r="F36" s="1" t="s">
        <v>108</v>
      </c>
      <c r="G36" s="2">
        <v>99968</v>
      </c>
      <c r="H36" s="2">
        <v>85.961699999999993</v>
      </c>
      <c r="I36" s="2">
        <v>85934.19</v>
      </c>
      <c r="J36" s="3">
        <v>124.96</v>
      </c>
      <c r="K36" s="3">
        <v>0</v>
      </c>
      <c r="L36" s="2">
        <v>3.4010880000000001</v>
      </c>
      <c r="M36" s="2">
        <v>3.6011519999999999</v>
      </c>
      <c r="N36" s="2">
        <v>3.8012169999999998</v>
      </c>
      <c r="O36" s="2">
        <v>4.0012800000000004</v>
      </c>
      <c r="P36" s="2">
        <v>27.047619999999998</v>
      </c>
      <c r="Q36" s="2">
        <v>13.084820000000001</v>
      </c>
      <c r="R36" s="2">
        <v>12.25098</v>
      </c>
      <c r="S36" s="2">
        <v>10.837809999999999</v>
      </c>
      <c r="T36" s="2">
        <v>13.59047</v>
      </c>
      <c r="U36" s="2">
        <v>9.7933430000000001</v>
      </c>
      <c r="V36" s="2">
        <v>8.8811820000000008</v>
      </c>
      <c r="W36" s="2">
        <v>8.0425000000000004</v>
      </c>
      <c r="X36" s="2">
        <v>2.0478529999999999</v>
      </c>
      <c r="Y36" s="2">
        <v>1.8834770000000001</v>
      </c>
      <c r="Z36" s="2">
        <v>1.7570410000000001</v>
      </c>
      <c r="AA36" s="2">
        <v>1.622098</v>
      </c>
      <c r="AB36" s="2">
        <v>11.04396</v>
      </c>
      <c r="AC36" s="2">
        <v>9.6655750000000005</v>
      </c>
      <c r="AD36" s="2">
        <v>9.0003200000000003</v>
      </c>
      <c r="AE36" s="2">
        <v>8.4201029999999992</v>
      </c>
      <c r="AF36" s="2">
        <v>5.8802009999999996</v>
      </c>
      <c r="AG36" s="2">
        <v>6.9019880000000002</v>
      </c>
      <c r="AH36" s="2">
        <v>7.6319400000000002</v>
      </c>
      <c r="AI36" s="2">
        <v>8.0353370000000002</v>
      </c>
      <c r="AJ36" s="2">
        <v>9.0878560000000004</v>
      </c>
      <c r="AK36" s="2">
        <v>9.7013010000000008</v>
      </c>
      <c r="AL36" s="3">
        <v>0.87216039999999995</v>
      </c>
      <c r="AM36" s="3">
        <v>0.82242389999999999</v>
      </c>
      <c r="AN36" s="2">
        <v>15.37158</v>
      </c>
      <c r="AO36" s="2">
        <v>18.007390000000001</v>
      </c>
      <c r="AP36" s="2">
        <v>18.394120000000001</v>
      </c>
      <c r="AQ36" s="2">
        <v>18.681550000000001</v>
      </c>
      <c r="AR36" s="2">
        <v>3.6307849999999999</v>
      </c>
      <c r="AS36" s="2">
        <v>2.626646</v>
      </c>
      <c r="AT36" s="2">
        <v>2.136158</v>
      </c>
      <c r="AU36" s="2">
        <v>1.7155260000000001</v>
      </c>
      <c r="AV36" s="1" t="s">
        <v>6</v>
      </c>
      <c r="AW36" s="3">
        <v>1.2708330000000001</v>
      </c>
      <c r="AX36" s="3">
        <v>178</v>
      </c>
      <c r="AY36" s="2">
        <v>42.445590000000003</v>
      </c>
      <c r="AZ36" s="2">
        <v>14.39437</v>
      </c>
      <c r="BA36" s="2">
        <v>11.23386</v>
      </c>
      <c r="BB36" s="2">
        <v>12.942869999999999</v>
      </c>
      <c r="BC36" s="2">
        <v>-3.6099969999999999</v>
      </c>
      <c r="BD36" s="3">
        <v>106.9</v>
      </c>
      <c r="BE36" s="2">
        <v>16.894290000000002</v>
      </c>
      <c r="BF36" s="3">
        <v>167</v>
      </c>
      <c r="BG36" s="2">
        <v>-25.173649999999999</v>
      </c>
      <c r="BH36" s="2">
        <v>91.102519999999998</v>
      </c>
      <c r="BI36" s="2">
        <v>46.380420000000001</v>
      </c>
      <c r="BJ36" s="2">
        <v>46.734949999999998</v>
      </c>
      <c r="BK36" s="2">
        <v>45.679519999999997</v>
      </c>
      <c r="BL36" s="2">
        <v>21</v>
      </c>
      <c r="BM36" s="2">
        <v>20</v>
      </c>
      <c r="BN36" s="4">
        <v>24</v>
      </c>
      <c r="BO36" s="4">
        <v>2</v>
      </c>
      <c r="BP36" s="4">
        <v>1</v>
      </c>
      <c r="BQ36" s="4">
        <v>21</v>
      </c>
      <c r="BR36" s="2">
        <v>8.3333340000000007</v>
      </c>
      <c r="BS36" s="4">
        <v>20</v>
      </c>
      <c r="BT36" s="4">
        <v>1</v>
      </c>
      <c r="BU36" s="4">
        <v>24</v>
      </c>
      <c r="BV36" s="2">
        <v>83.333330000000004</v>
      </c>
      <c r="BW36" s="2">
        <v>7.4948199999999998</v>
      </c>
      <c r="BX36" s="2">
        <v>800</v>
      </c>
      <c r="BY36" s="3">
        <v>1.326516</v>
      </c>
      <c r="BZ36" s="3">
        <v>0.1658145</v>
      </c>
      <c r="CA36" s="2">
        <v>1.1083700000000001</v>
      </c>
      <c r="CB36" s="3">
        <v>0.1658145</v>
      </c>
      <c r="CC36" s="3">
        <v>9.9654399999999992</v>
      </c>
      <c r="CD36" s="3">
        <v>9.6618300000000001</v>
      </c>
      <c r="CE36" s="2">
        <v>-3.0466259999999998</v>
      </c>
      <c r="CF36" s="3">
        <v>10945.83</v>
      </c>
      <c r="CG36" s="3">
        <v>10421.280000000001</v>
      </c>
      <c r="CH36" s="2">
        <v>-4.7922849999999997</v>
      </c>
      <c r="CI36" s="3">
        <v>186.5789</v>
      </c>
      <c r="CJ36" s="2">
        <v>-4.5980270000000001</v>
      </c>
      <c r="CK36" s="3">
        <v>77939.25</v>
      </c>
      <c r="CL36" s="3">
        <v>77460.740000000005</v>
      </c>
      <c r="CM36" s="2">
        <v>-0.61395169999999999</v>
      </c>
      <c r="CN36" s="3">
        <v>144.70609999999999</v>
      </c>
      <c r="CO36" s="3">
        <v>133.82980000000001</v>
      </c>
      <c r="CP36" s="3">
        <v>131.18770000000001</v>
      </c>
      <c r="CQ36" s="2">
        <v>-13.645670000000001</v>
      </c>
      <c r="CR36" s="2">
        <v>-6.6276729999999997</v>
      </c>
      <c r="CS36" s="2">
        <v>-4.7471579999999998</v>
      </c>
      <c r="CT36" s="2">
        <v>-7.51614</v>
      </c>
      <c r="CU36" s="2">
        <v>182.03880000000001</v>
      </c>
      <c r="CV36" s="3">
        <v>0.18209710000000001</v>
      </c>
      <c r="CW36" s="2">
        <v>-29.33315</v>
      </c>
      <c r="CX36" s="2">
        <v>-2.663427</v>
      </c>
      <c r="CY36" s="2">
        <v>-22.61984</v>
      </c>
      <c r="CZ36" s="2">
        <v>26.070709999999998</v>
      </c>
    </row>
    <row r="37" spans="1:104" ht="15" customHeight="1" x14ac:dyDescent="0.2">
      <c r="A37" s="1">
        <f t="shared" si="0"/>
        <v>31</v>
      </c>
      <c r="B37" s="1" t="s">
        <v>110</v>
      </c>
      <c r="C37" s="1" t="s">
        <v>109</v>
      </c>
      <c r="D37" s="1" t="s">
        <v>14</v>
      </c>
      <c r="E37" s="1" t="s">
        <v>104</v>
      </c>
      <c r="F37" s="1" t="s">
        <v>111</v>
      </c>
      <c r="G37" s="2">
        <v>77401.850000000006</v>
      </c>
      <c r="H37" s="2">
        <v>66.442999999999998</v>
      </c>
      <c r="I37" s="2">
        <v>51428.11</v>
      </c>
      <c r="J37" s="3">
        <v>170.64</v>
      </c>
      <c r="K37" s="3">
        <v>0</v>
      </c>
      <c r="L37" s="2">
        <v>1.8928739999999999</v>
      </c>
      <c r="M37" s="2">
        <v>1.9899960000000001</v>
      </c>
      <c r="N37" s="2">
        <v>2.22105</v>
      </c>
      <c r="O37" s="2">
        <v>2.4496009999999999</v>
      </c>
      <c r="P37" s="2">
        <v>35.329189999999997</v>
      </c>
      <c r="Q37" s="2">
        <v>25.20532</v>
      </c>
      <c r="R37" s="2">
        <v>22.825230000000001</v>
      </c>
      <c r="S37" s="2">
        <v>20.583839999999999</v>
      </c>
      <c r="T37" s="2">
        <v>13.46083</v>
      </c>
      <c r="U37" s="2">
        <v>12.929259999999999</v>
      </c>
      <c r="V37" s="2">
        <v>11.62947</v>
      </c>
      <c r="W37" s="2">
        <v>10.52881</v>
      </c>
      <c r="X37" s="2">
        <v>2.01464</v>
      </c>
      <c r="Y37" s="2">
        <v>1.9508399999999999</v>
      </c>
      <c r="Z37" s="2">
        <v>1.8798630000000001</v>
      </c>
      <c r="AA37" s="2">
        <v>1.806635</v>
      </c>
      <c r="AB37" s="2">
        <v>15.22866</v>
      </c>
      <c r="AC37" s="2">
        <v>13.918430000000001</v>
      </c>
      <c r="AD37" s="2">
        <v>12.80466</v>
      </c>
      <c r="AE37" s="2">
        <v>11.802630000000001</v>
      </c>
      <c r="AF37" s="2">
        <v>3.6101450000000002</v>
      </c>
      <c r="AG37" s="2">
        <v>4.646903</v>
      </c>
      <c r="AH37" s="2">
        <v>5.2725350000000004</v>
      </c>
      <c r="AI37" s="2">
        <v>3.9935849999999999</v>
      </c>
      <c r="AJ37" s="2">
        <v>4.9899480000000001</v>
      </c>
      <c r="AK37" s="2">
        <v>5.5347689999999998</v>
      </c>
      <c r="AL37" s="3">
        <v>2.7570079999999999</v>
      </c>
      <c r="AM37" s="3">
        <v>2.489249</v>
      </c>
      <c r="AN37" s="2">
        <v>25.283740000000002</v>
      </c>
      <c r="AO37" s="2">
        <v>26.015329999999999</v>
      </c>
      <c r="AP37" s="2">
        <v>26.59646</v>
      </c>
      <c r="AQ37" s="2">
        <v>27.36063</v>
      </c>
      <c r="AR37" s="2">
        <v>1.230583</v>
      </c>
      <c r="AS37" s="2">
        <v>1.2413909999999999</v>
      </c>
      <c r="AT37" s="2">
        <v>0.79949630000000005</v>
      </c>
      <c r="AU37" s="2">
        <v>0.4988495</v>
      </c>
      <c r="AV37" s="1" t="s">
        <v>6</v>
      </c>
      <c r="AW37" s="3">
        <v>1.347826</v>
      </c>
      <c r="AX37" s="3">
        <v>195</v>
      </c>
      <c r="AY37" s="2">
        <v>14.27567</v>
      </c>
      <c r="AZ37" s="2">
        <v>7.7397970000000003</v>
      </c>
      <c r="BA37" s="2">
        <v>9.1527279999999998</v>
      </c>
      <c r="BB37" s="2">
        <v>6.4172029999999998</v>
      </c>
      <c r="BC37" s="2">
        <v>0.85107089999999996</v>
      </c>
      <c r="BD37" s="3">
        <v>155.15</v>
      </c>
      <c r="BE37" s="2">
        <v>9.9838850000000008</v>
      </c>
      <c r="BF37" s="3">
        <v>188.4</v>
      </c>
      <c r="BG37" s="2">
        <v>-9.4267479999999999</v>
      </c>
      <c r="BH37" s="2">
        <v>68.454729999999998</v>
      </c>
      <c r="BI37" s="2">
        <v>49.934229999999999</v>
      </c>
      <c r="BJ37" s="2">
        <v>49.747599999999998</v>
      </c>
      <c r="BK37" s="2">
        <v>49.643799999999999</v>
      </c>
      <c r="BL37" s="2">
        <v>21</v>
      </c>
      <c r="BM37" s="2">
        <v>19</v>
      </c>
      <c r="BN37" s="4">
        <v>23</v>
      </c>
      <c r="BO37" s="4">
        <v>1</v>
      </c>
      <c r="BP37" s="4">
        <v>0</v>
      </c>
      <c r="BQ37" s="4">
        <v>21</v>
      </c>
      <c r="BR37" s="2">
        <v>4.5454549999999996</v>
      </c>
      <c r="BS37" s="4">
        <v>16</v>
      </c>
      <c r="BT37" s="4">
        <v>0</v>
      </c>
      <c r="BU37" s="4">
        <v>23</v>
      </c>
      <c r="BV37" s="2">
        <v>69.565219999999997</v>
      </c>
      <c r="BW37" s="2">
        <v>6.9495399999999998</v>
      </c>
      <c r="BX37" s="2">
        <v>453.59730000000002</v>
      </c>
      <c r="BY37" s="3">
        <v>0.45921899999999999</v>
      </c>
      <c r="BZ37" s="3">
        <v>0.10123939999999999</v>
      </c>
      <c r="CA37" s="2">
        <v>0.92178099999999996</v>
      </c>
      <c r="CB37" s="3">
        <v>0.10123939999999999</v>
      </c>
      <c r="CC37" s="3">
        <v>6.7119169999999997</v>
      </c>
      <c r="CD37" s="3">
        <v>6.7622650000000002</v>
      </c>
      <c r="CE37" s="2">
        <v>0.75013640000000004</v>
      </c>
      <c r="CF37" s="3">
        <v>4392.3190000000004</v>
      </c>
      <c r="CG37" s="3">
        <v>4352.326</v>
      </c>
      <c r="CH37" s="2">
        <v>-0.91052650000000002</v>
      </c>
      <c r="CI37" s="3">
        <v>196.5333</v>
      </c>
      <c r="CJ37" s="2">
        <v>-0.78019499999999997</v>
      </c>
      <c r="CK37" s="3">
        <v>25545.09</v>
      </c>
      <c r="CL37" s="3">
        <v>25466.17</v>
      </c>
      <c r="CM37" s="2">
        <v>-0.30896659999999998</v>
      </c>
      <c r="CN37" s="3">
        <v>171.4271</v>
      </c>
      <c r="CO37" s="3">
        <v>169.23689999999999</v>
      </c>
      <c r="CP37" s="3">
        <v>165.03229999999999</v>
      </c>
      <c r="CQ37" s="2">
        <v>-0.45915840000000002</v>
      </c>
      <c r="CR37" s="2">
        <v>0.82908870000000001</v>
      </c>
      <c r="CS37" s="2">
        <v>3.397942</v>
      </c>
      <c r="CT37" s="2">
        <v>-1.277655</v>
      </c>
      <c r="CU37" s="2">
        <v>65.644130000000004</v>
      </c>
      <c r="CV37" s="3">
        <v>8.4809519999999999E-2</v>
      </c>
      <c r="CW37" s="2" t="e">
        <v>#N/A</v>
      </c>
      <c r="CX37" s="2">
        <v>-0.11644350000000001</v>
      </c>
      <c r="CY37" s="2" t="e">
        <v>#N/A</v>
      </c>
      <c r="CZ37" s="2">
        <v>26.08081</v>
      </c>
    </row>
    <row r="38" spans="1:104" ht="15" customHeight="1" x14ac:dyDescent="0.2">
      <c r="A38" s="1">
        <f t="shared" si="0"/>
        <v>32</v>
      </c>
      <c r="B38" s="1" t="s">
        <v>113</v>
      </c>
      <c r="C38" s="1" t="s">
        <v>112</v>
      </c>
      <c r="D38" s="1" t="s">
        <v>40</v>
      </c>
      <c r="E38" s="1" t="s">
        <v>44</v>
      </c>
      <c r="F38" s="1" t="s">
        <v>86</v>
      </c>
      <c r="G38" s="2">
        <v>35880.18</v>
      </c>
      <c r="H38" s="2">
        <v>99.541799999999995</v>
      </c>
      <c r="I38" s="2">
        <v>35715.78</v>
      </c>
      <c r="J38" s="3">
        <v>27.475000000000001</v>
      </c>
      <c r="K38" s="3">
        <v>0</v>
      </c>
      <c r="L38" s="2">
        <v>1.164695</v>
      </c>
      <c r="M38" s="2">
        <v>1.2738849999999999</v>
      </c>
      <c r="N38" s="2">
        <v>1.3648769999999999</v>
      </c>
      <c r="O38" s="2">
        <v>1.4558690000000001</v>
      </c>
      <c r="P38" s="2">
        <v>13.9467</v>
      </c>
      <c r="Q38" s="2">
        <v>10.506690000000001</v>
      </c>
      <c r="R38" s="2">
        <v>11.146039999999999</v>
      </c>
      <c r="S38" s="2">
        <v>9.6066439999999993</v>
      </c>
      <c r="T38" s="2">
        <v>8.0478550000000002</v>
      </c>
      <c r="U38" s="2">
        <v>6.4007829999999997</v>
      </c>
      <c r="V38" s="2">
        <v>6.0178099999999999</v>
      </c>
      <c r="W38" s="2">
        <v>5.2139730000000002</v>
      </c>
      <c r="X38" s="2">
        <v>2.3974700000000002</v>
      </c>
      <c r="Y38" s="2">
        <v>2.1464840000000001</v>
      </c>
      <c r="Z38" s="2">
        <v>1.851415</v>
      </c>
      <c r="AA38" s="2">
        <v>1.5983130000000001</v>
      </c>
      <c r="AB38" s="2">
        <v>9.0041220000000006</v>
      </c>
      <c r="AC38" s="2">
        <v>8.5250839999999997</v>
      </c>
      <c r="AD38" s="2">
        <v>7.4258110000000004</v>
      </c>
      <c r="AE38" s="2">
        <v>6.812163</v>
      </c>
      <c r="AF38" s="2">
        <v>3.159119</v>
      </c>
      <c r="AG38" s="2">
        <v>4.3516599999999999</v>
      </c>
      <c r="AH38" s="2">
        <v>5.4149450000000003</v>
      </c>
      <c r="AI38" s="2">
        <v>3.2971400000000002</v>
      </c>
      <c r="AJ38" s="2">
        <v>4.403238</v>
      </c>
      <c r="AK38" s="2">
        <v>5.2510490000000001</v>
      </c>
      <c r="AL38" s="3">
        <v>1.211668</v>
      </c>
      <c r="AM38" s="3">
        <v>1.2562610000000001</v>
      </c>
      <c r="AN38" s="2">
        <v>34.146859999999997</v>
      </c>
      <c r="AO38" s="2">
        <v>36.113509999999998</v>
      </c>
      <c r="AP38" s="2">
        <v>35.429879999999997</v>
      </c>
      <c r="AQ38" s="2">
        <v>35.502659999999999</v>
      </c>
      <c r="AR38" s="2">
        <v>0.40061790000000003</v>
      </c>
      <c r="AS38" s="2">
        <v>0.26794289999999998</v>
      </c>
      <c r="AT38" s="2">
        <v>7.0490639999999993E-2</v>
      </c>
      <c r="AU38" s="2">
        <v>-0.1627391</v>
      </c>
      <c r="AV38" s="1" t="s">
        <v>6</v>
      </c>
      <c r="AW38" s="3">
        <v>1.2916669999999999</v>
      </c>
      <c r="AX38" s="3">
        <v>45</v>
      </c>
      <c r="AY38" s="2">
        <v>63.785260000000001</v>
      </c>
      <c r="AZ38" s="2">
        <v>20.429690000000001</v>
      </c>
      <c r="BA38" s="2">
        <v>10</v>
      </c>
      <c r="BB38" s="2">
        <v>11.50569</v>
      </c>
      <c r="BC38" s="2">
        <v>-3.359127</v>
      </c>
      <c r="BD38" s="3">
        <v>24.004999999999999</v>
      </c>
      <c r="BE38" s="2">
        <v>14.45533</v>
      </c>
      <c r="BF38" s="3">
        <v>40.270000000000003</v>
      </c>
      <c r="BG38" s="2">
        <v>-31.773029999999999</v>
      </c>
      <c r="BH38" s="2">
        <v>16.243649999999999</v>
      </c>
      <c r="BI38" s="2">
        <v>15.87171</v>
      </c>
      <c r="BJ38" s="2">
        <v>17.10135</v>
      </c>
      <c r="BK38" s="2">
        <v>16.940049999999999</v>
      </c>
      <c r="BL38" s="2">
        <v>22</v>
      </c>
      <c r="BM38" s="2">
        <v>20</v>
      </c>
      <c r="BN38" s="4">
        <v>24</v>
      </c>
      <c r="BO38" s="4">
        <v>0</v>
      </c>
      <c r="BP38" s="4">
        <v>0</v>
      </c>
      <c r="BQ38" s="4">
        <v>23</v>
      </c>
      <c r="BR38" s="2">
        <v>0</v>
      </c>
      <c r="BS38" s="4">
        <v>19</v>
      </c>
      <c r="BT38" s="4">
        <v>0</v>
      </c>
      <c r="BU38" s="4">
        <v>24</v>
      </c>
      <c r="BV38" s="2">
        <v>79.166669999999996</v>
      </c>
      <c r="BW38" s="2">
        <v>11.1014</v>
      </c>
      <c r="BX38" s="2">
        <v>1305.921</v>
      </c>
      <c r="BY38" s="3">
        <v>3.7654779999999999</v>
      </c>
      <c r="BZ38" s="3">
        <v>0.28833880000000001</v>
      </c>
      <c r="CA38" s="2">
        <v>1.5259799999999999</v>
      </c>
      <c r="CB38" s="3">
        <v>0.28833880000000001</v>
      </c>
      <c r="CC38" s="3">
        <v>2.558586</v>
      </c>
      <c r="CD38" s="3">
        <v>2.5969730000000002</v>
      </c>
      <c r="CE38" s="2">
        <v>1.5003200000000001</v>
      </c>
      <c r="CF38" s="3">
        <v>4241.6899999999996</v>
      </c>
      <c r="CG38" s="3">
        <v>4219.3360000000002</v>
      </c>
      <c r="CH38" s="2">
        <v>-0.52699450000000003</v>
      </c>
      <c r="CI38" s="3">
        <v>47.482610000000001</v>
      </c>
      <c r="CJ38" s="2">
        <v>-5.2284600000000001</v>
      </c>
      <c r="CK38" s="3">
        <v>16225.2</v>
      </c>
      <c r="CL38" s="3">
        <v>16215.97</v>
      </c>
      <c r="CM38" s="2">
        <v>-5.6904549999999998E-2</v>
      </c>
      <c r="CN38" s="3">
        <v>34.374229999999997</v>
      </c>
      <c r="CO38" s="3">
        <v>31.546569999999999</v>
      </c>
      <c r="CP38" s="3">
        <v>30.799230000000001</v>
      </c>
      <c r="CQ38" s="2">
        <v>-20.07095</v>
      </c>
      <c r="CR38" s="2">
        <v>-12.90653</v>
      </c>
      <c r="CS38" s="2">
        <v>-10.793229999999999</v>
      </c>
      <c r="CT38" s="2">
        <v>-8.226127</v>
      </c>
      <c r="CU38" s="2">
        <v>125.752</v>
      </c>
      <c r="CV38" s="3">
        <v>0.3504776</v>
      </c>
      <c r="CW38" s="2">
        <v>10.329510000000001</v>
      </c>
      <c r="CX38" s="2">
        <v>0.91115919999999995</v>
      </c>
      <c r="CY38" s="2">
        <v>4.2660479999999996</v>
      </c>
      <c r="CZ38" s="2">
        <v>26.44444</v>
      </c>
    </row>
    <row r="39" spans="1:104" ht="15" customHeight="1" x14ac:dyDescent="0.2">
      <c r="A39" s="1">
        <f t="shared" si="0"/>
        <v>33</v>
      </c>
      <c r="B39" s="1" t="s">
        <v>115</v>
      </c>
      <c r="C39" s="1" t="s">
        <v>114</v>
      </c>
      <c r="D39" s="1" t="s">
        <v>14</v>
      </c>
      <c r="E39" s="1" t="s">
        <v>4</v>
      </c>
      <c r="F39" s="1" t="s">
        <v>5</v>
      </c>
      <c r="G39" s="2">
        <v>63230.9</v>
      </c>
      <c r="H39" s="2">
        <v>90.421899999999994</v>
      </c>
      <c r="I39" s="2">
        <v>57174.58</v>
      </c>
      <c r="J39" s="3">
        <v>54.29</v>
      </c>
      <c r="K39" s="3">
        <v>0</v>
      </c>
      <c r="L39" s="2">
        <v>7.183643</v>
      </c>
      <c r="M39" s="2">
        <v>8.2888190000000002</v>
      </c>
      <c r="N39" s="2">
        <v>8.6889789999999998</v>
      </c>
      <c r="O39" s="2">
        <v>9.7071290000000001</v>
      </c>
      <c r="P39" s="2">
        <v>6.9584580000000003</v>
      </c>
      <c r="Q39" s="2">
        <v>6.5315200000000004</v>
      </c>
      <c r="R39" s="2">
        <v>5.754416</v>
      </c>
      <c r="S39" s="2">
        <v>5.1508539999999998</v>
      </c>
      <c r="T39" s="2" t="e">
        <v>#N/A</v>
      </c>
      <c r="U39" s="2" t="e">
        <v>#N/A</v>
      </c>
      <c r="V39" s="2" t="e">
        <v>#N/A</v>
      </c>
      <c r="W39" s="2" t="e">
        <v>#N/A</v>
      </c>
      <c r="X39" s="2">
        <v>0.60955479999999995</v>
      </c>
      <c r="Y39" s="2">
        <v>0.5751522</v>
      </c>
      <c r="Z39" s="2">
        <v>0.54853680000000005</v>
      </c>
      <c r="AA39" s="2">
        <v>0.51573270000000004</v>
      </c>
      <c r="AB39" s="2" t="e">
        <v>#N/A</v>
      </c>
      <c r="AC39" s="2" t="e">
        <v>#N/A</v>
      </c>
      <c r="AD39" s="2" t="e">
        <v>#N/A</v>
      </c>
      <c r="AE39" s="2" t="e">
        <v>#N/A</v>
      </c>
      <c r="AF39" s="2" t="e">
        <v>#N/A</v>
      </c>
      <c r="AG39" s="2" t="e">
        <v>#N/A</v>
      </c>
      <c r="AH39" s="2" t="e">
        <v>#N/A</v>
      </c>
      <c r="AI39" s="2" t="e">
        <v>#N/A</v>
      </c>
      <c r="AJ39" s="2" t="e">
        <v>#N/A</v>
      </c>
      <c r="AK39" s="2" t="e">
        <v>#N/A</v>
      </c>
      <c r="AL39" s="3">
        <v>0.49807030000000002</v>
      </c>
      <c r="AM39" s="3">
        <v>0.44722810000000002</v>
      </c>
      <c r="AN39" s="2" t="e">
        <v>#N/A</v>
      </c>
      <c r="AO39" s="2" t="e">
        <v>#N/A</v>
      </c>
      <c r="AP39" s="2" t="e">
        <v>#N/A</v>
      </c>
      <c r="AQ39" s="2" t="e">
        <v>#N/A</v>
      </c>
      <c r="AR39" s="2" t="e">
        <v>#N/A</v>
      </c>
      <c r="AS39" s="2" t="e">
        <v>#N/A</v>
      </c>
      <c r="AT39" s="2" t="e">
        <v>#N/A</v>
      </c>
      <c r="AU39" s="2" t="e">
        <v>#N/A</v>
      </c>
      <c r="AV39" s="1" t="s">
        <v>6</v>
      </c>
      <c r="AW39" s="3">
        <v>1.295455</v>
      </c>
      <c r="AX39" s="3">
        <v>77.5</v>
      </c>
      <c r="AY39" s="2">
        <v>42.75188</v>
      </c>
      <c r="AZ39" s="2">
        <v>8.8057929999999995</v>
      </c>
      <c r="BA39" s="2">
        <v>12.89902</v>
      </c>
      <c r="BB39" s="2">
        <v>14.30677</v>
      </c>
      <c r="BC39" s="2">
        <v>1.9530529999999999</v>
      </c>
      <c r="BD39" s="3">
        <v>47.02</v>
      </c>
      <c r="BE39" s="2">
        <v>15.461499999999999</v>
      </c>
      <c r="BF39" s="3">
        <v>67.02</v>
      </c>
      <c r="BG39" s="2">
        <v>-18.994330000000001</v>
      </c>
      <c r="BH39" s="2">
        <v>49.687840000000001</v>
      </c>
      <c r="BI39" s="2">
        <v>53.662370000000003</v>
      </c>
      <c r="BJ39" s="2">
        <v>50.483040000000003</v>
      </c>
      <c r="BK39" s="2">
        <v>50.620040000000003</v>
      </c>
      <c r="BL39" s="2">
        <v>21</v>
      </c>
      <c r="BM39" s="2">
        <v>11</v>
      </c>
      <c r="BN39" s="4">
        <v>22</v>
      </c>
      <c r="BO39" s="4">
        <v>0</v>
      </c>
      <c r="BP39" s="4">
        <v>0</v>
      </c>
      <c r="BQ39" s="4">
        <v>22</v>
      </c>
      <c r="BR39" s="2">
        <v>0</v>
      </c>
      <c r="BS39" s="4">
        <v>16</v>
      </c>
      <c r="BT39" s="4">
        <v>0</v>
      </c>
      <c r="BU39" s="4">
        <v>22</v>
      </c>
      <c r="BV39" s="2">
        <v>72.727270000000004</v>
      </c>
      <c r="BW39" s="2">
        <v>11.0807</v>
      </c>
      <c r="BX39" s="2">
        <v>1164.6880000000001</v>
      </c>
      <c r="BY39" s="3">
        <v>3.1246879999999999</v>
      </c>
      <c r="BZ39" s="3">
        <v>0.26828540000000001</v>
      </c>
      <c r="CA39" s="2">
        <v>1.60991</v>
      </c>
      <c r="CB39" s="3">
        <v>0.26828540000000001</v>
      </c>
      <c r="CC39" s="3">
        <v>8.4823590000000006</v>
      </c>
      <c r="CD39" s="3">
        <v>8.4503079999999997</v>
      </c>
      <c r="CE39" s="2">
        <v>-0.37785770000000002</v>
      </c>
      <c r="CF39" s="3">
        <v>16386.650000000001</v>
      </c>
      <c r="CG39" s="3">
        <v>16046.88</v>
      </c>
      <c r="CH39" s="2">
        <v>-2.073461</v>
      </c>
      <c r="CI39" s="3">
        <v>76.739549999999994</v>
      </c>
      <c r="CJ39" s="2">
        <v>0.99095109999999997</v>
      </c>
      <c r="CK39" s="3">
        <v>47135.99</v>
      </c>
      <c r="CL39" s="3">
        <v>46804.28</v>
      </c>
      <c r="CM39" s="2">
        <v>-0.70373419999999998</v>
      </c>
      <c r="CN39" s="3">
        <v>58.536769999999997</v>
      </c>
      <c r="CO39" s="3">
        <v>58.81156</v>
      </c>
      <c r="CP39" s="3">
        <v>57.863079999999997</v>
      </c>
      <c r="CQ39" s="2">
        <v>-7.2548690000000002</v>
      </c>
      <c r="CR39" s="2">
        <v>-7.688212</v>
      </c>
      <c r="CS39" s="2">
        <v>-6.175065</v>
      </c>
      <c r="CT39" s="2">
        <v>0.46943430000000003</v>
      </c>
      <c r="CU39" s="2">
        <v>166.17339999999999</v>
      </c>
      <c r="CV39" s="3">
        <v>0.26280409999999998</v>
      </c>
      <c r="CW39" s="2">
        <v>2.0058280000000002</v>
      </c>
      <c r="CX39" s="2">
        <v>0.2851302</v>
      </c>
      <c r="CY39" s="2">
        <v>11.46157</v>
      </c>
      <c r="CZ39" s="2">
        <v>27.010100000000001</v>
      </c>
    </row>
    <row r="40" spans="1:104" ht="15" customHeight="1" x14ac:dyDescent="0.2">
      <c r="A40" s="1">
        <f t="shared" si="0"/>
        <v>34</v>
      </c>
      <c r="B40" s="1" t="s">
        <v>117</v>
      </c>
      <c r="C40" s="1" t="s">
        <v>116</v>
      </c>
      <c r="D40" s="1" t="s">
        <v>40</v>
      </c>
      <c r="E40" s="1" t="s">
        <v>20</v>
      </c>
      <c r="F40" s="1" t="s">
        <v>21</v>
      </c>
      <c r="G40" s="2">
        <v>50807.49</v>
      </c>
      <c r="H40" s="2">
        <v>48.322299999999998</v>
      </c>
      <c r="I40" s="2">
        <v>24551.35</v>
      </c>
      <c r="J40" s="3">
        <v>87.63</v>
      </c>
      <c r="K40" s="3">
        <v>0</v>
      </c>
      <c r="L40" s="2">
        <v>9.6998750000000005</v>
      </c>
      <c r="M40" s="2">
        <v>6.5388570000000001</v>
      </c>
      <c r="N40" s="2">
        <v>6.025334</v>
      </c>
      <c r="O40" s="2">
        <v>6.0595689999999998</v>
      </c>
      <c r="P40" s="2">
        <v>3.2087150000000002</v>
      </c>
      <c r="Q40" s="2">
        <v>4.7444509999999998</v>
      </c>
      <c r="R40" s="2">
        <v>5.2429500000000004</v>
      </c>
      <c r="S40" s="2">
        <v>5.3992610000000001</v>
      </c>
      <c r="T40" s="2">
        <v>1.8132269999999999</v>
      </c>
      <c r="U40" s="2">
        <v>1.382382</v>
      </c>
      <c r="V40" s="2">
        <v>1.4474910000000001</v>
      </c>
      <c r="W40" s="2">
        <v>1.440056</v>
      </c>
      <c r="X40" s="2">
        <v>0.66188290000000005</v>
      </c>
      <c r="Y40" s="2">
        <v>0.60839379999999998</v>
      </c>
      <c r="Z40" s="2">
        <v>0.56496800000000003</v>
      </c>
      <c r="AA40" s="2">
        <v>0.52504490000000004</v>
      </c>
      <c r="AB40" s="2">
        <v>3.9085640000000001</v>
      </c>
      <c r="AC40" s="2">
        <v>3.1126559999999999</v>
      </c>
      <c r="AD40" s="2">
        <v>3.136568</v>
      </c>
      <c r="AE40" s="2">
        <v>3.09829</v>
      </c>
      <c r="AF40" s="2">
        <v>20.32273</v>
      </c>
      <c r="AG40" s="2">
        <v>26.52854</v>
      </c>
      <c r="AH40" s="2">
        <v>31.47213</v>
      </c>
      <c r="AI40" s="2">
        <v>12.833170000000001</v>
      </c>
      <c r="AJ40" s="2">
        <v>15.86571</v>
      </c>
      <c r="AK40" s="2">
        <v>18.92313</v>
      </c>
      <c r="AL40" s="3" t="e">
        <v>#N/A</v>
      </c>
      <c r="AM40" s="3" t="e">
        <v>#N/A</v>
      </c>
      <c r="AN40" s="2">
        <v>15.82287</v>
      </c>
      <c r="AO40" s="2">
        <v>17.679849999999998</v>
      </c>
      <c r="AP40" s="2">
        <v>16.01661</v>
      </c>
      <c r="AQ40" s="2">
        <v>15.689719999999999</v>
      </c>
      <c r="AR40" s="2">
        <v>-0.62062930000000005</v>
      </c>
      <c r="AS40" s="2">
        <v>-0.70238400000000001</v>
      </c>
      <c r="AT40" s="2">
        <v>-0.84086249999999996</v>
      </c>
      <c r="AU40" s="2">
        <v>-0.82604889999999997</v>
      </c>
      <c r="AV40" s="1" t="s">
        <v>95</v>
      </c>
      <c r="AW40" s="3">
        <v>1.82</v>
      </c>
      <c r="AX40" s="3">
        <v>110</v>
      </c>
      <c r="AY40" s="2">
        <v>25.52779</v>
      </c>
      <c r="AZ40" s="2">
        <v>12.823270000000001</v>
      </c>
      <c r="BA40" s="2">
        <v>-14.41896</v>
      </c>
      <c r="BB40" s="2">
        <v>10.198689999999999</v>
      </c>
      <c r="BC40" s="2">
        <v>5.0971510000000002</v>
      </c>
      <c r="BD40" s="3">
        <v>75.06</v>
      </c>
      <c r="BE40" s="2">
        <v>16.746600000000001</v>
      </c>
      <c r="BF40" s="3">
        <v>113.46</v>
      </c>
      <c r="BG40" s="2">
        <v>-22.765730000000001</v>
      </c>
      <c r="BH40" s="2">
        <v>31.371289999999998</v>
      </c>
      <c r="BI40" s="2">
        <v>30.634260000000001</v>
      </c>
      <c r="BJ40" s="2">
        <v>32.223489999999998</v>
      </c>
      <c r="BK40" s="2">
        <v>33.142650000000003</v>
      </c>
      <c r="BL40" s="2">
        <v>21</v>
      </c>
      <c r="BM40" s="2">
        <v>21</v>
      </c>
      <c r="BN40" s="4">
        <v>25</v>
      </c>
      <c r="BO40" s="4">
        <v>0</v>
      </c>
      <c r="BP40" s="4">
        <v>3</v>
      </c>
      <c r="BQ40" s="4">
        <v>24</v>
      </c>
      <c r="BR40" s="2">
        <v>0</v>
      </c>
      <c r="BS40" s="4">
        <v>8</v>
      </c>
      <c r="BT40" s="4">
        <v>3</v>
      </c>
      <c r="BU40" s="4">
        <v>25</v>
      </c>
      <c r="BV40" s="2">
        <v>32</v>
      </c>
      <c r="BW40" s="2">
        <v>8.2696100000000001</v>
      </c>
      <c r="BX40" s="2">
        <v>579.79570000000001</v>
      </c>
      <c r="BY40" s="3">
        <v>1.053145</v>
      </c>
      <c r="BZ40" s="3">
        <v>0.18164069999999999</v>
      </c>
      <c r="CA40" s="2">
        <v>1.23766</v>
      </c>
      <c r="CB40" s="3">
        <v>0.18164069999999999</v>
      </c>
      <c r="CC40" s="3">
        <v>16.937609999999999</v>
      </c>
      <c r="CD40" s="3">
        <v>18.24119</v>
      </c>
      <c r="CE40" s="2">
        <v>7.6963780000000002</v>
      </c>
      <c r="CF40" s="3">
        <v>15920.14</v>
      </c>
      <c r="CG40" s="3">
        <v>17046.28</v>
      </c>
      <c r="CH40" s="2">
        <v>7.0736889999999999</v>
      </c>
      <c r="CI40" s="3">
        <v>112.97369999999999</v>
      </c>
      <c r="CJ40" s="2">
        <v>-2.6321949999999998</v>
      </c>
      <c r="CK40" s="3">
        <v>146408.20000000001</v>
      </c>
      <c r="CL40" s="3">
        <v>150037.5</v>
      </c>
      <c r="CM40" s="2">
        <v>2.478898</v>
      </c>
      <c r="CN40" s="3">
        <v>100.9083</v>
      </c>
      <c r="CO40" s="3">
        <v>95.885480000000001</v>
      </c>
      <c r="CP40" s="3">
        <v>94.745000000000005</v>
      </c>
      <c r="CQ40" s="2">
        <v>-13.158759999999999</v>
      </c>
      <c r="CR40" s="2">
        <v>-8.6097300000000008</v>
      </c>
      <c r="CS40" s="2">
        <v>-7.5096309999999997</v>
      </c>
      <c r="CT40" s="2">
        <v>-4.9775960000000001</v>
      </c>
      <c r="CU40" s="2">
        <v>95.632440000000003</v>
      </c>
      <c r="CV40" s="3">
        <v>0.18822510000000001</v>
      </c>
      <c r="CW40" s="2">
        <v>-6.2848660000000001</v>
      </c>
      <c r="CX40" s="2">
        <v>0.64499980000000001</v>
      </c>
      <c r="CY40" s="2">
        <v>1.876684</v>
      </c>
      <c r="CZ40" s="2">
        <v>27.040400000000002</v>
      </c>
    </row>
    <row r="41" spans="1:104" ht="15" customHeight="1" x14ac:dyDescent="0.2">
      <c r="A41" s="1">
        <f t="shared" si="0"/>
        <v>35</v>
      </c>
      <c r="B41" s="1" t="s">
        <v>119</v>
      </c>
      <c r="C41" s="1" t="s">
        <v>118</v>
      </c>
      <c r="D41" s="1" t="s">
        <v>24</v>
      </c>
      <c r="E41" s="1" t="s">
        <v>56</v>
      </c>
      <c r="F41" s="1" t="s">
        <v>120</v>
      </c>
      <c r="G41" s="2">
        <v>27195.439999999999</v>
      </c>
      <c r="H41" s="2">
        <v>98.229299999999995</v>
      </c>
      <c r="I41" s="2">
        <v>26713.89</v>
      </c>
      <c r="J41" s="3">
        <v>28</v>
      </c>
      <c r="K41" s="3">
        <v>0</v>
      </c>
      <c r="L41" s="2">
        <v>3.75</v>
      </c>
      <c r="M41" s="2">
        <v>3.8214290000000002</v>
      </c>
      <c r="N41" s="2">
        <v>4.1607139999999996</v>
      </c>
      <c r="O41" s="2">
        <v>4.4642860000000004</v>
      </c>
      <c r="P41" s="2">
        <v>10.98039</v>
      </c>
      <c r="Q41" s="2">
        <v>11.267609999999999</v>
      </c>
      <c r="R41" s="2">
        <v>10.76923</v>
      </c>
      <c r="S41" s="2">
        <v>9.8686100000000003</v>
      </c>
      <c r="T41" s="2">
        <v>5.7378270000000002</v>
      </c>
      <c r="U41" s="2">
        <v>5.9340440000000001</v>
      </c>
      <c r="V41" s="2">
        <v>5.6766319999999997</v>
      </c>
      <c r="W41" s="2">
        <v>5.4639889999999998</v>
      </c>
      <c r="X41" s="2">
        <v>1.7925739999999999</v>
      </c>
      <c r="Y41" s="2">
        <v>1.7283949999999999</v>
      </c>
      <c r="Z41" s="2">
        <v>1.6260570000000001</v>
      </c>
      <c r="AA41" s="2">
        <v>1.5067870000000001</v>
      </c>
      <c r="AB41" s="2">
        <v>5.7851239999999997</v>
      </c>
      <c r="AC41" s="2">
        <v>5.0410500000000003</v>
      </c>
      <c r="AD41" s="2">
        <v>5.0683160000000003</v>
      </c>
      <c r="AE41" s="2">
        <v>4.6370069999999997</v>
      </c>
      <c r="AF41" s="2">
        <v>5.7374999999999998</v>
      </c>
      <c r="AG41" s="2">
        <v>5.825107</v>
      </c>
      <c r="AH41" s="2">
        <v>5.9705459999999997</v>
      </c>
      <c r="AI41" s="2">
        <v>8.8614180000000005</v>
      </c>
      <c r="AJ41" s="2">
        <v>8.8797309999999996</v>
      </c>
      <c r="AK41" s="2">
        <v>8.9826639999999998</v>
      </c>
      <c r="AL41" s="3">
        <v>2.1416599999999999</v>
      </c>
      <c r="AM41" s="3">
        <v>2.0304790000000001</v>
      </c>
      <c r="AN41" s="2">
        <v>8.2325490000000006</v>
      </c>
      <c r="AO41" s="2">
        <v>7.9630840000000003</v>
      </c>
      <c r="AP41" s="2">
        <v>7.9656640000000003</v>
      </c>
      <c r="AQ41" s="2">
        <v>8.0536119999999993</v>
      </c>
      <c r="AR41" s="2">
        <v>2.0132660000000002</v>
      </c>
      <c r="AS41" s="2">
        <v>2.0919300000000001</v>
      </c>
      <c r="AT41" s="2">
        <v>1.9527589999999999</v>
      </c>
      <c r="AU41" s="2">
        <v>1.8322160000000001</v>
      </c>
      <c r="AV41" s="1" t="s">
        <v>17</v>
      </c>
      <c r="AW41" s="3">
        <v>1.5</v>
      </c>
      <c r="AX41" s="3">
        <v>33</v>
      </c>
      <c r="AY41" s="2">
        <v>17.857150000000001</v>
      </c>
      <c r="AZ41" s="2">
        <v>15.339499999999999</v>
      </c>
      <c r="BA41" s="2">
        <v>5.2416219999999996</v>
      </c>
      <c r="BB41" s="2">
        <v>-0.88495610000000002</v>
      </c>
      <c r="BC41" s="2">
        <v>4.3219089999999998</v>
      </c>
      <c r="BD41" s="3">
        <v>26.63</v>
      </c>
      <c r="BE41" s="2">
        <v>5.1445720000000001</v>
      </c>
      <c r="BF41" s="3">
        <v>32.51</v>
      </c>
      <c r="BG41" s="2">
        <v>-13.87265</v>
      </c>
      <c r="BH41" s="2">
        <v>40.672269999999997</v>
      </c>
      <c r="BI41" s="2">
        <v>42.862720000000003</v>
      </c>
      <c r="BJ41" s="2">
        <v>44.389020000000002</v>
      </c>
      <c r="BK41" s="2">
        <v>43.90354</v>
      </c>
      <c r="BL41" s="2">
        <v>16</v>
      </c>
      <c r="BM41" s="2">
        <v>14</v>
      </c>
      <c r="BN41" s="4">
        <v>18</v>
      </c>
      <c r="BO41" s="4">
        <v>0</v>
      </c>
      <c r="BP41" s="4">
        <v>1</v>
      </c>
      <c r="BQ41" s="4">
        <v>17</v>
      </c>
      <c r="BR41" s="2">
        <v>0</v>
      </c>
      <c r="BS41" s="4">
        <v>11</v>
      </c>
      <c r="BT41" s="4">
        <v>1</v>
      </c>
      <c r="BU41" s="4">
        <v>18</v>
      </c>
      <c r="BV41" s="2">
        <v>61.111109999999996</v>
      </c>
      <c r="BW41" s="2">
        <v>5.3204099999999999</v>
      </c>
      <c r="BX41" s="2">
        <v>971.26580000000001</v>
      </c>
      <c r="BY41" s="3">
        <v>2.0990350000000002</v>
      </c>
      <c r="BZ41" s="3">
        <v>0.21611330000000001</v>
      </c>
      <c r="CA41" s="2">
        <v>0.46489599999999998</v>
      </c>
      <c r="CB41" s="3">
        <v>0.21611330000000001</v>
      </c>
      <c r="CC41" s="3">
        <v>2.5109059999999999</v>
      </c>
      <c r="CD41" s="3">
        <v>2.4942600000000001</v>
      </c>
      <c r="CE41" s="2">
        <v>-0.66295269999999995</v>
      </c>
      <c r="CF41" s="3">
        <v>3574.4540000000002</v>
      </c>
      <c r="CG41" s="3">
        <v>3580.866</v>
      </c>
      <c r="CH41" s="2">
        <v>0.1793981</v>
      </c>
      <c r="CI41" s="3">
        <v>33.155880000000003</v>
      </c>
      <c r="CJ41" s="2">
        <v>-0.4701555</v>
      </c>
      <c r="CK41" s="3">
        <v>88132.56</v>
      </c>
      <c r="CL41" s="3">
        <v>88826.27</v>
      </c>
      <c r="CM41" s="2">
        <v>0.78711509999999996</v>
      </c>
      <c r="CN41" s="3">
        <v>29.936119999999999</v>
      </c>
      <c r="CO41" s="3">
        <v>28.764410000000002</v>
      </c>
      <c r="CP41" s="3">
        <v>28.088069999999998</v>
      </c>
      <c r="CQ41" s="2">
        <v>-6.4675209999999996</v>
      </c>
      <c r="CR41" s="2">
        <v>-2.6574970000000002</v>
      </c>
      <c r="CS41" s="2">
        <v>-0.31356220000000001</v>
      </c>
      <c r="CT41" s="2">
        <v>-3.914034</v>
      </c>
      <c r="CU41" s="2">
        <v>54.218200000000003</v>
      </c>
      <c r="CV41" s="3">
        <v>0.19936499999999999</v>
      </c>
      <c r="CW41" s="2">
        <v>2.7836460000000001</v>
      </c>
      <c r="CX41" s="2">
        <v>-3.0243590000000001E-2</v>
      </c>
      <c r="CY41" s="2">
        <v>5.2468159999999999</v>
      </c>
      <c r="CZ41" s="2">
        <v>27.373740000000002</v>
      </c>
    </row>
    <row r="42" spans="1:104" ht="15" customHeight="1" x14ac:dyDescent="0.2">
      <c r="A42" s="1">
        <f t="shared" si="0"/>
        <v>36</v>
      </c>
      <c r="B42" s="1" t="s">
        <v>122</v>
      </c>
      <c r="C42" s="1" t="s">
        <v>121</v>
      </c>
      <c r="D42" s="1" t="s">
        <v>14</v>
      </c>
      <c r="E42" s="1" t="s">
        <v>32</v>
      </c>
      <c r="F42" s="1" t="s">
        <v>123</v>
      </c>
      <c r="G42" s="2">
        <v>212335.3</v>
      </c>
      <c r="H42" s="2">
        <v>45.272199999999998</v>
      </c>
      <c r="I42" s="2">
        <v>96128.85</v>
      </c>
      <c r="J42" s="3">
        <v>396.15</v>
      </c>
      <c r="K42" s="3">
        <v>0</v>
      </c>
      <c r="L42" s="2">
        <v>1.514578</v>
      </c>
      <c r="M42" s="2">
        <v>1.6407929999999999</v>
      </c>
      <c r="N42" s="2">
        <v>1.793512</v>
      </c>
      <c r="O42" s="2">
        <v>1.9588540000000001</v>
      </c>
      <c r="P42" s="2">
        <v>35.18206</v>
      </c>
      <c r="Q42" s="2">
        <v>32.578119999999998</v>
      </c>
      <c r="R42" s="2">
        <v>29.886839999999999</v>
      </c>
      <c r="S42" s="2">
        <v>27.654859999999999</v>
      </c>
      <c r="T42" s="2">
        <v>20.19041</v>
      </c>
      <c r="U42" s="2">
        <v>21.865629999999999</v>
      </c>
      <c r="V42" s="2">
        <v>19.76267</v>
      </c>
      <c r="W42" s="2">
        <v>18.160399999999999</v>
      </c>
      <c r="X42" s="2">
        <v>7.8368080000000004</v>
      </c>
      <c r="Y42" s="2">
        <v>7.1123000000000003</v>
      </c>
      <c r="Z42" s="2">
        <v>6.4519539999999997</v>
      </c>
      <c r="AA42" s="2">
        <v>5.8001459999999998</v>
      </c>
      <c r="AB42" s="2">
        <v>30.164639999999999</v>
      </c>
      <c r="AC42" s="2">
        <v>26.476700000000001</v>
      </c>
      <c r="AD42" s="2">
        <v>24.4681</v>
      </c>
      <c r="AE42" s="2">
        <v>21.673539999999999</v>
      </c>
      <c r="AF42" s="2">
        <v>3.0203730000000002</v>
      </c>
      <c r="AG42" s="2">
        <v>3.3577910000000002</v>
      </c>
      <c r="AH42" s="2">
        <v>3.6822659999999998</v>
      </c>
      <c r="AI42" s="2">
        <v>3.052435</v>
      </c>
      <c r="AJ42" s="2">
        <v>3.3430209999999998</v>
      </c>
      <c r="AK42" s="2">
        <v>3.619488</v>
      </c>
      <c r="AL42" s="3">
        <v>3.4357630000000001</v>
      </c>
      <c r="AM42" s="3">
        <v>3.1441409999999999</v>
      </c>
      <c r="AN42" s="2">
        <v>23.504470000000001</v>
      </c>
      <c r="AO42" s="2">
        <v>23.62969</v>
      </c>
      <c r="AP42" s="2">
        <v>23.891539999999999</v>
      </c>
      <c r="AQ42" s="2">
        <v>24.142479999999999</v>
      </c>
      <c r="AR42" s="2">
        <v>0.3372753</v>
      </c>
      <c r="AS42" s="2">
        <v>0.22967190000000001</v>
      </c>
      <c r="AT42" s="2">
        <v>-8.7314199999999995E-2</v>
      </c>
      <c r="AU42" s="2">
        <v>-0.31497760000000002</v>
      </c>
      <c r="AV42" s="1" t="s">
        <v>95</v>
      </c>
      <c r="AW42" s="3">
        <v>1.8518520000000001</v>
      </c>
      <c r="AX42" s="3">
        <v>430.5</v>
      </c>
      <c r="AY42" s="2">
        <v>8.6709610000000001</v>
      </c>
      <c r="AZ42" s="2">
        <v>21.831520000000001</v>
      </c>
      <c r="BA42" s="2">
        <v>10.11992</v>
      </c>
      <c r="BB42" s="2">
        <v>24.536300000000001</v>
      </c>
      <c r="BC42" s="2">
        <v>18.75</v>
      </c>
      <c r="BD42" s="3">
        <v>300.7</v>
      </c>
      <c r="BE42" s="2">
        <v>31.742599999999999</v>
      </c>
      <c r="BF42" s="3">
        <v>442.6</v>
      </c>
      <c r="BG42" s="2">
        <v>-10.4948</v>
      </c>
      <c r="BH42" s="2">
        <v>53.295830000000002</v>
      </c>
      <c r="BI42" s="2">
        <v>53.419040000000003</v>
      </c>
      <c r="BJ42" s="2">
        <v>53.050080000000001</v>
      </c>
      <c r="BK42" s="2">
        <v>53.578499999999998</v>
      </c>
      <c r="BL42" s="2">
        <v>25</v>
      </c>
      <c r="BM42" s="2">
        <v>21</v>
      </c>
      <c r="BN42" s="4">
        <v>27</v>
      </c>
      <c r="BO42" s="4">
        <v>2</v>
      </c>
      <c r="BP42" s="4">
        <v>1</v>
      </c>
      <c r="BQ42" s="4">
        <v>25</v>
      </c>
      <c r="BR42" s="2">
        <v>7.1428580000000004</v>
      </c>
      <c r="BS42" s="4">
        <v>9</v>
      </c>
      <c r="BT42" s="4">
        <v>4</v>
      </c>
      <c r="BU42" s="4">
        <v>27</v>
      </c>
      <c r="BV42" s="2">
        <v>33.33334</v>
      </c>
      <c r="BW42" s="2">
        <v>6.6301300000000003</v>
      </c>
      <c r="BX42" s="2">
        <v>535.99710000000005</v>
      </c>
      <c r="BY42" s="3">
        <v>0.3272215</v>
      </c>
      <c r="BZ42" s="3">
        <v>6.1049119999999998E-2</v>
      </c>
      <c r="CA42" s="2">
        <v>0.85432399999999997</v>
      </c>
      <c r="CB42" s="3">
        <v>6.1049119999999998E-2</v>
      </c>
      <c r="CC42" s="3">
        <v>12.13682</v>
      </c>
      <c r="CD42" s="3">
        <v>12.101369999999999</v>
      </c>
      <c r="CE42" s="2">
        <v>-0.29206870000000001</v>
      </c>
      <c r="CF42" s="3">
        <v>8342.4719999999998</v>
      </c>
      <c r="CG42" s="3">
        <v>8183.2439999999997</v>
      </c>
      <c r="CH42" s="2">
        <v>-1.908636</v>
      </c>
      <c r="CI42" s="3">
        <v>425.86959999999999</v>
      </c>
      <c r="CJ42" s="2">
        <v>1.0872839999999999</v>
      </c>
      <c r="CK42" s="3">
        <v>41490.449999999997</v>
      </c>
      <c r="CL42" s="3">
        <v>41511.160000000003</v>
      </c>
      <c r="CM42" s="2">
        <v>4.9912930000000001E-2</v>
      </c>
      <c r="CN42" s="3">
        <v>402.43329999999997</v>
      </c>
      <c r="CO42" s="3">
        <v>396.5421</v>
      </c>
      <c r="CP42" s="3">
        <v>390.61930000000001</v>
      </c>
      <c r="CQ42" s="2">
        <v>-1.5613440000000001</v>
      </c>
      <c r="CR42" s="2">
        <v>-9.8884109999999997E-2</v>
      </c>
      <c r="CS42" s="2">
        <v>1.4158839999999999</v>
      </c>
      <c r="CT42" s="2">
        <v>-1.463902</v>
      </c>
      <c r="CU42" s="2">
        <v>121.9533</v>
      </c>
      <c r="CV42" s="3">
        <v>5.7434300000000001E-2</v>
      </c>
      <c r="CW42" s="2" t="e">
        <v>#N/A</v>
      </c>
      <c r="CX42" s="2">
        <v>9.9970019999999992E-4</v>
      </c>
      <c r="CY42" s="2" t="e">
        <v>#N/A</v>
      </c>
      <c r="CZ42" s="2">
        <v>27.52525</v>
      </c>
    </row>
    <row r="43" spans="1:104" ht="15" customHeight="1" x14ac:dyDescent="0.2">
      <c r="A43" s="1">
        <f t="shared" si="0"/>
        <v>37</v>
      </c>
      <c r="B43" s="1" t="s">
        <v>125</v>
      </c>
      <c r="C43" s="1" t="s">
        <v>124</v>
      </c>
      <c r="D43" s="1" t="s">
        <v>14</v>
      </c>
      <c r="E43" s="1" t="s">
        <v>32</v>
      </c>
      <c r="F43" s="1" t="s">
        <v>126</v>
      </c>
      <c r="G43" s="2">
        <v>38056.959999999999</v>
      </c>
      <c r="H43" s="2">
        <v>92.489900000000006</v>
      </c>
      <c r="I43" s="2">
        <v>35198.85</v>
      </c>
      <c r="J43" s="3">
        <v>56.15</v>
      </c>
      <c r="K43" s="3">
        <v>0</v>
      </c>
      <c r="L43" s="2">
        <v>3.5618880000000002</v>
      </c>
      <c r="M43" s="2">
        <v>3.6681680000000001</v>
      </c>
      <c r="N43" s="2">
        <v>3.7934109999999999</v>
      </c>
      <c r="O43" s="2">
        <v>4.0071240000000001</v>
      </c>
      <c r="P43" s="2">
        <v>16.370259999999998</v>
      </c>
      <c r="Q43" s="2">
        <v>16.368020000000001</v>
      </c>
      <c r="R43" s="2">
        <v>15.667730000000001</v>
      </c>
      <c r="S43" s="2">
        <v>14.59207</v>
      </c>
      <c r="T43" s="2">
        <v>9.5866209999999992</v>
      </c>
      <c r="U43" s="2">
        <v>10.32479</v>
      </c>
      <c r="V43" s="2">
        <v>10.02684</v>
      </c>
      <c r="W43" s="2">
        <v>9.2643540000000009</v>
      </c>
      <c r="X43" s="2">
        <v>2.0086400000000002</v>
      </c>
      <c r="Y43" s="2">
        <v>1.941899</v>
      </c>
      <c r="Z43" s="2">
        <v>1.8543590000000001</v>
      </c>
      <c r="AA43" s="2">
        <v>1.771852</v>
      </c>
      <c r="AB43" s="2">
        <v>12.11708</v>
      </c>
      <c r="AC43" s="2">
        <v>10.57211</v>
      </c>
      <c r="AD43" s="2">
        <v>10.74009</v>
      </c>
      <c r="AE43" s="2">
        <v>9.8508779999999998</v>
      </c>
      <c r="AF43" s="2">
        <v>4.44902</v>
      </c>
      <c r="AG43" s="2">
        <v>4.9916830000000001</v>
      </c>
      <c r="AH43" s="2">
        <v>5.402647</v>
      </c>
      <c r="AI43" s="2">
        <v>5.5788060000000002</v>
      </c>
      <c r="AJ43" s="2">
        <v>6.150112</v>
      </c>
      <c r="AK43" s="2">
        <v>6.5411049999999999</v>
      </c>
      <c r="AL43" s="3">
        <v>5.4331589999999998</v>
      </c>
      <c r="AM43" s="3">
        <v>5.2109810000000003</v>
      </c>
      <c r="AN43" s="2">
        <v>16.358409999999999</v>
      </c>
      <c r="AO43" s="2">
        <v>16.595759999999999</v>
      </c>
      <c r="AP43" s="2">
        <v>16.722580000000001</v>
      </c>
      <c r="AQ43" s="2">
        <v>17.18628</v>
      </c>
      <c r="AR43" s="2">
        <v>2.233641</v>
      </c>
      <c r="AS43" s="2">
        <v>2.090913</v>
      </c>
      <c r="AT43" s="2">
        <v>1.888646</v>
      </c>
      <c r="AU43" s="2">
        <v>1.61243</v>
      </c>
      <c r="AV43" s="1" t="s">
        <v>95</v>
      </c>
      <c r="AW43" s="3">
        <v>1.7916669999999999</v>
      </c>
      <c r="AX43" s="3">
        <v>57</v>
      </c>
      <c r="AY43" s="2">
        <v>1.513803</v>
      </c>
      <c r="AZ43" s="2">
        <v>11.86398</v>
      </c>
      <c r="BA43" s="2">
        <v>2.9007939999999999</v>
      </c>
      <c r="BB43" s="2">
        <v>11.54152</v>
      </c>
      <c r="BC43" s="2">
        <v>14.056469999999999</v>
      </c>
      <c r="BD43" s="3">
        <v>48.034999999999997</v>
      </c>
      <c r="BE43" s="2">
        <v>16.893940000000001</v>
      </c>
      <c r="BF43" s="3">
        <v>61.88</v>
      </c>
      <c r="BG43" s="2">
        <v>-9.2598549999999999</v>
      </c>
      <c r="BH43" s="2">
        <v>58.407440000000001</v>
      </c>
      <c r="BI43" s="2">
        <v>59.992280000000001</v>
      </c>
      <c r="BJ43" s="2">
        <v>59.968530000000001</v>
      </c>
      <c r="BK43" s="2">
        <v>58.984839999999998</v>
      </c>
      <c r="BL43" s="2">
        <v>23</v>
      </c>
      <c r="BM43" s="2">
        <v>22</v>
      </c>
      <c r="BN43" s="4">
        <v>24</v>
      </c>
      <c r="BO43" s="4">
        <v>0</v>
      </c>
      <c r="BP43" s="4">
        <v>1</v>
      </c>
      <c r="BQ43" s="4">
        <v>24</v>
      </c>
      <c r="BR43" s="2">
        <v>0</v>
      </c>
      <c r="BS43" s="4">
        <v>11</v>
      </c>
      <c r="BT43" s="4">
        <v>6</v>
      </c>
      <c r="BU43" s="4">
        <v>24</v>
      </c>
      <c r="BV43" s="2">
        <v>45.83334</v>
      </c>
      <c r="BW43" s="2">
        <v>5.7866400000000002</v>
      </c>
      <c r="BX43" s="2">
        <v>677.7731</v>
      </c>
      <c r="BY43" s="3">
        <v>1.2550600000000001</v>
      </c>
      <c r="BZ43" s="3">
        <v>0.18517400000000001</v>
      </c>
      <c r="CA43" s="2">
        <v>0.56962100000000004</v>
      </c>
      <c r="CB43" s="3">
        <v>0.18517400000000001</v>
      </c>
      <c r="CC43" s="3">
        <v>3.431813</v>
      </c>
      <c r="CD43" s="3">
        <v>3.4284400000000002</v>
      </c>
      <c r="CE43" s="2">
        <v>-9.8270179999999999E-2</v>
      </c>
      <c r="CF43" s="3">
        <v>3470.605</v>
      </c>
      <c r="CG43" s="3">
        <v>3425.8760000000002</v>
      </c>
      <c r="CH43" s="2">
        <v>-1.288772</v>
      </c>
      <c r="CI43" s="3">
        <v>59.990470000000002</v>
      </c>
      <c r="CJ43" s="2">
        <v>-4.984915</v>
      </c>
      <c r="CK43" s="3">
        <v>27899.62</v>
      </c>
      <c r="CL43" s="3">
        <v>27827.08</v>
      </c>
      <c r="CM43" s="2">
        <v>-0.2600074</v>
      </c>
      <c r="CN43" s="3">
        <v>55.071980000000003</v>
      </c>
      <c r="CO43" s="3">
        <v>53.510590000000001</v>
      </c>
      <c r="CP43" s="3">
        <v>53.592689999999997</v>
      </c>
      <c r="CQ43" s="2">
        <v>1.957476</v>
      </c>
      <c r="CR43" s="2">
        <v>4.9325109999999999</v>
      </c>
      <c r="CS43" s="2">
        <v>4.7717450000000001</v>
      </c>
      <c r="CT43" s="2">
        <v>-2.8351839999999999</v>
      </c>
      <c r="CU43" s="2">
        <v>56.689610000000002</v>
      </c>
      <c r="CV43" s="3">
        <v>0.14895990000000001</v>
      </c>
      <c r="CW43" s="2" t="e">
        <v>#N/A</v>
      </c>
      <c r="CX43" s="2">
        <v>2.8986350000000001E-3</v>
      </c>
      <c r="CY43" s="2" t="e">
        <v>#N/A</v>
      </c>
      <c r="CZ43" s="2">
        <v>27.676770000000001</v>
      </c>
    </row>
    <row r="44" spans="1:104" ht="15" customHeight="1" x14ac:dyDescent="0.2">
      <c r="A44" s="1">
        <f t="shared" si="0"/>
        <v>38</v>
      </c>
      <c r="B44" s="1" t="s">
        <v>128</v>
      </c>
      <c r="C44" s="1" t="s">
        <v>127</v>
      </c>
      <c r="D44" s="1" t="s">
        <v>14</v>
      </c>
      <c r="E44" s="1" t="s">
        <v>77</v>
      </c>
      <c r="F44" s="1" t="s">
        <v>129</v>
      </c>
      <c r="G44" s="2">
        <v>83049.740000000005</v>
      </c>
      <c r="H44" s="2">
        <v>93.578199999999995</v>
      </c>
      <c r="I44" s="2">
        <v>77716.45</v>
      </c>
      <c r="J44" s="3">
        <v>144.97999999999999</v>
      </c>
      <c r="K44" s="3">
        <v>0</v>
      </c>
      <c r="L44" s="2">
        <v>2.172714</v>
      </c>
      <c r="M44" s="2">
        <v>2.400331</v>
      </c>
      <c r="N44" s="2">
        <v>2.6279490000000001</v>
      </c>
      <c r="O44" s="2">
        <v>2.8900540000000001</v>
      </c>
      <c r="P44" s="2">
        <v>20.390999999999998</v>
      </c>
      <c r="Q44" s="2">
        <v>18.381769999999999</v>
      </c>
      <c r="R44" s="2">
        <v>17.021419999999999</v>
      </c>
      <c r="S44" s="2">
        <v>15.5725</v>
      </c>
      <c r="T44" s="2">
        <v>12.192030000000001</v>
      </c>
      <c r="U44" s="2">
        <v>12.44816</v>
      </c>
      <c r="V44" s="2">
        <v>11.549099999999999</v>
      </c>
      <c r="W44" s="2">
        <v>10.48372</v>
      </c>
      <c r="X44" s="2">
        <v>3.1836519999999999</v>
      </c>
      <c r="Y44" s="2">
        <v>3.0014180000000001</v>
      </c>
      <c r="Z44" s="2">
        <v>2.774737</v>
      </c>
      <c r="AA44" s="2">
        <v>2.529309</v>
      </c>
      <c r="AB44" s="2">
        <v>18.43357</v>
      </c>
      <c r="AC44" s="2">
        <v>15.86176</v>
      </c>
      <c r="AD44" s="2">
        <v>13.728020000000001</v>
      </c>
      <c r="AE44" s="2">
        <v>12.757350000000001</v>
      </c>
      <c r="AF44" s="2">
        <v>4.2310619999999997</v>
      </c>
      <c r="AG44" s="2">
        <v>4.9892300000000001</v>
      </c>
      <c r="AH44" s="2">
        <v>5.6471150000000003</v>
      </c>
      <c r="AI44" s="2">
        <v>4.699694</v>
      </c>
      <c r="AJ44" s="2">
        <v>5.4288889999999999</v>
      </c>
      <c r="AK44" s="2">
        <v>5.9802840000000002</v>
      </c>
      <c r="AL44" s="3">
        <v>2.7706740000000001</v>
      </c>
      <c r="AM44" s="3">
        <v>2.5513590000000002</v>
      </c>
      <c r="AN44" s="2">
        <v>19.511209999999998</v>
      </c>
      <c r="AO44" s="2">
        <v>20.582730000000002</v>
      </c>
      <c r="AP44" s="2">
        <v>20.730820000000001</v>
      </c>
      <c r="AQ44" s="2">
        <v>21.075209999999998</v>
      </c>
      <c r="AR44" s="2">
        <v>0.99652830000000003</v>
      </c>
      <c r="AS44" s="2">
        <v>1.2412730000000001</v>
      </c>
      <c r="AT44" s="2">
        <v>0.93530610000000003</v>
      </c>
      <c r="AU44" s="2">
        <v>0.58405949999999995</v>
      </c>
      <c r="AV44" s="1" t="s">
        <v>37</v>
      </c>
      <c r="AW44" s="3">
        <v>1.571429</v>
      </c>
      <c r="AX44" s="3">
        <v>175</v>
      </c>
      <c r="AY44" s="2">
        <v>20.706309999999998</v>
      </c>
      <c r="AZ44" s="2">
        <v>16.328240000000001</v>
      </c>
      <c r="BA44" s="2">
        <v>7.5</v>
      </c>
      <c r="BB44" s="2">
        <v>13.036020000000001</v>
      </c>
      <c r="BC44" s="2">
        <v>10.908810000000001</v>
      </c>
      <c r="BD44" s="3">
        <v>124.8</v>
      </c>
      <c r="BE44" s="2">
        <v>16.16987</v>
      </c>
      <c r="BF44" s="3">
        <v>167.98</v>
      </c>
      <c r="BG44" s="2">
        <v>-13.6921</v>
      </c>
      <c r="BH44" s="2">
        <v>43.785690000000002</v>
      </c>
      <c r="BI44" s="2">
        <v>45.804920000000003</v>
      </c>
      <c r="BJ44" s="2">
        <v>45.616689999999998</v>
      </c>
      <c r="BK44" s="2">
        <v>44.978810000000003</v>
      </c>
      <c r="BL44" s="2">
        <v>20</v>
      </c>
      <c r="BM44" s="2">
        <v>20</v>
      </c>
      <c r="BN44" s="4">
        <v>21</v>
      </c>
      <c r="BO44" s="4">
        <v>0</v>
      </c>
      <c r="BP44" s="4">
        <v>0</v>
      </c>
      <c r="BQ44" s="4">
        <v>21</v>
      </c>
      <c r="BR44" s="2">
        <v>0</v>
      </c>
      <c r="BS44" s="4">
        <v>13</v>
      </c>
      <c r="BT44" s="4">
        <v>3</v>
      </c>
      <c r="BU44" s="4">
        <v>21</v>
      </c>
      <c r="BV44" s="2">
        <v>61.904760000000003</v>
      </c>
      <c r="BW44" s="2">
        <v>7.38659</v>
      </c>
      <c r="BX44" s="2">
        <v>572.83590000000004</v>
      </c>
      <c r="BY44" s="3">
        <v>0.79674270000000003</v>
      </c>
      <c r="BZ44" s="3">
        <v>0.1390874</v>
      </c>
      <c r="CA44" s="2">
        <v>0.98279399999999995</v>
      </c>
      <c r="CB44" s="3">
        <v>0.1390874</v>
      </c>
      <c r="CC44" s="3">
        <v>7.8490890000000002</v>
      </c>
      <c r="CD44" s="3">
        <v>7.7777960000000004</v>
      </c>
      <c r="CE44" s="2">
        <v>-0.90829130000000002</v>
      </c>
      <c r="CF44" s="3">
        <v>6117.625</v>
      </c>
      <c r="CG44" s="3">
        <v>6166.7250000000004</v>
      </c>
      <c r="CH44" s="2">
        <v>0.80260039999999999</v>
      </c>
      <c r="CI44" s="3">
        <v>173.4091</v>
      </c>
      <c r="CJ44" s="2">
        <v>0.91743470000000005</v>
      </c>
      <c r="CK44" s="3">
        <v>36069.49</v>
      </c>
      <c r="CL44" s="3">
        <v>36001.440000000002</v>
      </c>
      <c r="CM44" s="2">
        <v>-0.1886785</v>
      </c>
      <c r="CN44" s="3">
        <v>155.49379999999999</v>
      </c>
      <c r="CO44" s="3">
        <v>153.4</v>
      </c>
      <c r="CP44" s="3">
        <v>150.04769999999999</v>
      </c>
      <c r="CQ44" s="2">
        <v>-6.7615800000000004</v>
      </c>
      <c r="CR44" s="2">
        <v>-5.4889140000000003</v>
      </c>
      <c r="CS44" s="2">
        <v>-3.3773840000000002</v>
      </c>
      <c r="CT44" s="2">
        <v>-1.346576</v>
      </c>
      <c r="CU44" s="2">
        <v>117.6215</v>
      </c>
      <c r="CV44" s="3">
        <v>0.1416278</v>
      </c>
      <c r="CW44" s="2" t="e">
        <v>#N/A</v>
      </c>
      <c r="CX44" s="2">
        <v>-1.203619</v>
      </c>
      <c r="CY44" s="2" t="e">
        <v>#N/A</v>
      </c>
      <c r="CZ44" s="2">
        <v>27.676770000000001</v>
      </c>
    </row>
    <row r="45" spans="1:104" ht="15" customHeight="1" x14ac:dyDescent="0.2">
      <c r="A45" s="1">
        <f t="shared" si="0"/>
        <v>39</v>
      </c>
      <c r="B45" s="1" t="s">
        <v>131</v>
      </c>
      <c r="C45" s="1" t="s">
        <v>130</v>
      </c>
      <c r="D45" s="1" t="s">
        <v>40</v>
      </c>
      <c r="E45" s="1" t="s">
        <v>4</v>
      </c>
      <c r="F45" s="1" t="s">
        <v>132</v>
      </c>
      <c r="G45" s="2">
        <v>29488</v>
      </c>
      <c r="H45" s="2">
        <v>96.704700000000003</v>
      </c>
      <c r="I45" s="2">
        <v>28516.28</v>
      </c>
      <c r="J45" s="3">
        <v>155.19999999999999</v>
      </c>
      <c r="K45" s="3">
        <v>0</v>
      </c>
      <c r="L45" s="2">
        <v>2.3195869999999998</v>
      </c>
      <c r="M45" s="2">
        <v>2.5509750000000002</v>
      </c>
      <c r="N45" s="2">
        <v>2.7061860000000002</v>
      </c>
      <c r="O45" s="2">
        <v>2.8994849999999999</v>
      </c>
      <c r="P45" s="2">
        <v>18.025549999999999</v>
      </c>
      <c r="Q45" s="2">
        <v>16.3886</v>
      </c>
      <c r="R45" s="2">
        <v>15.85291</v>
      </c>
      <c r="S45" s="2">
        <v>14.91498</v>
      </c>
      <c r="T45" s="2">
        <v>13.38058</v>
      </c>
      <c r="U45" s="2">
        <v>12.00271</v>
      </c>
      <c r="V45" s="2">
        <v>10.656560000000001</v>
      </c>
      <c r="W45" s="2">
        <v>9.9492209999999996</v>
      </c>
      <c r="X45" s="2">
        <v>3.5596329999999998</v>
      </c>
      <c r="Y45" s="2">
        <v>3.0709209999999998</v>
      </c>
      <c r="Z45" s="2">
        <v>2.7342770000000001</v>
      </c>
      <c r="AA45" s="2">
        <v>2.4469850000000002</v>
      </c>
      <c r="AB45" s="2">
        <v>15.11186</v>
      </c>
      <c r="AC45" s="2">
        <v>13.268039999999999</v>
      </c>
      <c r="AD45" s="2">
        <v>12.266629999999999</v>
      </c>
      <c r="AE45" s="2">
        <v>11.770949999999999</v>
      </c>
      <c r="AF45" s="2">
        <v>5.2800729999999998</v>
      </c>
      <c r="AG45" s="2">
        <v>5.6322320000000001</v>
      </c>
      <c r="AH45" s="2">
        <v>4.6728459999999998</v>
      </c>
      <c r="AI45" s="2">
        <v>6.2820710000000002</v>
      </c>
      <c r="AJ45" s="2">
        <v>6.4546340000000004</v>
      </c>
      <c r="AK45" s="2">
        <v>5.1395239999999998</v>
      </c>
      <c r="AL45" s="3">
        <v>1.637213</v>
      </c>
      <c r="AM45" s="3">
        <v>1.558071</v>
      </c>
      <c r="AN45" s="2">
        <v>58.225749999999998</v>
      </c>
      <c r="AO45" s="2">
        <v>58.29712</v>
      </c>
      <c r="AP45" s="2">
        <v>57.041710000000002</v>
      </c>
      <c r="AQ45" s="2">
        <v>56.904829999999997</v>
      </c>
      <c r="AR45" s="2">
        <v>1.238518</v>
      </c>
      <c r="AS45" s="2">
        <v>1.9144460000000001</v>
      </c>
      <c r="AT45" s="2">
        <v>1.3577809999999999</v>
      </c>
      <c r="AU45" s="2">
        <v>0.9034063</v>
      </c>
      <c r="AV45" s="1" t="s">
        <v>95</v>
      </c>
      <c r="AW45" s="3">
        <v>1.6363639999999999</v>
      </c>
      <c r="AX45" s="3">
        <v>190</v>
      </c>
      <c r="AY45" s="2">
        <v>22.42268</v>
      </c>
      <c r="AZ45" s="2">
        <v>18.738160000000001</v>
      </c>
      <c r="BA45" s="2">
        <v>9.9241430000000008</v>
      </c>
      <c r="BB45" s="2">
        <v>-5.7394449999999999</v>
      </c>
      <c r="BC45" s="2">
        <v>-3.8413879999999998</v>
      </c>
      <c r="BD45" s="3">
        <v>152.6</v>
      </c>
      <c r="BE45" s="2">
        <v>1.7037990000000001</v>
      </c>
      <c r="BF45" s="3">
        <v>186.35</v>
      </c>
      <c r="BG45" s="2">
        <v>-16.715859999999999</v>
      </c>
      <c r="BH45" s="2">
        <v>41.893819999999998</v>
      </c>
      <c r="BI45" s="2">
        <v>41.423960000000001</v>
      </c>
      <c r="BJ45" s="2">
        <v>41.754829999999998</v>
      </c>
      <c r="BK45" s="2">
        <v>41.704050000000002</v>
      </c>
      <c r="BL45" s="2">
        <v>21</v>
      </c>
      <c r="BM45" s="2">
        <v>18</v>
      </c>
      <c r="BN45" s="4">
        <v>22</v>
      </c>
      <c r="BO45" s="4">
        <v>0</v>
      </c>
      <c r="BP45" s="4">
        <v>2</v>
      </c>
      <c r="BQ45" s="4">
        <v>22</v>
      </c>
      <c r="BR45" s="2">
        <v>0</v>
      </c>
      <c r="BS45" s="4">
        <v>9</v>
      </c>
      <c r="BT45" s="4">
        <v>1</v>
      </c>
      <c r="BU45" s="4">
        <v>22</v>
      </c>
      <c r="BV45" s="2">
        <v>40.909089999999999</v>
      </c>
      <c r="BW45" s="2">
        <v>5.74803</v>
      </c>
      <c r="BX45" s="2">
        <v>190</v>
      </c>
      <c r="BY45" s="3">
        <v>0.35310130000000001</v>
      </c>
      <c r="BZ45" s="3">
        <v>0.1858428</v>
      </c>
      <c r="CA45" s="2">
        <v>0.53271599999999997</v>
      </c>
      <c r="CB45" s="3">
        <v>0.1858428</v>
      </c>
      <c r="CC45" s="3">
        <v>9.5982959999999995</v>
      </c>
      <c r="CD45" s="3">
        <v>9.5519809999999996</v>
      </c>
      <c r="CE45" s="2">
        <v>-0.4825354</v>
      </c>
      <c r="CF45" s="3">
        <v>2552.864</v>
      </c>
      <c r="CG45" s="3">
        <v>2531.2089999999998</v>
      </c>
      <c r="CH45" s="2">
        <v>-0.84824560000000004</v>
      </c>
      <c r="CI45" s="3">
        <v>195</v>
      </c>
      <c r="CJ45" s="2">
        <v>-2.5641020000000001</v>
      </c>
      <c r="CK45" s="3">
        <v>4869.57</v>
      </c>
      <c r="CL45" s="3">
        <v>4998.7690000000002</v>
      </c>
      <c r="CM45" s="2">
        <v>2.6531820000000002</v>
      </c>
      <c r="CN45" s="3">
        <v>167.80449999999999</v>
      </c>
      <c r="CO45" s="3">
        <v>161.46369999999999</v>
      </c>
      <c r="CP45" s="3">
        <v>159.40770000000001</v>
      </c>
      <c r="CQ45" s="2">
        <v>-7.5114429999999999</v>
      </c>
      <c r="CR45" s="2">
        <v>-3.8793329999999999</v>
      </c>
      <c r="CS45" s="2">
        <v>-2.639586</v>
      </c>
      <c r="CT45" s="2">
        <v>-3.7786960000000001</v>
      </c>
      <c r="CU45" s="2">
        <v>51.867289999999997</v>
      </c>
      <c r="CV45" s="3">
        <v>0.17589289999999999</v>
      </c>
      <c r="CW45" s="2">
        <v>-2.377713</v>
      </c>
      <c r="CX45" s="2">
        <v>7.1655040000000003E-2</v>
      </c>
      <c r="CY45" s="2">
        <v>-10.92266</v>
      </c>
      <c r="CZ45" s="2">
        <v>27.91919</v>
      </c>
    </row>
    <row r="46" spans="1:104" ht="15" customHeight="1" x14ac:dyDescent="0.2">
      <c r="A46" s="1">
        <f t="shared" si="0"/>
        <v>40</v>
      </c>
      <c r="B46" s="1" t="s">
        <v>134</v>
      </c>
      <c r="C46" s="1" t="s">
        <v>133</v>
      </c>
      <c r="D46" s="1" t="s">
        <v>40</v>
      </c>
      <c r="E46" s="1" t="s">
        <v>20</v>
      </c>
      <c r="F46" s="1" t="s">
        <v>21</v>
      </c>
      <c r="G46" s="2">
        <v>20585.490000000002</v>
      </c>
      <c r="H46" s="2">
        <v>97.526200000000003</v>
      </c>
      <c r="I46" s="2">
        <v>20076.25</v>
      </c>
      <c r="J46" s="3">
        <v>99.83</v>
      </c>
      <c r="K46" s="3">
        <v>0</v>
      </c>
      <c r="L46" s="2">
        <v>8.7148140000000005</v>
      </c>
      <c r="M46" s="2">
        <v>8.8250030000000006</v>
      </c>
      <c r="N46" s="2">
        <v>9.015326</v>
      </c>
      <c r="O46" s="2">
        <v>9.0453770000000002</v>
      </c>
      <c r="P46" s="2">
        <v>3.3692199999999999</v>
      </c>
      <c r="Q46" s="2">
        <v>3.2715990000000001</v>
      </c>
      <c r="R46" s="2">
        <v>3.1601680000000001</v>
      </c>
      <c r="S46" s="2">
        <v>3.0791930000000001</v>
      </c>
      <c r="T46" s="2">
        <v>0.52496169999999998</v>
      </c>
      <c r="U46" s="2">
        <v>0.3337928</v>
      </c>
      <c r="V46" s="2">
        <v>0.26308979999999998</v>
      </c>
      <c r="W46" s="2">
        <v>0.29761120000000002</v>
      </c>
      <c r="X46" s="2">
        <v>0.30260690000000001</v>
      </c>
      <c r="Y46" s="2">
        <v>0.2924506</v>
      </c>
      <c r="Z46" s="2">
        <v>0.27921069999999998</v>
      </c>
      <c r="AA46" s="2">
        <v>0.26307049999999998</v>
      </c>
      <c r="AB46" s="2">
        <v>1.675</v>
      </c>
      <c r="AC46" s="2">
        <v>1.463978</v>
      </c>
      <c r="AD46" s="2">
        <v>1.3763749999999999</v>
      </c>
      <c r="AE46" s="2">
        <v>1.3382039999999999</v>
      </c>
      <c r="AF46" s="2">
        <v>-48.717030000000001</v>
      </c>
      <c r="AG46" s="2">
        <v>-46.025910000000003</v>
      </c>
      <c r="AH46" s="2">
        <v>-64.135760000000005</v>
      </c>
      <c r="AI46" s="2">
        <v>39.934730000000002</v>
      </c>
      <c r="AJ46" s="2">
        <v>44.516759999999998</v>
      </c>
      <c r="AK46" s="2">
        <v>58.045070000000003</v>
      </c>
      <c r="AL46" s="3">
        <v>0.62486090000000005</v>
      </c>
      <c r="AM46" s="3">
        <v>0.60263089999999997</v>
      </c>
      <c r="AN46" s="2">
        <v>16.75564</v>
      </c>
      <c r="AO46" s="2">
        <v>14.32376</v>
      </c>
      <c r="AP46" s="2">
        <v>14.27459</v>
      </c>
      <c r="AQ46" s="2">
        <v>13.59291</v>
      </c>
      <c r="AR46" s="2">
        <v>-0.91937729999999995</v>
      </c>
      <c r="AS46" s="2">
        <v>-0.83640380000000003</v>
      </c>
      <c r="AT46" s="2">
        <v>-0.89428149999999995</v>
      </c>
      <c r="AU46" s="2">
        <v>-0.88461270000000003</v>
      </c>
      <c r="AV46" s="1" t="s">
        <v>6</v>
      </c>
      <c r="AW46" s="3">
        <v>1.5</v>
      </c>
      <c r="AX46" s="3">
        <v>140</v>
      </c>
      <c r="AY46" s="2">
        <v>40.238399999999999</v>
      </c>
      <c r="AZ46" s="2">
        <v>8.9390730000000005</v>
      </c>
      <c r="BA46" s="2">
        <v>5.2164210000000004</v>
      </c>
      <c r="BB46" s="2">
        <v>-22.815829999999998</v>
      </c>
      <c r="BC46" s="2">
        <v>-14.250120000000001</v>
      </c>
      <c r="BD46" s="3">
        <v>97.83</v>
      </c>
      <c r="BE46" s="2">
        <v>2.044368</v>
      </c>
      <c r="BF46" s="3">
        <v>144.97999999999999</v>
      </c>
      <c r="BG46" s="2">
        <v>-31.142219999999998</v>
      </c>
      <c r="BH46" s="2">
        <v>28.79974</v>
      </c>
      <c r="BI46" s="2">
        <v>29.100100000000001</v>
      </c>
      <c r="BJ46" s="2">
        <v>27.961089999999999</v>
      </c>
      <c r="BK46" s="2">
        <v>26.224060000000001</v>
      </c>
      <c r="BL46" s="2">
        <v>22</v>
      </c>
      <c r="BM46" s="2">
        <v>21</v>
      </c>
      <c r="BN46" s="4">
        <v>23</v>
      </c>
      <c r="BO46" s="4">
        <v>4</v>
      </c>
      <c r="BP46" s="4">
        <v>3</v>
      </c>
      <c r="BQ46" s="4">
        <v>18</v>
      </c>
      <c r="BR46" s="2">
        <v>16</v>
      </c>
      <c r="BS46" s="4">
        <v>14</v>
      </c>
      <c r="BT46" s="4">
        <v>2</v>
      </c>
      <c r="BU46" s="4">
        <v>23</v>
      </c>
      <c r="BV46" s="2">
        <v>60.86956</v>
      </c>
      <c r="BW46" s="2">
        <v>9.8706300000000002</v>
      </c>
      <c r="BX46" s="2">
        <v>206.2054</v>
      </c>
      <c r="BY46" s="3">
        <v>1.0613790000000001</v>
      </c>
      <c r="BZ46" s="3">
        <v>0.51471920000000004</v>
      </c>
      <c r="CA46" s="2">
        <v>1.2882100000000001</v>
      </c>
      <c r="CB46" s="3">
        <v>0.51471920000000004</v>
      </c>
      <c r="CC46" s="3">
        <v>32.120530000000002</v>
      </c>
      <c r="CD46" s="3">
        <v>30.627040000000001</v>
      </c>
      <c r="CE46" s="2">
        <v>-4.6496389999999996</v>
      </c>
      <c r="CF46" s="3">
        <v>23534.720000000001</v>
      </c>
      <c r="CG46" s="3">
        <v>22119.67</v>
      </c>
      <c r="CH46" s="2">
        <v>-6.0126119999999998</v>
      </c>
      <c r="CI46" s="3">
        <v>160.22499999999999</v>
      </c>
      <c r="CJ46" s="2">
        <v>-12.62288</v>
      </c>
      <c r="CK46" s="3">
        <v>307799.7</v>
      </c>
      <c r="CL46" s="3">
        <v>311289</v>
      </c>
      <c r="CM46" s="2">
        <v>1.1336569999999999</v>
      </c>
      <c r="CN46" s="3">
        <v>120.2616</v>
      </c>
      <c r="CO46" s="3">
        <v>108.10339999999999</v>
      </c>
      <c r="CP46" s="3">
        <v>105.7458</v>
      </c>
      <c r="CQ46" s="2">
        <v>-16.989329999999999</v>
      </c>
      <c r="CR46" s="2">
        <v>-7.6531890000000002</v>
      </c>
      <c r="CS46" s="2">
        <v>-5.5943310000000004</v>
      </c>
      <c r="CT46" s="2">
        <v>-10.109870000000001</v>
      </c>
      <c r="CU46" s="2">
        <v>107.60429999999999</v>
      </c>
      <c r="CV46" s="3">
        <v>0.52271909999999999</v>
      </c>
      <c r="CW46" s="2">
        <v>9.7983720000000005</v>
      </c>
      <c r="CX46" s="2">
        <v>2.899232</v>
      </c>
      <c r="CY46" s="2">
        <v>-10.93121</v>
      </c>
      <c r="CZ46" s="2">
        <v>29.616160000000001</v>
      </c>
    </row>
    <row r="47" spans="1:104" ht="15" customHeight="1" x14ac:dyDescent="0.2">
      <c r="A47" s="1">
        <f t="shared" si="0"/>
        <v>41</v>
      </c>
      <c r="B47" s="1" t="s">
        <v>136</v>
      </c>
      <c r="C47" s="1" t="s">
        <v>135</v>
      </c>
      <c r="D47" s="1" t="s">
        <v>40</v>
      </c>
      <c r="E47" s="1" t="s">
        <v>20</v>
      </c>
      <c r="F47" s="1" t="s">
        <v>21</v>
      </c>
      <c r="G47" s="2">
        <v>59301.09</v>
      </c>
      <c r="H47" s="2">
        <v>80.334199999999996</v>
      </c>
      <c r="I47" s="2">
        <v>47639.05</v>
      </c>
      <c r="J47" s="3">
        <v>55.43</v>
      </c>
      <c r="K47" s="3">
        <v>0</v>
      </c>
      <c r="L47" s="2">
        <v>9.3812010000000008</v>
      </c>
      <c r="M47" s="2">
        <v>9.3812010000000008</v>
      </c>
      <c r="N47" s="2">
        <v>9.2175449999999994</v>
      </c>
      <c r="O47" s="2">
        <v>9.4714050000000007</v>
      </c>
      <c r="P47" s="2">
        <v>4.0907749999999998</v>
      </c>
      <c r="Q47" s="2">
        <v>4.1964629999999996</v>
      </c>
      <c r="R47" s="2">
        <v>4.559043</v>
      </c>
      <c r="S47" s="2">
        <v>4.5065039999999996</v>
      </c>
      <c r="T47" s="2">
        <v>1.445519</v>
      </c>
      <c r="U47" s="2">
        <v>1.1959150000000001</v>
      </c>
      <c r="V47" s="2">
        <v>1.147235</v>
      </c>
      <c r="W47" s="2">
        <v>0.94522819999999996</v>
      </c>
      <c r="X47" s="2">
        <v>0.73117010000000004</v>
      </c>
      <c r="Y47" s="2">
        <v>0.63035200000000002</v>
      </c>
      <c r="Z47" s="2">
        <v>0.57854090000000002</v>
      </c>
      <c r="AA47" s="2">
        <v>0.53529689999999996</v>
      </c>
      <c r="AB47" s="2">
        <v>3.522837</v>
      </c>
      <c r="AC47" s="2">
        <v>3.2532169999999998</v>
      </c>
      <c r="AD47" s="2">
        <v>3.2743639999999998</v>
      </c>
      <c r="AE47" s="2">
        <v>2.869049</v>
      </c>
      <c r="AF47" s="2">
        <v>31.148040000000002</v>
      </c>
      <c r="AG47" s="2">
        <v>33.45373</v>
      </c>
      <c r="AH47" s="2">
        <v>47.103810000000003</v>
      </c>
      <c r="AI47" s="2">
        <v>16.428460000000001</v>
      </c>
      <c r="AJ47" s="2">
        <v>16.06109</v>
      </c>
      <c r="AK47" s="2">
        <v>19.142299999999999</v>
      </c>
      <c r="AL47" s="3" t="e">
        <v>#N/A</v>
      </c>
      <c r="AM47" s="3" t="e">
        <v>#N/A</v>
      </c>
      <c r="AN47" s="2">
        <v>18.01662</v>
      </c>
      <c r="AO47" s="2">
        <v>17.14265</v>
      </c>
      <c r="AP47" s="2">
        <v>15.913180000000001</v>
      </c>
      <c r="AQ47" s="2">
        <v>15.946820000000001</v>
      </c>
      <c r="AR47" s="2">
        <v>-0.98484899999999997</v>
      </c>
      <c r="AS47" s="2">
        <v>-1.0715170000000001</v>
      </c>
      <c r="AT47" s="2">
        <v>-1.2423470000000001</v>
      </c>
      <c r="AU47" s="2">
        <v>-1.380714</v>
      </c>
      <c r="AV47" s="1" t="s">
        <v>6</v>
      </c>
      <c r="AW47" s="3">
        <v>1.375</v>
      </c>
      <c r="AX47" s="3">
        <v>85</v>
      </c>
      <c r="AY47" s="2">
        <v>53.346559999999997</v>
      </c>
      <c r="AZ47" s="2">
        <v>15.02103</v>
      </c>
      <c r="BA47" s="2">
        <v>-3.8801549999999998</v>
      </c>
      <c r="BB47" s="2">
        <v>-5.4095510000000004</v>
      </c>
      <c r="BC47" s="2">
        <v>-9.7231269999999999</v>
      </c>
      <c r="BD47" s="3">
        <v>55.08</v>
      </c>
      <c r="BE47" s="2">
        <v>0.63543320000000003</v>
      </c>
      <c r="BF47" s="3">
        <v>76.099999999999994</v>
      </c>
      <c r="BG47" s="2">
        <v>-27.161629999999999</v>
      </c>
      <c r="BH47" s="2">
        <v>37.963099999999997</v>
      </c>
      <c r="BI47" s="2">
        <v>40.135190000000001</v>
      </c>
      <c r="BJ47" s="2">
        <v>42.016469999999998</v>
      </c>
      <c r="BK47" s="2">
        <v>41.913089999999997</v>
      </c>
      <c r="BL47" s="2">
        <v>21</v>
      </c>
      <c r="BM47" s="2">
        <v>21</v>
      </c>
      <c r="BN47" s="4">
        <v>24</v>
      </c>
      <c r="BO47" s="4">
        <v>1</v>
      </c>
      <c r="BP47" s="4">
        <v>2</v>
      </c>
      <c r="BQ47" s="4">
        <v>20</v>
      </c>
      <c r="BR47" s="2">
        <v>4.3478260000000004</v>
      </c>
      <c r="BS47" s="4">
        <v>16</v>
      </c>
      <c r="BT47" s="4">
        <v>1</v>
      </c>
      <c r="BU47" s="4">
        <v>24</v>
      </c>
      <c r="BV47" s="2">
        <v>66.666669999999996</v>
      </c>
      <c r="BW47" s="2">
        <v>8.0940399999999997</v>
      </c>
      <c r="BX47" s="2">
        <v>1069.837</v>
      </c>
      <c r="BY47" s="3">
        <v>2.4175469999999999</v>
      </c>
      <c r="BZ47" s="3">
        <v>0.22597329999999999</v>
      </c>
      <c r="CA47" s="2">
        <v>1.1235599999999999</v>
      </c>
      <c r="CB47" s="3">
        <v>0.22597329999999999</v>
      </c>
      <c r="CC47" s="3">
        <v>13.020530000000001</v>
      </c>
      <c r="CD47" s="3">
        <v>12.961959999999999</v>
      </c>
      <c r="CE47" s="2">
        <v>-0.4498124</v>
      </c>
      <c r="CF47" s="3">
        <v>19828.02</v>
      </c>
      <c r="CG47" s="3">
        <v>19023.59</v>
      </c>
      <c r="CH47" s="2">
        <v>-4.0570440000000003</v>
      </c>
      <c r="CI47" s="3">
        <v>91.666659999999993</v>
      </c>
      <c r="CJ47" s="2">
        <v>-7.2727259999999996</v>
      </c>
      <c r="CK47" s="3">
        <v>153787.70000000001</v>
      </c>
      <c r="CL47" s="3">
        <v>152876</v>
      </c>
      <c r="CM47" s="2">
        <v>-0.59283379999999997</v>
      </c>
      <c r="CN47" s="3">
        <v>69.548900000000003</v>
      </c>
      <c r="CO47" s="3">
        <v>64.903919999999999</v>
      </c>
      <c r="CP47" s="3">
        <v>62.982300000000002</v>
      </c>
      <c r="CQ47" s="2">
        <v>-20.30067</v>
      </c>
      <c r="CR47" s="2">
        <v>-14.596830000000001</v>
      </c>
      <c r="CS47" s="2">
        <v>-11.991149999999999</v>
      </c>
      <c r="CT47" s="2">
        <v>-6.6787299999999998</v>
      </c>
      <c r="CU47" s="2">
        <v>163.8425</v>
      </c>
      <c r="CV47" s="3">
        <v>0.27628910000000001</v>
      </c>
      <c r="CW47" s="2">
        <v>7.0002040000000001</v>
      </c>
      <c r="CX47" s="2">
        <v>6.1431439999999997E-2</v>
      </c>
      <c r="CY47" s="2">
        <v>4.8061569999999998</v>
      </c>
      <c r="CZ47" s="2">
        <v>29.727270000000001</v>
      </c>
    </row>
    <row r="48" spans="1:104" ht="15" customHeight="1" x14ac:dyDescent="0.2">
      <c r="A48" s="1">
        <f t="shared" si="0"/>
        <v>42</v>
      </c>
      <c r="B48" s="1" t="s">
        <v>138</v>
      </c>
      <c r="C48" s="1" t="s">
        <v>137</v>
      </c>
      <c r="D48" s="1" t="s">
        <v>14</v>
      </c>
      <c r="E48" s="1" t="s">
        <v>32</v>
      </c>
      <c r="F48" s="1" t="s">
        <v>94</v>
      </c>
      <c r="G48" s="2">
        <v>185759.9</v>
      </c>
      <c r="H48" s="2">
        <v>24.4194</v>
      </c>
      <c r="I48" s="2">
        <v>45361.45</v>
      </c>
      <c r="J48" s="3">
        <v>1759.6</v>
      </c>
      <c r="K48" s="3">
        <v>0</v>
      </c>
      <c r="L48" s="2">
        <v>0.73880429999999997</v>
      </c>
      <c r="M48" s="2">
        <v>0.87264149999999996</v>
      </c>
      <c r="N48" s="2">
        <v>0.9718118</v>
      </c>
      <c r="O48" s="2">
        <v>1.068425</v>
      </c>
      <c r="P48" s="2">
        <v>54.833280000000002</v>
      </c>
      <c r="Q48" s="2">
        <v>45.5383</v>
      </c>
      <c r="R48" s="2">
        <v>41.249490000000002</v>
      </c>
      <c r="S48" s="2">
        <v>37.133980000000001</v>
      </c>
      <c r="T48" s="2">
        <v>27.02862</v>
      </c>
      <c r="U48" s="2">
        <v>28.146930000000001</v>
      </c>
      <c r="V48" s="2">
        <v>24.818930000000002</v>
      </c>
      <c r="W48" s="2">
        <v>22.11722</v>
      </c>
      <c r="X48" s="2">
        <v>14.81644</v>
      </c>
      <c r="Y48" s="2">
        <v>12.2155</v>
      </c>
      <c r="Z48" s="2">
        <v>10.3163</v>
      </c>
      <c r="AA48" s="2">
        <v>8.6637129999999996</v>
      </c>
      <c r="AB48" s="2">
        <v>44.838250000000002</v>
      </c>
      <c r="AC48" s="2">
        <v>40.14602</v>
      </c>
      <c r="AD48" s="2">
        <v>35.69482</v>
      </c>
      <c r="AE48" s="2">
        <v>32.14537</v>
      </c>
      <c r="AF48" s="2">
        <v>2.08257</v>
      </c>
      <c r="AG48" s="2">
        <v>2.4206759999999998</v>
      </c>
      <c r="AH48" s="2">
        <v>2.7455419999999999</v>
      </c>
      <c r="AI48" s="2">
        <v>1.95977</v>
      </c>
      <c r="AJ48" s="2">
        <v>2.2482479999999998</v>
      </c>
      <c r="AK48" s="2">
        <v>2.5112230000000002</v>
      </c>
      <c r="AL48" s="3">
        <v>3.3149829999999998</v>
      </c>
      <c r="AM48" s="3">
        <v>2.9878279999999999</v>
      </c>
      <c r="AN48" s="2">
        <v>45.716259999999998</v>
      </c>
      <c r="AO48" s="2">
        <v>46.290309999999998</v>
      </c>
      <c r="AP48" s="2">
        <v>46.607410000000002</v>
      </c>
      <c r="AQ48" s="2">
        <v>46.423000000000002</v>
      </c>
      <c r="AR48" s="2">
        <v>-1.732278</v>
      </c>
      <c r="AS48" s="2">
        <v>-1.7636940000000001</v>
      </c>
      <c r="AT48" s="2">
        <v>-1.903475</v>
      </c>
      <c r="AU48" s="2">
        <v>-2.0637259999999999</v>
      </c>
      <c r="AV48" s="1" t="s">
        <v>95</v>
      </c>
      <c r="AW48" s="3">
        <v>1.75</v>
      </c>
      <c r="AX48" s="3">
        <v>2000</v>
      </c>
      <c r="AY48" s="2">
        <v>13.6622</v>
      </c>
      <c r="AZ48" s="2">
        <v>26.824660000000002</v>
      </c>
      <c r="BA48" s="2">
        <v>13.69285</v>
      </c>
      <c r="BB48" s="2">
        <v>34.269359999999999</v>
      </c>
      <c r="BC48" s="2">
        <v>21.771619999999999</v>
      </c>
      <c r="BD48" s="3">
        <v>1301</v>
      </c>
      <c r="BE48" s="2">
        <v>35.249809999999997</v>
      </c>
      <c r="BF48" s="3">
        <v>2050.5</v>
      </c>
      <c r="BG48" s="2">
        <v>-14.18679</v>
      </c>
      <c r="BH48" s="2">
        <v>40.544060000000002</v>
      </c>
      <c r="BI48" s="2">
        <v>38.81738</v>
      </c>
      <c r="BJ48" s="2">
        <v>39.326709999999999</v>
      </c>
      <c r="BK48" s="2">
        <v>39.413220000000003</v>
      </c>
      <c r="BL48" s="2">
        <v>21</v>
      </c>
      <c r="BM48" s="2">
        <v>20</v>
      </c>
      <c r="BN48" s="4">
        <v>22</v>
      </c>
      <c r="BO48" s="4">
        <v>0</v>
      </c>
      <c r="BP48" s="4">
        <v>1</v>
      </c>
      <c r="BQ48" s="4">
        <v>20</v>
      </c>
      <c r="BR48" s="2">
        <v>0</v>
      </c>
      <c r="BS48" s="4">
        <v>8</v>
      </c>
      <c r="BT48" s="4">
        <v>2</v>
      </c>
      <c r="BU48" s="4">
        <v>22</v>
      </c>
      <c r="BV48" s="2">
        <v>36.363639999999997</v>
      </c>
      <c r="BW48" s="2">
        <v>9.2851999999999997</v>
      </c>
      <c r="BX48" s="2">
        <v>105.5694</v>
      </c>
      <c r="BY48" s="3">
        <v>5.9869869999999999E-2</v>
      </c>
      <c r="BZ48" s="3">
        <v>5.671139E-2</v>
      </c>
      <c r="CA48" s="2">
        <v>0.83966499999999999</v>
      </c>
      <c r="CB48" s="3">
        <v>5.671139E-2</v>
      </c>
      <c r="CC48" s="3">
        <v>38.493740000000003</v>
      </c>
      <c r="CD48" s="3">
        <v>38.764899999999997</v>
      </c>
      <c r="CE48" s="2">
        <v>0.70443149999999999</v>
      </c>
      <c r="CF48" s="3">
        <v>5601.9170000000004</v>
      </c>
      <c r="CG48" s="3">
        <v>5568.49</v>
      </c>
      <c r="CH48" s="2">
        <v>-0.59669609999999995</v>
      </c>
      <c r="CI48" s="3">
        <v>2017.05</v>
      </c>
      <c r="CJ48" s="2">
        <v>-0.84529520000000002</v>
      </c>
      <c r="CK48" s="3">
        <v>13510.03</v>
      </c>
      <c r="CL48" s="3">
        <v>13423.75</v>
      </c>
      <c r="CM48" s="2">
        <v>-0.63860419999999996</v>
      </c>
      <c r="CN48" s="3">
        <v>1850.672</v>
      </c>
      <c r="CO48" s="3">
        <v>1791.71</v>
      </c>
      <c r="CP48" s="3">
        <v>1722.692</v>
      </c>
      <c r="CQ48" s="2">
        <v>-4.9210310000000002</v>
      </c>
      <c r="CR48" s="2">
        <v>-1.792127</v>
      </c>
      <c r="CS48" s="2">
        <v>2.1424409999999998</v>
      </c>
      <c r="CT48" s="2">
        <v>-3.1859989999999998</v>
      </c>
      <c r="CU48" s="2">
        <v>99.269630000000006</v>
      </c>
      <c r="CV48" s="3">
        <v>5.3439739999999999E-2</v>
      </c>
      <c r="CW48" s="2" t="e">
        <v>#N/A</v>
      </c>
      <c r="CX48" s="2">
        <v>1.5941069999999999</v>
      </c>
      <c r="CY48" s="2" t="e">
        <v>#N/A</v>
      </c>
      <c r="CZ48" s="2">
        <v>30.47475</v>
      </c>
    </row>
    <row r="49" spans="1:104" ht="15" customHeight="1" x14ac:dyDescent="0.2">
      <c r="A49" s="1">
        <f t="shared" si="0"/>
        <v>43</v>
      </c>
      <c r="B49" s="1" t="s">
        <v>140</v>
      </c>
      <c r="C49" s="1" t="s">
        <v>139</v>
      </c>
      <c r="D49" s="1" t="s">
        <v>14</v>
      </c>
      <c r="E49" s="1" t="s">
        <v>32</v>
      </c>
      <c r="F49" s="1" t="s">
        <v>94</v>
      </c>
      <c r="G49" s="2">
        <v>338631.6</v>
      </c>
      <c r="H49" s="2">
        <v>51.313000000000002</v>
      </c>
      <c r="I49" s="2">
        <v>173762</v>
      </c>
      <c r="J49" s="3">
        <v>674.5</v>
      </c>
      <c r="K49" s="3">
        <v>0</v>
      </c>
      <c r="L49" s="2">
        <v>1.779096</v>
      </c>
      <c r="M49" s="2">
        <v>2.0637509999999999</v>
      </c>
      <c r="N49" s="2">
        <v>2.2298</v>
      </c>
      <c r="O49" s="2">
        <v>2.4403260000000002</v>
      </c>
      <c r="P49" s="2">
        <v>24.063500000000001</v>
      </c>
      <c r="Q49" s="2">
        <v>21.296659999999999</v>
      </c>
      <c r="R49" s="2">
        <v>19.645379999999999</v>
      </c>
      <c r="S49" s="2">
        <v>17.957930000000001</v>
      </c>
      <c r="T49" s="2">
        <v>13.13603</v>
      </c>
      <c r="U49" s="2">
        <v>11.924239999999999</v>
      </c>
      <c r="V49" s="2">
        <v>11.11501</v>
      </c>
      <c r="W49" s="2">
        <v>9.9120469999999994</v>
      </c>
      <c r="X49" s="2">
        <v>6.1477469999999999</v>
      </c>
      <c r="Y49" s="2">
        <v>5.228885</v>
      </c>
      <c r="Z49" s="2">
        <v>4.5109519999999996</v>
      </c>
      <c r="AA49" s="2">
        <v>3.9411360000000002</v>
      </c>
      <c r="AB49" s="2">
        <v>19.00535</v>
      </c>
      <c r="AC49" s="2">
        <v>15.40028</v>
      </c>
      <c r="AD49" s="2">
        <v>14.269019999999999</v>
      </c>
      <c r="AE49" s="2">
        <v>13.277559999999999</v>
      </c>
      <c r="AF49" s="2">
        <v>4.1303890000000001</v>
      </c>
      <c r="AG49" s="2">
        <v>5.1536530000000003</v>
      </c>
      <c r="AH49" s="2">
        <v>5.9220410000000001</v>
      </c>
      <c r="AI49" s="2">
        <v>4.2060769999999996</v>
      </c>
      <c r="AJ49" s="2">
        <v>5.2192239999999996</v>
      </c>
      <c r="AK49" s="2">
        <v>5.7548950000000003</v>
      </c>
      <c r="AL49" s="3">
        <v>1.722124</v>
      </c>
      <c r="AM49" s="3">
        <v>1.612414</v>
      </c>
      <c r="AN49" s="2">
        <v>33.87894</v>
      </c>
      <c r="AO49" s="2">
        <v>33.505189999999999</v>
      </c>
      <c r="AP49" s="2">
        <v>33.286360000000002</v>
      </c>
      <c r="AQ49" s="2">
        <v>33.28828</v>
      </c>
      <c r="AR49" s="2">
        <v>0.38139610000000002</v>
      </c>
      <c r="AS49" s="2">
        <v>0.21457519999999999</v>
      </c>
      <c r="AT49" s="2">
        <v>0.1396425</v>
      </c>
      <c r="AU49" s="2">
        <v>-0.2878867</v>
      </c>
      <c r="AV49" s="1" t="s">
        <v>6</v>
      </c>
      <c r="AW49" s="3">
        <v>1.1896549999999999</v>
      </c>
      <c r="AX49" s="3">
        <v>860</v>
      </c>
      <c r="AY49" s="2">
        <v>27.501860000000001</v>
      </c>
      <c r="AZ49" s="2">
        <v>24.552610000000001</v>
      </c>
      <c r="BA49" s="2">
        <v>12.16323</v>
      </c>
      <c r="BB49" s="2">
        <v>5.5555580000000004</v>
      </c>
      <c r="BC49" s="2">
        <v>-0.79423790000000005</v>
      </c>
      <c r="BD49" s="3">
        <v>623.6</v>
      </c>
      <c r="BE49" s="2">
        <v>8.1622839999999997</v>
      </c>
      <c r="BF49" s="3">
        <v>904.6</v>
      </c>
      <c r="BG49" s="2">
        <v>-25.43666</v>
      </c>
      <c r="BH49" s="2">
        <v>43.07884</v>
      </c>
      <c r="BI49" s="2">
        <v>43.369259999999997</v>
      </c>
      <c r="BJ49" s="2">
        <v>43.757089999999998</v>
      </c>
      <c r="BK49" s="2">
        <v>44.138669999999998</v>
      </c>
      <c r="BL49" s="2">
        <v>28</v>
      </c>
      <c r="BM49" s="2">
        <v>27</v>
      </c>
      <c r="BN49" s="4">
        <v>29</v>
      </c>
      <c r="BO49" s="4">
        <v>1</v>
      </c>
      <c r="BP49" s="4">
        <v>2</v>
      </c>
      <c r="BQ49" s="4">
        <v>25</v>
      </c>
      <c r="BR49" s="2">
        <v>3.5714290000000002</v>
      </c>
      <c r="BS49" s="4">
        <v>24</v>
      </c>
      <c r="BT49" s="4">
        <v>0</v>
      </c>
      <c r="BU49" s="4">
        <v>29</v>
      </c>
      <c r="BV49" s="2">
        <v>82.758619999999993</v>
      </c>
      <c r="BW49" s="2">
        <v>7.6364000000000001</v>
      </c>
      <c r="BX49" s="2">
        <v>502.04840000000002</v>
      </c>
      <c r="BY49" s="3">
        <v>0.36294080000000001</v>
      </c>
      <c r="BZ49" s="3">
        <v>7.229199E-2</v>
      </c>
      <c r="CA49" s="2">
        <v>1.15537</v>
      </c>
      <c r="CB49" s="3">
        <v>7.229199E-2</v>
      </c>
      <c r="CC49" s="3">
        <v>33.258949999999999</v>
      </c>
      <c r="CD49" s="3">
        <v>31.922059999999998</v>
      </c>
      <c r="CE49" s="2">
        <v>-4.0196480000000001</v>
      </c>
      <c r="CF49" s="3">
        <v>24021.43</v>
      </c>
      <c r="CG49" s="3">
        <v>22908.35</v>
      </c>
      <c r="CH49" s="2">
        <v>-4.6337070000000002</v>
      </c>
      <c r="CI49" s="3">
        <v>956</v>
      </c>
      <c r="CJ49" s="2">
        <v>-10.041840000000001</v>
      </c>
      <c r="CK49" s="3">
        <v>88278.17</v>
      </c>
      <c r="CL49" s="3">
        <v>86281.55</v>
      </c>
      <c r="CM49" s="2">
        <v>-2.2617400000000001</v>
      </c>
      <c r="CN49" s="3">
        <v>805.79100000000005</v>
      </c>
      <c r="CO49" s="3">
        <v>722.82150000000001</v>
      </c>
      <c r="CP49" s="3">
        <v>689.06150000000002</v>
      </c>
      <c r="CQ49" s="2">
        <v>-16.293420000000001</v>
      </c>
      <c r="CR49" s="2">
        <v>-6.6851200000000004</v>
      </c>
      <c r="CS49" s="2">
        <v>-2.1132409999999999</v>
      </c>
      <c r="CT49" s="2">
        <v>-10.29665</v>
      </c>
      <c r="CU49" s="2">
        <v>284.88339999999999</v>
      </c>
      <c r="CV49" s="3">
        <v>8.4127820000000006E-2</v>
      </c>
      <c r="CW49" s="2" t="e">
        <v>#N/A</v>
      </c>
      <c r="CX49" s="2">
        <v>-2.9449369999999999</v>
      </c>
      <c r="CY49" s="2" t="e">
        <v>#N/A</v>
      </c>
      <c r="CZ49" s="2">
        <v>30.47475</v>
      </c>
    </row>
    <row r="50" spans="1:104" ht="15" customHeight="1" x14ac:dyDescent="0.2">
      <c r="A50" s="1">
        <f t="shared" si="0"/>
        <v>44</v>
      </c>
      <c r="B50" s="1" t="s">
        <v>142</v>
      </c>
      <c r="C50" s="1" t="s">
        <v>141</v>
      </c>
      <c r="D50" s="1" t="s">
        <v>40</v>
      </c>
      <c r="E50" s="1" t="s">
        <v>69</v>
      </c>
      <c r="F50" s="1" t="s">
        <v>143</v>
      </c>
      <c r="G50" s="2">
        <v>38913.980000000003</v>
      </c>
      <c r="H50" s="2">
        <v>100</v>
      </c>
      <c r="I50" s="2">
        <v>38913.980000000003</v>
      </c>
      <c r="J50" s="3">
        <v>43.534999999999997</v>
      </c>
      <c r="K50" s="3">
        <v>0</v>
      </c>
      <c r="L50" s="2">
        <v>7.8098080000000003</v>
      </c>
      <c r="M50" s="2">
        <v>7.8098080000000003</v>
      </c>
      <c r="N50" s="2">
        <v>7.8098080000000003</v>
      </c>
      <c r="O50" s="2">
        <v>7.8098080000000003</v>
      </c>
      <c r="P50" s="2">
        <v>6.2550290000000004</v>
      </c>
      <c r="Q50" s="2">
        <v>12.264570000000001</v>
      </c>
      <c r="R50" s="2">
        <v>10.13701</v>
      </c>
      <c r="S50" s="2">
        <v>8.735303</v>
      </c>
      <c r="T50" s="2">
        <v>5.3793179999999996</v>
      </c>
      <c r="U50" s="2">
        <v>7.2288759999999996</v>
      </c>
      <c r="V50" s="2">
        <v>6.5920209999999999</v>
      </c>
      <c r="W50" s="2">
        <v>5.9756669999999996</v>
      </c>
      <c r="X50" s="2">
        <v>0.99203649999999999</v>
      </c>
      <c r="Y50" s="2">
        <v>0.99360950000000003</v>
      </c>
      <c r="Z50" s="2">
        <v>0.98262050000000001</v>
      </c>
      <c r="AA50" s="2">
        <v>0.95681320000000003</v>
      </c>
      <c r="AB50" s="2">
        <v>5.0933120000000001</v>
      </c>
      <c r="AC50" s="2">
        <v>5.6401640000000004</v>
      </c>
      <c r="AD50" s="2">
        <v>5.3459909999999997</v>
      </c>
      <c r="AE50" s="2">
        <v>5.0126280000000003</v>
      </c>
      <c r="AF50" s="2">
        <v>5.3900379999999997</v>
      </c>
      <c r="AG50" s="2">
        <v>2.2386210000000002</v>
      </c>
      <c r="AH50" s="2">
        <v>3.3938470000000001</v>
      </c>
      <c r="AI50" s="2">
        <v>7.7837959999999997</v>
      </c>
      <c r="AJ50" s="2">
        <v>3.365669</v>
      </c>
      <c r="AK50" s="2">
        <v>5.2481049999999998</v>
      </c>
      <c r="AL50" s="3">
        <v>10.743729999999999</v>
      </c>
      <c r="AM50" s="3">
        <v>8.7202800000000007</v>
      </c>
      <c r="AN50" s="2">
        <v>12.324260000000001</v>
      </c>
      <c r="AO50" s="2">
        <v>10.717409999999999</v>
      </c>
      <c r="AP50" s="2">
        <v>11.774620000000001</v>
      </c>
      <c r="AQ50" s="2">
        <v>12.940950000000001</v>
      </c>
      <c r="AR50" s="2">
        <v>1.52647</v>
      </c>
      <c r="AS50" s="2">
        <v>2.2231030000000001</v>
      </c>
      <c r="AT50" s="2">
        <v>2.2074449999999999</v>
      </c>
      <c r="AU50" s="2">
        <v>2.1113209999999998</v>
      </c>
      <c r="AV50" s="1" t="s">
        <v>95</v>
      </c>
      <c r="AW50" s="3">
        <v>1.818182</v>
      </c>
      <c r="AX50" s="3">
        <v>47</v>
      </c>
      <c r="AY50" s="2">
        <v>7.9591159999999999</v>
      </c>
      <c r="AZ50" s="2">
        <v>8.1014630000000007</v>
      </c>
      <c r="BA50" s="2">
        <v>-8.1</v>
      </c>
      <c r="BB50" s="2">
        <v>-4.1818020000000002</v>
      </c>
      <c r="BC50" s="2">
        <v>-6.1543409999999996</v>
      </c>
      <c r="BD50" s="3">
        <v>40.25</v>
      </c>
      <c r="BE50" s="2">
        <v>8.161486</v>
      </c>
      <c r="BF50" s="3">
        <v>54.04</v>
      </c>
      <c r="BG50" s="2">
        <v>-19.439299999999999</v>
      </c>
      <c r="BH50" s="2">
        <v>49.010219999999997</v>
      </c>
      <c r="BI50" s="2">
        <v>96.012730000000005</v>
      </c>
      <c r="BJ50" s="2">
        <v>76.215249999999997</v>
      </c>
      <c r="BK50" s="2">
        <v>66.285769999999999</v>
      </c>
      <c r="BL50" s="2">
        <v>20</v>
      </c>
      <c r="BM50" s="2">
        <v>20</v>
      </c>
      <c r="BN50" s="4">
        <v>22</v>
      </c>
      <c r="BO50" s="4">
        <v>2</v>
      </c>
      <c r="BP50" s="4">
        <v>2</v>
      </c>
      <c r="BQ50" s="4">
        <v>21</v>
      </c>
      <c r="BR50" s="2">
        <v>8</v>
      </c>
      <c r="BS50" s="4">
        <v>6</v>
      </c>
      <c r="BT50" s="4">
        <v>2</v>
      </c>
      <c r="BU50" s="4">
        <v>22</v>
      </c>
      <c r="BV50" s="2">
        <v>27.272729999999999</v>
      </c>
      <c r="BW50" s="2">
        <v>8.9541000000000004</v>
      </c>
      <c r="BX50" s="2">
        <v>893.85490000000004</v>
      </c>
      <c r="BY50" s="3">
        <v>2.4752290000000001</v>
      </c>
      <c r="BZ50" s="3">
        <v>0.2769161</v>
      </c>
      <c r="CA50" s="2">
        <v>1.34535</v>
      </c>
      <c r="CB50" s="3">
        <v>0.2769161</v>
      </c>
      <c r="CC50" s="3">
        <v>3.9592999999999998</v>
      </c>
      <c r="CD50" s="3">
        <v>3.5054940000000001</v>
      </c>
      <c r="CE50" s="2">
        <v>-11.46177</v>
      </c>
      <c r="CF50" s="3">
        <v>4341.125</v>
      </c>
      <c r="CG50" s="3">
        <v>3980.893</v>
      </c>
      <c r="CH50" s="2">
        <v>-8.2981350000000003</v>
      </c>
      <c r="CI50" s="3">
        <v>50.29524</v>
      </c>
      <c r="CJ50" s="2">
        <v>-6.5517899999999996</v>
      </c>
      <c r="CK50" s="3">
        <v>75904.55</v>
      </c>
      <c r="CL50" s="3">
        <v>72574.48</v>
      </c>
      <c r="CM50" s="2">
        <v>-4.3871700000000002</v>
      </c>
      <c r="CN50" s="3">
        <v>46.635300000000001</v>
      </c>
      <c r="CO50" s="3">
        <v>43.516759999999998</v>
      </c>
      <c r="CP50" s="3">
        <v>41.850769999999997</v>
      </c>
      <c r="CQ50" s="2">
        <v>-6.6479629999999998</v>
      </c>
      <c r="CR50" s="2">
        <v>4.1913989999999998E-2</v>
      </c>
      <c r="CS50" s="2">
        <v>4.0243630000000001</v>
      </c>
      <c r="CT50" s="2">
        <v>-6.6870750000000001</v>
      </c>
      <c r="CU50" s="2">
        <v>92.560569999999998</v>
      </c>
      <c r="CV50" s="3">
        <v>0.2378594</v>
      </c>
      <c r="CW50" s="2">
        <v>-4.7489049999999997</v>
      </c>
      <c r="CX50" s="2">
        <v>-10.75234</v>
      </c>
      <c r="CY50" s="2">
        <v>12.02338</v>
      </c>
      <c r="CZ50" s="2">
        <v>33.646470000000001</v>
      </c>
    </row>
    <row r="51" spans="1:104" ht="15" customHeight="1" x14ac:dyDescent="0.2">
      <c r="A51" s="1">
        <f t="shared" si="0"/>
        <v>45</v>
      </c>
      <c r="B51" s="1" t="s">
        <v>145</v>
      </c>
      <c r="C51" s="1" t="s">
        <v>144</v>
      </c>
      <c r="D51" s="1" t="s">
        <v>40</v>
      </c>
      <c r="E51" s="1" t="s">
        <v>104</v>
      </c>
      <c r="F51" s="1" t="s">
        <v>105</v>
      </c>
      <c r="G51" s="2">
        <v>39945.360000000001</v>
      </c>
      <c r="H51" s="2">
        <v>99.9983</v>
      </c>
      <c r="I51" s="2">
        <v>39944.68</v>
      </c>
      <c r="J51" s="3">
        <v>40.659999999999997</v>
      </c>
      <c r="K51" s="3">
        <v>0</v>
      </c>
      <c r="L51" s="2">
        <v>5.9026069999999997</v>
      </c>
      <c r="M51" s="2">
        <v>5.8533270000000002</v>
      </c>
      <c r="N51" s="2">
        <v>5.912153</v>
      </c>
      <c r="O51" s="2">
        <v>6.2715199999999998</v>
      </c>
      <c r="P51" s="2">
        <v>5.1209069999999999</v>
      </c>
      <c r="Q51" s="2">
        <v>6.5422359999999999</v>
      </c>
      <c r="R51" s="2">
        <v>5.9454890000000002</v>
      </c>
      <c r="S51" s="2">
        <v>5.4871800000000004</v>
      </c>
      <c r="T51" s="2">
        <v>5.867286</v>
      </c>
      <c r="U51" s="2">
        <v>6.7726119999999996</v>
      </c>
      <c r="V51" s="2">
        <v>6.0938910000000002</v>
      </c>
      <c r="W51" s="2">
        <v>5.5736949999999998</v>
      </c>
      <c r="X51" s="2">
        <v>1.030149</v>
      </c>
      <c r="Y51" s="2">
        <v>1.0344739999999999</v>
      </c>
      <c r="Z51" s="2">
        <v>0.98641429999999997</v>
      </c>
      <c r="AA51" s="2">
        <v>0.94569139999999996</v>
      </c>
      <c r="AB51" s="2">
        <v>5.6316360000000003</v>
      </c>
      <c r="AC51" s="2">
        <v>7.6996700000000002</v>
      </c>
      <c r="AD51" s="2">
        <v>4.7205199999999996</v>
      </c>
      <c r="AE51" s="2">
        <v>4.6147650000000002</v>
      </c>
      <c r="AF51" s="2">
        <v>0.47796250000000001</v>
      </c>
      <c r="AG51" s="2">
        <v>7.4690370000000001</v>
      </c>
      <c r="AH51" s="2">
        <v>8.0545849999999994</v>
      </c>
      <c r="AI51" s="2">
        <v>0.90335659999999995</v>
      </c>
      <c r="AJ51" s="2">
        <v>13.709910000000001</v>
      </c>
      <c r="AK51" s="2">
        <v>14.24211</v>
      </c>
      <c r="AL51" s="3" t="e">
        <v>#N/A</v>
      </c>
      <c r="AM51" s="3" t="e">
        <v>#N/A</v>
      </c>
      <c r="AN51" s="2">
        <v>26.632370000000002</v>
      </c>
      <c r="AO51" s="2">
        <v>23.260339999999999</v>
      </c>
      <c r="AP51" s="2">
        <v>24.48038</v>
      </c>
      <c r="AQ51" s="2">
        <v>25.172059999999998</v>
      </c>
      <c r="AR51" s="2">
        <v>2.3539560000000002</v>
      </c>
      <c r="AS51" s="2">
        <v>3.1892489999999998</v>
      </c>
      <c r="AT51" s="2">
        <v>2.7739940000000001</v>
      </c>
      <c r="AU51" s="2">
        <v>2.4215080000000002</v>
      </c>
      <c r="AV51" s="1" t="s">
        <v>37</v>
      </c>
      <c r="AW51" s="3">
        <v>1.521739</v>
      </c>
      <c r="AX51" s="3">
        <v>61</v>
      </c>
      <c r="AY51" s="2">
        <v>50.024590000000003</v>
      </c>
      <c r="AZ51" s="2">
        <v>15.812239999999999</v>
      </c>
      <c r="BA51" s="2">
        <v>-0.35651719999999998</v>
      </c>
      <c r="BB51" s="2">
        <v>-23.600149999999999</v>
      </c>
      <c r="BC51" s="2">
        <v>-15.861359999999999</v>
      </c>
      <c r="BD51" s="3">
        <v>40.134999999999998</v>
      </c>
      <c r="BE51" s="2">
        <v>1.308084</v>
      </c>
      <c r="BF51" s="3">
        <v>65.66</v>
      </c>
      <c r="BG51" s="2">
        <v>-38.074939999999998</v>
      </c>
      <c r="BH51" s="2">
        <v>30.046949999999999</v>
      </c>
      <c r="BI51" s="2">
        <v>35.770040000000002</v>
      </c>
      <c r="BJ51" s="2">
        <v>31.774059999999999</v>
      </c>
      <c r="BK51" s="2">
        <v>30.212</v>
      </c>
      <c r="BL51" s="2">
        <v>20</v>
      </c>
      <c r="BM51" s="2">
        <v>16</v>
      </c>
      <c r="BN51" s="4">
        <v>23</v>
      </c>
      <c r="BO51" s="4">
        <v>0</v>
      </c>
      <c r="BP51" s="4">
        <v>2</v>
      </c>
      <c r="BQ51" s="4">
        <v>21</v>
      </c>
      <c r="BR51" s="2">
        <v>0</v>
      </c>
      <c r="BS51" s="4">
        <v>12</v>
      </c>
      <c r="BT51" s="4">
        <v>0</v>
      </c>
      <c r="BU51" s="4">
        <v>23</v>
      </c>
      <c r="BV51" s="2">
        <v>52.173909999999999</v>
      </c>
      <c r="BW51" s="2">
        <v>9.6762700000000006</v>
      </c>
      <c r="BX51" s="2">
        <v>982.42409999999995</v>
      </c>
      <c r="BY51" s="3">
        <v>2.2724869999999999</v>
      </c>
      <c r="BZ51" s="3">
        <v>0.2313143</v>
      </c>
      <c r="CA51" s="2">
        <v>1.27362</v>
      </c>
      <c r="CB51" s="3">
        <v>0.2313143</v>
      </c>
      <c r="CC51" s="3">
        <v>6.6520780000000004</v>
      </c>
      <c r="CD51" s="3">
        <v>6.4249200000000002</v>
      </c>
      <c r="CE51" s="2">
        <v>-3.4148399999999999</v>
      </c>
      <c r="CF51" s="3">
        <v>8933.8629999999994</v>
      </c>
      <c r="CG51" s="3">
        <v>8585.8240000000005</v>
      </c>
      <c r="CH51" s="2">
        <v>-3.8957299999999999</v>
      </c>
      <c r="CI51" s="3">
        <v>68</v>
      </c>
      <c r="CJ51" s="2">
        <v>-10.294119999999999</v>
      </c>
      <c r="CK51" s="3">
        <v>48945.11</v>
      </c>
      <c r="CL51" s="3">
        <v>48227.91</v>
      </c>
      <c r="CM51" s="2">
        <v>-1.4653149999999999</v>
      </c>
      <c r="CN51" s="3">
        <v>52.958620000000003</v>
      </c>
      <c r="CO51" s="3">
        <v>46.371659999999999</v>
      </c>
      <c r="CP51" s="3">
        <v>43.187890000000003</v>
      </c>
      <c r="CQ51" s="2">
        <v>-23.22307</v>
      </c>
      <c r="CR51" s="2">
        <v>-12.31714</v>
      </c>
      <c r="CS51" s="2">
        <v>-5.8532299999999999</v>
      </c>
      <c r="CT51" s="2">
        <v>-12.43793</v>
      </c>
      <c r="CU51" s="2">
        <v>94.762410000000003</v>
      </c>
      <c r="CV51" s="3">
        <v>0.2372301</v>
      </c>
      <c r="CW51" s="2">
        <v>3.889033</v>
      </c>
      <c r="CX51" s="2">
        <v>-6.952744</v>
      </c>
      <c r="CY51" s="2">
        <v>11.83262</v>
      </c>
      <c r="CZ51" s="2">
        <v>33.838380000000001</v>
      </c>
    </row>
    <row r="52" spans="1:104" ht="15" customHeight="1" x14ac:dyDescent="0.2">
      <c r="A52" s="1">
        <f t="shared" si="0"/>
        <v>46</v>
      </c>
      <c r="B52" s="1" t="s">
        <v>147</v>
      </c>
      <c r="C52" s="1" t="s">
        <v>146</v>
      </c>
      <c r="D52" s="1" t="s">
        <v>40</v>
      </c>
      <c r="E52" s="1" t="s">
        <v>100</v>
      </c>
      <c r="F52" s="1" t="s">
        <v>101</v>
      </c>
      <c r="G52" s="2">
        <v>45547.82</v>
      </c>
      <c r="H52" s="2">
        <v>76.255799999999994</v>
      </c>
      <c r="I52" s="2">
        <v>34732.86</v>
      </c>
      <c r="J52" s="3">
        <v>36.76</v>
      </c>
      <c r="K52" s="3">
        <v>0</v>
      </c>
      <c r="L52" s="2">
        <v>5.0326440000000003</v>
      </c>
      <c r="M52" s="2">
        <v>5.0326440000000003</v>
      </c>
      <c r="N52" s="2">
        <v>5.1709610000000001</v>
      </c>
      <c r="O52" s="2">
        <v>5.3046790000000001</v>
      </c>
      <c r="P52" s="2">
        <v>8.4843919999999997</v>
      </c>
      <c r="Q52" s="2">
        <v>11.31077</v>
      </c>
      <c r="R52" s="2">
        <v>10.59366</v>
      </c>
      <c r="S52" s="2">
        <v>9.2828269999999993</v>
      </c>
      <c r="T52" s="2">
        <v>4.8852880000000001</v>
      </c>
      <c r="U52" s="2">
        <v>5.821008</v>
      </c>
      <c r="V52" s="2">
        <v>5.6414460000000002</v>
      </c>
      <c r="W52" s="2">
        <v>5.2930919999999997</v>
      </c>
      <c r="X52" s="2">
        <v>1.900749</v>
      </c>
      <c r="Y52" s="2">
        <v>1.8315889999999999</v>
      </c>
      <c r="Z52" s="2">
        <v>1.730289</v>
      </c>
      <c r="AA52" s="2">
        <v>1.574978</v>
      </c>
      <c r="AB52" s="2">
        <v>4.4002030000000003</v>
      </c>
      <c r="AC52" s="2">
        <v>5.5425700000000004</v>
      </c>
      <c r="AD52" s="2">
        <v>5.5172220000000003</v>
      </c>
      <c r="AE52" s="2">
        <v>5.0164010000000001</v>
      </c>
      <c r="AF52" s="2">
        <v>4.82944</v>
      </c>
      <c r="AG52" s="2">
        <v>4.8836279999999999</v>
      </c>
      <c r="AH52" s="2">
        <v>5.523517</v>
      </c>
      <c r="AI52" s="2">
        <v>6.7738849999999999</v>
      </c>
      <c r="AJ52" s="2">
        <v>6.9227879999999997</v>
      </c>
      <c r="AK52" s="2">
        <v>7.7350899999999996</v>
      </c>
      <c r="AL52" s="3" t="e">
        <v>#N/A</v>
      </c>
      <c r="AM52" s="3" t="e">
        <v>#N/A</v>
      </c>
      <c r="AN52" s="2">
        <v>13.35614</v>
      </c>
      <c r="AO52" s="2">
        <v>12.980079999999999</v>
      </c>
      <c r="AP52" s="2">
        <v>13.224399999999999</v>
      </c>
      <c r="AQ52" s="2">
        <v>13.4558</v>
      </c>
      <c r="AR52" s="2">
        <v>1.429319</v>
      </c>
      <c r="AS52" s="2">
        <v>1.67092</v>
      </c>
      <c r="AT52" s="2">
        <v>1.6617299999999999</v>
      </c>
      <c r="AU52" s="2">
        <v>1.513371</v>
      </c>
      <c r="AV52" s="1" t="s">
        <v>6</v>
      </c>
      <c r="AW52" s="3">
        <v>1.470588</v>
      </c>
      <c r="AX52" s="3">
        <v>48</v>
      </c>
      <c r="AY52" s="2">
        <v>30.576720000000002</v>
      </c>
      <c r="AZ52" s="2">
        <v>16.19333</v>
      </c>
      <c r="BA52" s="2">
        <v>-0.68121080000000001</v>
      </c>
      <c r="BB52" s="2">
        <v>2.3670200000000001</v>
      </c>
      <c r="BC52" s="2">
        <v>4.4911859999999999</v>
      </c>
      <c r="BD52" s="3">
        <v>34.085000000000001</v>
      </c>
      <c r="BE52" s="2">
        <v>7.8480239999999997</v>
      </c>
      <c r="BF52" s="3">
        <v>47.045000000000002</v>
      </c>
      <c r="BG52" s="2">
        <v>-21.86205</v>
      </c>
      <c r="BH52" s="2">
        <v>42.698929999999997</v>
      </c>
      <c r="BI52" s="2">
        <v>58.150309999999998</v>
      </c>
      <c r="BJ52" s="2">
        <v>54.623449999999998</v>
      </c>
      <c r="BK52" s="2">
        <v>49.915059999999997</v>
      </c>
      <c r="BL52" s="2">
        <v>15</v>
      </c>
      <c r="BM52" s="2">
        <v>13</v>
      </c>
      <c r="BN52" s="4">
        <v>17</v>
      </c>
      <c r="BO52" s="4">
        <v>0</v>
      </c>
      <c r="BP52" s="4">
        <v>0</v>
      </c>
      <c r="BQ52" s="4">
        <v>15</v>
      </c>
      <c r="BR52" s="2">
        <v>0</v>
      </c>
      <c r="BS52" s="4">
        <v>11</v>
      </c>
      <c r="BT52" s="4">
        <v>1</v>
      </c>
      <c r="BU52" s="4">
        <v>17</v>
      </c>
      <c r="BV52" s="2">
        <v>64.705889999999997</v>
      </c>
      <c r="BW52" s="2">
        <v>7.7738199999999997</v>
      </c>
      <c r="BX52" s="2">
        <v>1239.059</v>
      </c>
      <c r="BY52" s="3">
        <v>2.2723550000000001</v>
      </c>
      <c r="BZ52" s="3">
        <v>0.18339359999999999</v>
      </c>
      <c r="CA52" s="2">
        <v>1.1080399999999999</v>
      </c>
      <c r="CB52" s="3">
        <v>0.18339359999999999</v>
      </c>
      <c r="CC52" s="3">
        <v>3.4422429999999999</v>
      </c>
      <c r="CD52" s="3">
        <v>3.217489</v>
      </c>
      <c r="CE52" s="2">
        <v>-6.5292779999999997</v>
      </c>
      <c r="CF52" s="3">
        <v>6855.2380000000003</v>
      </c>
      <c r="CG52" s="3">
        <v>6502.5690000000004</v>
      </c>
      <c r="CH52" s="2">
        <v>-5.1445189999999998</v>
      </c>
      <c r="CI52" s="3">
        <v>51.8</v>
      </c>
      <c r="CJ52" s="2">
        <v>-7.3359069999999997</v>
      </c>
      <c r="CK52" s="3">
        <v>87960.17</v>
      </c>
      <c r="CL52" s="3">
        <v>84987.88</v>
      </c>
      <c r="CM52" s="2">
        <v>-3.37913</v>
      </c>
      <c r="CN52" s="3">
        <v>41.874360000000003</v>
      </c>
      <c r="CO52" s="3">
        <v>39.717849999999999</v>
      </c>
      <c r="CP52" s="3">
        <v>38.024619999999999</v>
      </c>
      <c r="CQ52" s="2">
        <v>-12.21359</v>
      </c>
      <c r="CR52" s="2">
        <v>-7.4471470000000002</v>
      </c>
      <c r="CS52" s="2">
        <v>-3.325796</v>
      </c>
      <c r="CT52" s="2">
        <v>-5.1499610000000002</v>
      </c>
      <c r="CU52" s="2">
        <v>83.804419999999993</v>
      </c>
      <c r="CV52" s="3">
        <v>0.18399209999999999</v>
      </c>
      <c r="CW52" s="2">
        <v>-4.9714200000000002</v>
      </c>
      <c r="CX52" s="2">
        <v>-8.4727779999999999</v>
      </c>
      <c r="CY52" s="2">
        <v>-0.20223859999999999</v>
      </c>
      <c r="CZ52" s="2">
        <v>34.070709999999998</v>
      </c>
    </row>
    <row r="53" spans="1:104" ht="15" customHeight="1" x14ac:dyDescent="0.2">
      <c r="A53" s="1">
        <f t="shared" si="0"/>
        <v>47</v>
      </c>
      <c r="B53" s="1" t="s">
        <v>149</v>
      </c>
      <c r="C53" s="1" t="s">
        <v>148</v>
      </c>
      <c r="D53" s="1" t="s">
        <v>14</v>
      </c>
      <c r="E53" s="1" t="s">
        <v>32</v>
      </c>
      <c r="F53" s="1" t="s">
        <v>33</v>
      </c>
      <c r="G53" s="2">
        <v>42818.32</v>
      </c>
      <c r="H53" s="2">
        <v>77.566800000000001</v>
      </c>
      <c r="I53" s="2">
        <v>33212.800000000003</v>
      </c>
      <c r="J53" s="3">
        <v>167.5</v>
      </c>
      <c r="K53" s="3">
        <v>0</v>
      </c>
      <c r="L53" s="2">
        <v>2.8059699999999999</v>
      </c>
      <c r="M53" s="2">
        <v>2.808036</v>
      </c>
      <c r="N53" s="2">
        <v>3.0029849999999998</v>
      </c>
      <c r="O53" s="2">
        <v>3.2925369999999998</v>
      </c>
      <c r="P53" s="2">
        <v>18.386389999999999</v>
      </c>
      <c r="Q53" s="2">
        <v>18.216419999999999</v>
      </c>
      <c r="R53" s="2">
        <v>16.66667</v>
      </c>
      <c r="S53" s="2">
        <v>15.29142</v>
      </c>
      <c r="T53" s="2">
        <v>14.09942</v>
      </c>
      <c r="U53" s="2">
        <v>13.78608</v>
      </c>
      <c r="V53" s="2">
        <v>12.6866</v>
      </c>
      <c r="W53" s="2">
        <v>11.77243</v>
      </c>
      <c r="X53" s="2">
        <v>2.7289020000000002</v>
      </c>
      <c r="Y53" s="2">
        <v>2.613105</v>
      </c>
      <c r="Z53" s="2">
        <v>2.4837940000000001</v>
      </c>
      <c r="AA53" s="2">
        <v>2.3610730000000002</v>
      </c>
      <c r="AB53" s="2">
        <v>17.46611</v>
      </c>
      <c r="AC53" s="2">
        <v>15.509259999999999</v>
      </c>
      <c r="AD53" s="2">
        <v>14.4771</v>
      </c>
      <c r="AE53" s="2">
        <v>13.28838</v>
      </c>
      <c r="AF53" s="2">
        <v>2.503727</v>
      </c>
      <c r="AG53" s="2">
        <v>3.154004</v>
      </c>
      <c r="AH53" s="2">
        <v>3.8478520000000001</v>
      </c>
      <c r="AI53" s="2">
        <v>3.1173099999999998</v>
      </c>
      <c r="AJ53" s="2">
        <v>3.897456</v>
      </c>
      <c r="AK53" s="2">
        <v>4.7310410000000003</v>
      </c>
      <c r="AL53" s="3">
        <v>3.6906850000000002</v>
      </c>
      <c r="AM53" s="3">
        <v>3.3701789999999998</v>
      </c>
      <c r="AN53" s="2">
        <v>31.02084</v>
      </c>
      <c r="AO53" s="2">
        <v>31.194700000000001</v>
      </c>
      <c r="AP53" s="2">
        <v>31.767669999999999</v>
      </c>
      <c r="AQ53" s="2">
        <v>32.200110000000002</v>
      </c>
      <c r="AR53" s="2">
        <v>2.726693</v>
      </c>
      <c r="AS53" s="2">
        <v>2.7135289999999999</v>
      </c>
      <c r="AT53" s="2">
        <v>2.4200089999999999</v>
      </c>
      <c r="AU53" s="2">
        <v>2.1976749999999998</v>
      </c>
      <c r="AV53" s="1" t="s">
        <v>95</v>
      </c>
      <c r="AW53" s="3">
        <v>1.6904760000000001</v>
      </c>
      <c r="AX53" s="3">
        <v>188</v>
      </c>
      <c r="AY53" s="2">
        <v>12.238799999999999</v>
      </c>
      <c r="AZ53" s="2">
        <v>14.34477</v>
      </c>
      <c r="BA53" s="2">
        <v>3.189435</v>
      </c>
      <c r="BB53" s="2">
        <v>-5.740011</v>
      </c>
      <c r="BC53" s="2">
        <v>-8.8435349999999993</v>
      </c>
      <c r="BD53" s="3">
        <v>156.35</v>
      </c>
      <c r="BE53" s="2">
        <v>7.1314330000000004</v>
      </c>
      <c r="BF53" s="3">
        <v>218</v>
      </c>
      <c r="BG53" s="2">
        <v>-23.165140000000001</v>
      </c>
      <c r="BH53" s="2">
        <v>51.210839999999997</v>
      </c>
      <c r="BI53" s="2">
        <v>51.433810000000001</v>
      </c>
      <c r="BJ53" s="2">
        <v>50.413679999999999</v>
      </c>
      <c r="BK53" s="2">
        <v>50.514180000000003</v>
      </c>
      <c r="BL53" s="2">
        <v>20</v>
      </c>
      <c r="BM53" s="2">
        <v>18</v>
      </c>
      <c r="BN53" s="4">
        <v>21</v>
      </c>
      <c r="BO53" s="4">
        <v>0</v>
      </c>
      <c r="BP53" s="4">
        <v>3</v>
      </c>
      <c r="BQ53" s="4">
        <v>19</v>
      </c>
      <c r="BR53" s="2">
        <v>0</v>
      </c>
      <c r="BS53" s="4">
        <v>9</v>
      </c>
      <c r="BT53" s="4">
        <v>2</v>
      </c>
      <c r="BU53" s="4">
        <v>21</v>
      </c>
      <c r="BV53" s="2">
        <v>42.857140000000001</v>
      </c>
      <c r="BW53" s="2">
        <v>5.7992499999999998</v>
      </c>
      <c r="BX53" s="2">
        <v>255.6317</v>
      </c>
      <c r="BY53" s="3">
        <v>0.41301450000000001</v>
      </c>
      <c r="BZ53" s="3">
        <v>0.16156619999999999</v>
      </c>
      <c r="CA53" s="2">
        <v>0.57055</v>
      </c>
      <c r="CB53" s="3">
        <v>0.16156619999999999</v>
      </c>
      <c r="CC53" s="3">
        <v>9.9257819999999999</v>
      </c>
      <c r="CD53" s="3">
        <v>9.1655999999999995</v>
      </c>
      <c r="CE53" s="2">
        <v>-7.6586670000000003</v>
      </c>
      <c r="CF53" s="3">
        <v>3636.5949999999998</v>
      </c>
      <c r="CG53" s="3">
        <v>3416.893</v>
      </c>
      <c r="CH53" s="2">
        <v>-6.0414370000000002</v>
      </c>
      <c r="CI53" s="3">
        <v>222.25</v>
      </c>
      <c r="CJ53" s="2">
        <v>-15.41057</v>
      </c>
      <c r="CK53" s="3">
        <v>12580.76</v>
      </c>
      <c r="CL53" s="3">
        <v>12446.04</v>
      </c>
      <c r="CM53" s="2">
        <v>-1.0708089999999999</v>
      </c>
      <c r="CN53" s="3">
        <v>193.8356</v>
      </c>
      <c r="CO53" s="3">
        <v>170.00890000000001</v>
      </c>
      <c r="CP53" s="3">
        <v>161.86539999999999</v>
      </c>
      <c r="CQ53" s="2">
        <v>-13.586550000000001</v>
      </c>
      <c r="CR53" s="2">
        <v>-1.4757279999999999</v>
      </c>
      <c r="CS53" s="2">
        <v>3.4810539999999999</v>
      </c>
      <c r="CT53" s="2">
        <v>-12.29222</v>
      </c>
      <c r="CU53" s="2">
        <v>79.719629999999995</v>
      </c>
      <c r="CV53" s="3">
        <v>0.18618109999999999</v>
      </c>
      <c r="CW53" s="2" t="e">
        <v>#N/A</v>
      </c>
      <c r="CX53" s="2">
        <v>-0.86130640000000003</v>
      </c>
      <c r="CY53" s="2" t="e">
        <v>#N/A</v>
      </c>
      <c r="CZ53" s="2">
        <v>35</v>
      </c>
    </row>
    <row r="54" spans="1:104" ht="15" customHeight="1" x14ac:dyDescent="0.2">
      <c r="A54" s="1">
        <f t="shared" si="0"/>
        <v>48</v>
      </c>
      <c r="B54" s="1" t="s">
        <v>151</v>
      </c>
      <c r="C54" s="1" t="s">
        <v>150</v>
      </c>
      <c r="D54" s="1" t="s">
        <v>152</v>
      </c>
      <c r="E54" s="1" t="s">
        <v>44</v>
      </c>
      <c r="F54" s="1" t="s">
        <v>153</v>
      </c>
      <c r="G54" s="2">
        <v>17872.240000000002</v>
      </c>
      <c r="H54" s="2">
        <v>91.110699999999994</v>
      </c>
      <c r="I54" s="2">
        <v>16283.53</v>
      </c>
      <c r="J54" s="3">
        <v>3.14</v>
      </c>
      <c r="K54" s="3">
        <v>0</v>
      </c>
      <c r="L54" s="2">
        <v>3.8216559999999999</v>
      </c>
      <c r="M54" s="2">
        <v>3.9808910000000002</v>
      </c>
      <c r="N54" s="2">
        <v>4.7770700000000001</v>
      </c>
      <c r="O54" s="2">
        <v>5.4140119999999996</v>
      </c>
      <c r="P54" s="2">
        <v>7.1363640000000004</v>
      </c>
      <c r="Q54" s="2">
        <v>9.2352939999999997</v>
      </c>
      <c r="R54" s="2">
        <v>8.2639479999999992</v>
      </c>
      <c r="S54" s="2">
        <v>7.85</v>
      </c>
      <c r="T54" s="2">
        <v>5.2901509999999998</v>
      </c>
      <c r="U54" s="2">
        <v>4.0081189999999998</v>
      </c>
      <c r="V54" s="2">
        <v>3.5412409999999999</v>
      </c>
      <c r="W54" s="2">
        <v>3.0179619999999998</v>
      </c>
      <c r="X54" s="2">
        <v>0.82849609999999996</v>
      </c>
      <c r="Y54" s="2">
        <v>0.80063519999999999</v>
      </c>
      <c r="Z54" s="2">
        <v>0.769509</v>
      </c>
      <c r="AA54" s="2">
        <v>0.73023249999999995</v>
      </c>
      <c r="AB54" s="2">
        <v>11.959820000000001</v>
      </c>
      <c r="AC54" s="2">
        <v>11.31006</v>
      </c>
      <c r="AD54" s="2">
        <v>6.6808509999999997</v>
      </c>
      <c r="AE54" s="2">
        <v>5.8148150000000003</v>
      </c>
      <c r="AF54" s="2">
        <v>4.7968669999999998</v>
      </c>
      <c r="AG54" s="2">
        <v>13.207039999999999</v>
      </c>
      <c r="AH54" s="2">
        <v>16.289570000000001</v>
      </c>
      <c r="AI54" s="2">
        <v>3.7426010000000001</v>
      </c>
      <c r="AJ54" s="2">
        <v>9.6511189999999996</v>
      </c>
      <c r="AK54" s="2">
        <v>10.810969999999999</v>
      </c>
      <c r="AL54" s="3">
        <v>3.4400219999999999</v>
      </c>
      <c r="AM54" s="3">
        <v>3.1169229999999999</v>
      </c>
      <c r="AN54" s="2">
        <v>15.40484</v>
      </c>
      <c r="AO54" s="2">
        <v>15.018560000000001</v>
      </c>
      <c r="AP54" s="2">
        <v>15.91938</v>
      </c>
      <c r="AQ54" s="2">
        <v>16.474209999999999</v>
      </c>
      <c r="AR54" s="2">
        <v>-1.060586</v>
      </c>
      <c r="AS54" s="2">
        <v>-1.12906</v>
      </c>
      <c r="AT54" s="2">
        <v>-1.3047569999999999</v>
      </c>
      <c r="AU54" s="2">
        <v>-1.5293909999999999</v>
      </c>
      <c r="AV54" s="1" t="s">
        <v>6</v>
      </c>
      <c r="AW54" s="3">
        <v>1.410714</v>
      </c>
      <c r="AX54" s="3">
        <v>4.2579359999999999</v>
      </c>
      <c r="AY54" s="2">
        <v>35.603070000000002</v>
      </c>
      <c r="AZ54" s="2">
        <v>8.6692990000000005</v>
      </c>
      <c r="BA54" s="2">
        <v>-0.90758150000000004</v>
      </c>
      <c r="BB54" s="2">
        <v>-30.330590000000001</v>
      </c>
      <c r="BC54" s="2">
        <v>-27.432400000000001</v>
      </c>
      <c r="BD54" s="3">
        <v>2.9135</v>
      </c>
      <c r="BE54" s="2">
        <v>7.7741499999999997</v>
      </c>
      <c r="BF54" s="3">
        <v>4.8795000000000002</v>
      </c>
      <c r="BG54" s="2">
        <v>-35.649140000000003</v>
      </c>
      <c r="BH54" s="2">
        <v>25.131989999999998</v>
      </c>
      <c r="BI54" s="2">
        <v>40.30979</v>
      </c>
      <c r="BJ54" s="2">
        <v>41.457920000000001</v>
      </c>
      <c r="BK54" s="2">
        <v>44.280610000000003</v>
      </c>
      <c r="BL54" s="2">
        <v>26</v>
      </c>
      <c r="BM54" s="2">
        <v>23</v>
      </c>
      <c r="BN54" s="4">
        <v>28</v>
      </c>
      <c r="BO54" s="4">
        <v>0</v>
      </c>
      <c r="BP54" s="4">
        <v>0</v>
      </c>
      <c r="BQ54" s="4">
        <v>24</v>
      </c>
      <c r="BR54" s="2">
        <v>0</v>
      </c>
      <c r="BS54" s="4">
        <v>18</v>
      </c>
      <c r="BT54" s="4">
        <v>1</v>
      </c>
      <c r="BU54" s="4">
        <v>28</v>
      </c>
      <c r="BV54" s="2">
        <v>64.285709999999995</v>
      </c>
      <c r="BW54" s="2">
        <v>9.3854799999999994</v>
      </c>
      <c r="BX54" s="2">
        <v>5691.7969999999996</v>
      </c>
      <c r="BY54" s="3">
        <v>12.2506</v>
      </c>
      <c r="BZ54" s="3">
        <v>0.21523249999999999</v>
      </c>
      <c r="CA54" s="2">
        <v>1.3440399999999999</v>
      </c>
      <c r="CB54" s="3">
        <v>0.21523249999999999</v>
      </c>
      <c r="CC54" s="3">
        <v>0.36655929999999998</v>
      </c>
      <c r="CD54" s="3">
        <v>0.33680670000000001</v>
      </c>
      <c r="CE54" s="2">
        <v>-8.1167339999999992</v>
      </c>
      <c r="CF54" s="3">
        <v>2872.04</v>
      </c>
      <c r="CG54" s="3">
        <v>2650.7669999999998</v>
      </c>
      <c r="CH54" s="2">
        <v>-7.7043889999999999</v>
      </c>
      <c r="CI54" s="3">
        <v>4.9773329999999998</v>
      </c>
      <c r="CJ54" s="2">
        <v>-14.45345</v>
      </c>
      <c r="CK54" s="3">
        <v>24194.76</v>
      </c>
      <c r="CL54" s="3">
        <v>23192.799999999999</v>
      </c>
      <c r="CM54" s="2">
        <v>-4.1412300000000002</v>
      </c>
      <c r="CN54" s="3">
        <v>3.8768090000000002</v>
      </c>
      <c r="CO54" s="3">
        <v>3.484842</v>
      </c>
      <c r="CP54" s="3">
        <v>3.3057310000000002</v>
      </c>
      <c r="CQ54" s="2">
        <v>-19.00554</v>
      </c>
      <c r="CR54" s="2">
        <v>-9.8954920000000008</v>
      </c>
      <c r="CS54" s="2">
        <v>-5.0134420000000004</v>
      </c>
      <c r="CT54" s="2">
        <v>-10.11054</v>
      </c>
      <c r="CU54" s="2">
        <v>41.441569999999999</v>
      </c>
      <c r="CV54" s="3">
        <v>0.23187669999999999</v>
      </c>
      <c r="CW54" s="2">
        <v>-32.062190000000001</v>
      </c>
      <c r="CX54" s="2">
        <v>-12.14358</v>
      </c>
      <c r="CY54" s="2">
        <v>-22.753029999999999</v>
      </c>
      <c r="CZ54" s="2">
        <v>35.464649999999999</v>
      </c>
    </row>
    <row r="55" spans="1:104" ht="15" customHeight="1" x14ac:dyDescent="0.2">
      <c r="A55" s="1">
        <f t="shared" si="0"/>
        <v>49</v>
      </c>
      <c r="B55" s="1" t="s">
        <v>155</v>
      </c>
      <c r="C55" s="1" t="s">
        <v>154</v>
      </c>
      <c r="D55" s="1" t="s">
        <v>24</v>
      </c>
      <c r="E55" s="1" t="s">
        <v>48</v>
      </c>
      <c r="F55" s="1" t="s">
        <v>49</v>
      </c>
      <c r="G55" s="2">
        <v>19663.59</v>
      </c>
      <c r="H55" s="2">
        <v>95.297700000000006</v>
      </c>
      <c r="I55" s="2">
        <v>18738.95</v>
      </c>
      <c r="J55" s="3">
        <v>633.9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34.887180000000001</v>
      </c>
      <c r="Q55" s="2">
        <v>32.083860000000001</v>
      </c>
      <c r="R55" s="2">
        <v>26.135629999999999</v>
      </c>
      <c r="S55" s="2">
        <v>20.449829999999999</v>
      </c>
      <c r="T55" s="2">
        <v>47.953409999999998</v>
      </c>
      <c r="U55" s="2">
        <v>19.762979999999999</v>
      </c>
      <c r="V55" s="2">
        <v>14.51336</v>
      </c>
      <c r="W55" s="2">
        <v>9.8704649999999994</v>
      </c>
      <c r="X55" s="2">
        <v>8.1583009999999998</v>
      </c>
      <c r="Y55" s="2">
        <v>6.5063399999999998</v>
      </c>
      <c r="Z55" s="2">
        <v>5.1878510000000002</v>
      </c>
      <c r="AA55" s="2">
        <v>4.1703950000000001</v>
      </c>
      <c r="AB55" s="2">
        <v>9.7360729999999993</v>
      </c>
      <c r="AC55" s="2">
        <v>28.289539999999999</v>
      </c>
      <c r="AD55" s="2">
        <v>21.35782</v>
      </c>
      <c r="AE55" s="2">
        <v>16.484590000000001</v>
      </c>
      <c r="AF55" s="2">
        <v>5.0570409999999999</v>
      </c>
      <c r="AG55" s="2">
        <v>7.7296339999999999</v>
      </c>
      <c r="AH55" s="2">
        <v>11.201079999999999</v>
      </c>
      <c r="AI55" s="2">
        <v>3.5434779999999999</v>
      </c>
      <c r="AJ55" s="2">
        <v>5.0806880000000003</v>
      </c>
      <c r="AK55" s="2">
        <v>6.7301349999999998</v>
      </c>
      <c r="AL55" s="3">
        <v>1.5534380000000001</v>
      </c>
      <c r="AM55" s="3">
        <v>1.255765</v>
      </c>
      <c r="AN55" s="2">
        <v>56.023069999999997</v>
      </c>
      <c r="AO55" s="2">
        <v>43.43526</v>
      </c>
      <c r="AP55" s="2">
        <v>44.776000000000003</v>
      </c>
      <c r="AQ55" s="2">
        <v>48.254350000000002</v>
      </c>
      <c r="AR55" s="2">
        <v>-6.8392150000000003</v>
      </c>
      <c r="AS55" s="2">
        <v>-8.4415659999999999</v>
      </c>
      <c r="AT55" s="2">
        <v>-7.5669089999999999</v>
      </c>
      <c r="AU55" s="2">
        <v>-6.5571250000000001</v>
      </c>
      <c r="AV55" s="1" t="s">
        <v>95</v>
      </c>
      <c r="AW55" s="3">
        <v>1.823529</v>
      </c>
      <c r="AX55" s="3">
        <v>900</v>
      </c>
      <c r="AY55" s="2">
        <v>41.978230000000003</v>
      </c>
      <c r="AZ55" s="2">
        <v>20.279170000000001</v>
      </c>
      <c r="BA55" s="2">
        <v>22</v>
      </c>
      <c r="BB55" s="2">
        <v>-56.36101</v>
      </c>
      <c r="BC55" s="2">
        <v>-50.799439999999997</v>
      </c>
      <c r="BD55" s="3">
        <v>602.79999999999995</v>
      </c>
      <c r="BE55" s="2">
        <v>5.1592589999999996</v>
      </c>
      <c r="BF55" s="3">
        <v>1699.2</v>
      </c>
      <c r="BG55" s="2">
        <v>-62.694200000000002</v>
      </c>
      <c r="BH55" s="2">
        <v>0</v>
      </c>
      <c r="BI55" s="2">
        <v>0</v>
      </c>
      <c r="BJ55" s="2">
        <v>1.6508080000000001</v>
      </c>
      <c r="BK55" s="2">
        <v>4.0722129999999996</v>
      </c>
      <c r="BL55" s="2">
        <v>30</v>
      </c>
      <c r="BM55" s="2">
        <v>29</v>
      </c>
      <c r="BN55" s="4">
        <v>34</v>
      </c>
      <c r="BO55" s="4">
        <v>2</v>
      </c>
      <c r="BP55" s="4">
        <v>6</v>
      </c>
      <c r="BQ55" s="4">
        <v>29</v>
      </c>
      <c r="BR55" s="2">
        <v>5.4054060000000002</v>
      </c>
      <c r="BS55" s="4">
        <v>10</v>
      </c>
      <c r="BT55" s="4">
        <v>3</v>
      </c>
      <c r="BU55" s="4">
        <v>34</v>
      </c>
      <c r="BV55" s="2">
        <v>29.411770000000001</v>
      </c>
      <c r="BW55" s="2">
        <v>14.1365</v>
      </c>
      <c r="BX55" s="2">
        <v>31.020009999999999</v>
      </c>
      <c r="BY55" s="3">
        <v>9.3756160000000005E-2</v>
      </c>
      <c r="BZ55" s="3">
        <v>0.30224410000000002</v>
      </c>
      <c r="CA55" s="2">
        <v>1.89774</v>
      </c>
      <c r="CB55" s="3">
        <v>0.30224410000000002</v>
      </c>
      <c r="CC55" s="3">
        <v>21.82892</v>
      </c>
      <c r="CD55" s="3">
        <v>19.709859999999999</v>
      </c>
      <c r="CE55" s="2">
        <v>-9.7075639999999996</v>
      </c>
      <c r="CF55" s="3">
        <v>733.10979999999995</v>
      </c>
      <c r="CG55" s="3">
        <v>611.59939999999995</v>
      </c>
      <c r="CH55" s="2">
        <v>-16.574660000000002</v>
      </c>
      <c r="CI55" s="3">
        <v>1729.6980000000001</v>
      </c>
      <c r="CJ55" s="2">
        <v>-47.967779999999998</v>
      </c>
      <c r="CK55" s="3">
        <v>1700.85</v>
      </c>
      <c r="CL55" s="3">
        <v>1609.941</v>
      </c>
      <c r="CM55" s="2">
        <v>-5.344951</v>
      </c>
      <c r="CN55" s="3">
        <v>1272.24</v>
      </c>
      <c r="CO55" s="3">
        <v>711.43920000000003</v>
      </c>
      <c r="CP55" s="3">
        <v>692.88459999999998</v>
      </c>
      <c r="CQ55" s="2">
        <v>-50.174480000000003</v>
      </c>
      <c r="CR55" s="2">
        <v>-10.89892</v>
      </c>
      <c r="CS55" s="2">
        <v>-8.5129079999999995</v>
      </c>
      <c r="CT55" s="2">
        <v>-44.07978</v>
      </c>
      <c r="CU55" s="2">
        <v>128.8339</v>
      </c>
      <c r="CV55" s="3">
        <v>0.6551903</v>
      </c>
      <c r="CW55" s="2">
        <v>-8.4813320000000001</v>
      </c>
      <c r="CX55" s="2">
        <v>-4.3846049999999996</v>
      </c>
      <c r="CY55" s="2" t="e">
        <v>#N/A</v>
      </c>
      <c r="CZ55" s="2">
        <v>36.979799999999997</v>
      </c>
    </row>
    <row r="56" spans="1:104" ht="15" customHeight="1" x14ac:dyDescent="0.2">
      <c r="A56" s="1">
        <f t="shared" si="0"/>
        <v>50</v>
      </c>
      <c r="B56" s="1" t="s">
        <v>157</v>
      </c>
      <c r="C56" s="1" t="s">
        <v>156</v>
      </c>
      <c r="D56" s="1" t="s">
        <v>14</v>
      </c>
      <c r="E56" s="1" t="s">
        <v>32</v>
      </c>
      <c r="F56" s="1" t="s">
        <v>158</v>
      </c>
      <c r="G56" s="2">
        <v>47543.93</v>
      </c>
      <c r="H56" s="2">
        <v>56.5032</v>
      </c>
      <c r="I56" s="2">
        <v>26863.84</v>
      </c>
      <c r="J56" s="3">
        <v>383.2</v>
      </c>
      <c r="K56" s="3">
        <v>0</v>
      </c>
      <c r="L56" s="2">
        <v>3.6534450000000001</v>
      </c>
      <c r="M56" s="2">
        <v>3.3924840000000001</v>
      </c>
      <c r="N56" s="2">
        <v>3.6534450000000001</v>
      </c>
      <c r="O56" s="2">
        <v>4.0679020000000001</v>
      </c>
      <c r="P56" s="2">
        <v>12.59698</v>
      </c>
      <c r="Q56" s="2">
        <v>14.24006</v>
      </c>
      <c r="R56" s="2">
        <v>13.38223</v>
      </c>
      <c r="S56" s="2">
        <v>11.84178</v>
      </c>
      <c r="T56" s="2">
        <v>8.4495740000000001</v>
      </c>
      <c r="U56" s="2">
        <v>8.1956889999999998</v>
      </c>
      <c r="V56" s="2">
        <v>7.5654339999999998</v>
      </c>
      <c r="W56" s="2">
        <v>6.7208240000000004</v>
      </c>
      <c r="X56" s="2">
        <v>3.3753190000000002</v>
      </c>
      <c r="Y56" s="2">
        <v>3.0474160000000001</v>
      </c>
      <c r="Z56" s="2">
        <v>2.7188080000000001</v>
      </c>
      <c r="AA56" s="2">
        <v>2.4272659999999999</v>
      </c>
      <c r="AB56" s="2">
        <v>11.03192</v>
      </c>
      <c r="AC56" s="2">
        <v>9.5922450000000001</v>
      </c>
      <c r="AD56" s="2">
        <v>9.0058240000000005</v>
      </c>
      <c r="AE56" s="2">
        <v>8.3561610000000002</v>
      </c>
      <c r="AF56" s="2">
        <v>5.1217360000000003</v>
      </c>
      <c r="AG56" s="2">
        <v>6.813631</v>
      </c>
      <c r="AH56" s="2">
        <v>8.0719270000000005</v>
      </c>
      <c r="AI56" s="2">
        <v>5.9237590000000004</v>
      </c>
      <c r="AJ56" s="2">
        <v>7.7342839999999997</v>
      </c>
      <c r="AK56" s="2">
        <v>8.9635180000000005</v>
      </c>
      <c r="AL56" s="3">
        <v>2.6868729999999998</v>
      </c>
      <c r="AM56" s="3">
        <v>2.526138</v>
      </c>
      <c r="AN56" s="2">
        <v>35.649349999999998</v>
      </c>
      <c r="AO56" s="2">
        <v>34.047980000000003</v>
      </c>
      <c r="AP56" s="2">
        <v>34.007869999999997</v>
      </c>
      <c r="AQ56" s="2">
        <v>34.652590000000004</v>
      </c>
      <c r="AR56" s="2">
        <v>0.31784980000000002</v>
      </c>
      <c r="AS56" s="2">
        <v>1.1096220000000001</v>
      </c>
      <c r="AT56" s="2">
        <v>0.90055320000000005</v>
      </c>
      <c r="AU56" s="2">
        <v>0.66851249999999995</v>
      </c>
      <c r="AV56" s="1" t="s">
        <v>95</v>
      </c>
      <c r="AW56" s="3">
        <v>1.678571</v>
      </c>
      <c r="AX56" s="3">
        <v>485</v>
      </c>
      <c r="AY56" s="2">
        <v>26.565750000000001</v>
      </c>
      <c r="AZ56" s="2">
        <v>21.400300000000001</v>
      </c>
      <c r="BA56" s="2">
        <v>4.3346970000000002</v>
      </c>
      <c r="BB56" s="2">
        <v>-17.36036</v>
      </c>
      <c r="BC56" s="2">
        <v>-19.41114</v>
      </c>
      <c r="BD56" s="3">
        <v>379.3</v>
      </c>
      <c r="BE56" s="2">
        <v>1.028216</v>
      </c>
      <c r="BF56" s="3">
        <v>603.6</v>
      </c>
      <c r="BG56" s="2">
        <v>-36.514240000000001</v>
      </c>
      <c r="BH56" s="2">
        <v>45.610570000000003</v>
      </c>
      <c r="BI56" s="2">
        <v>49.845500000000001</v>
      </c>
      <c r="BJ56" s="2">
        <v>49.507240000000003</v>
      </c>
      <c r="BK56" s="2">
        <v>48.406970000000001</v>
      </c>
      <c r="BL56" s="2">
        <v>26</v>
      </c>
      <c r="BM56" s="2">
        <v>25</v>
      </c>
      <c r="BN56" s="4">
        <v>28</v>
      </c>
      <c r="BO56" s="4">
        <v>1</v>
      </c>
      <c r="BP56" s="4">
        <v>2</v>
      </c>
      <c r="BQ56" s="4">
        <v>22</v>
      </c>
      <c r="BR56" s="2">
        <v>4</v>
      </c>
      <c r="BS56" s="4">
        <v>10</v>
      </c>
      <c r="BT56" s="4">
        <v>1</v>
      </c>
      <c r="BU56" s="4">
        <v>28</v>
      </c>
      <c r="BV56" s="2">
        <v>35.714289999999998</v>
      </c>
      <c r="BW56" s="2">
        <v>9.9698799999999999</v>
      </c>
      <c r="BX56" s="2">
        <v>124.07080000000001</v>
      </c>
      <c r="BY56" s="3">
        <v>0.19379640000000001</v>
      </c>
      <c r="BZ56" s="3">
        <v>0.15619830000000001</v>
      </c>
      <c r="CA56" s="2">
        <v>1.33334</v>
      </c>
      <c r="CB56" s="3">
        <v>0.15619830000000001</v>
      </c>
      <c r="CC56" s="3">
        <v>30.239609999999999</v>
      </c>
      <c r="CD56" s="3">
        <v>26.94821</v>
      </c>
      <c r="CE56" s="2">
        <v>-10.88438</v>
      </c>
      <c r="CF56" s="3">
        <v>5643.8289999999997</v>
      </c>
      <c r="CG56" s="3">
        <v>5082.7510000000002</v>
      </c>
      <c r="CH56" s="2">
        <v>-9.9414350000000002</v>
      </c>
      <c r="CI56" s="3">
        <v>619.25</v>
      </c>
      <c r="CJ56" s="2">
        <v>-21.679449999999999</v>
      </c>
      <c r="CK56" s="3">
        <v>20820.73</v>
      </c>
      <c r="CL56" s="3">
        <v>19862.990000000002</v>
      </c>
      <c r="CM56" s="2">
        <v>-4.5999350000000003</v>
      </c>
      <c r="CN56" s="3">
        <v>517.26869999999997</v>
      </c>
      <c r="CO56" s="3">
        <v>443.12740000000002</v>
      </c>
      <c r="CP56" s="3">
        <v>412.4538</v>
      </c>
      <c r="CQ56" s="2">
        <v>-25.918569999999999</v>
      </c>
      <c r="CR56" s="2">
        <v>-13.52375</v>
      </c>
      <c r="CS56" s="2">
        <v>-7.092625</v>
      </c>
      <c r="CT56" s="2">
        <v>-14.333220000000001</v>
      </c>
      <c r="CU56" s="2">
        <v>82.102909999999994</v>
      </c>
      <c r="CV56" s="3">
        <v>0.17268849999999999</v>
      </c>
      <c r="CW56" s="2" t="e">
        <v>#N/A</v>
      </c>
      <c r="CX56" s="2">
        <v>-0.75273939999999995</v>
      </c>
      <c r="CY56" s="2" t="e">
        <v>#N/A</v>
      </c>
      <c r="CZ56" s="2">
        <v>39.282829999999997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Juan Figares durcudoy</cp:lastModifiedBy>
  <dcterms:created xsi:type="dcterms:W3CDTF">2023-11-01T05:38:37Z</dcterms:created>
  <dcterms:modified xsi:type="dcterms:W3CDTF">2023-11-01T05:38:37Z</dcterms:modified>
  <cp:category/>
</cp:coreProperties>
</file>