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4FE0A977-AF97-4461-A5B9-A3DD8537C2D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<sst xmlns="http://schemas.openxmlformats.org/spreadsheetml/2006/main" count="380" uniqueCount="311">
  <si>
    <t>FactSet Universal Screen</t>
  </si>
  <si>
    <t>SLR-ES</t>
  </si>
  <si>
    <t>Solaria Energia y Medio Ambiente, S.A.</t>
  </si>
  <si>
    <t>Utilities</t>
  </si>
  <si>
    <t>Alternative Power Generation</t>
  </si>
  <si>
    <t>Buy (1.00)</t>
  </si>
  <si>
    <t>BBVA-ES</t>
  </si>
  <si>
    <t>Banco Bilbao Vizcaya Argentaria, S.A.</t>
  </si>
  <si>
    <t>Finance</t>
  </si>
  <si>
    <t>Major Banks</t>
  </si>
  <si>
    <t>SAB-ES</t>
  </si>
  <si>
    <t>Banco de Sabadell SA</t>
  </si>
  <si>
    <t>CABK-ES</t>
  </si>
  <si>
    <t>CaixaBank SA</t>
  </si>
  <si>
    <t>Regional Banks</t>
  </si>
  <si>
    <t>ROVI-ES</t>
  </si>
  <si>
    <t>Laboratorios Farmaceuticos Rovi, S.A.</t>
  </si>
  <si>
    <t>Health Technology</t>
  </si>
  <si>
    <t>Pharmaceuticals: Major</t>
  </si>
  <si>
    <t>REP-ES</t>
  </si>
  <si>
    <t>Repsol SA</t>
  </si>
  <si>
    <t>Energy Minerals</t>
  </si>
  <si>
    <t>Integrated Oil</t>
  </si>
  <si>
    <t>Overweight (1.25)</t>
  </si>
  <si>
    <t>BKT-ES</t>
  </si>
  <si>
    <t>Bankinter SA</t>
  </si>
  <si>
    <t>IDR-ES</t>
  </si>
  <si>
    <t>Indra Sistemas, S.A. Class A</t>
  </si>
  <si>
    <t>Technology Services</t>
  </si>
  <si>
    <t>Information Technology Services</t>
  </si>
  <si>
    <t>SAN-ES</t>
  </si>
  <si>
    <t>Banco Santander, S.A.</t>
  </si>
  <si>
    <t>ACS-ES</t>
  </si>
  <si>
    <t>ACS Actividades de Construccion y Servicios SA</t>
  </si>
  <si>
    <t>Industrial Services</t>
  </si>
  <si>
    <t>Engineering &amp; Construction</t>
  </si>
  <si>
    <t>Hold (2.00)</t>
  </si>
  <si>
    <t>AENA-ES</t>
  </si>
  <si>
    <t>Aena SME SA</t>
  </si>
  <si>
    <t>Transportation</t>
  </si>
  <si>
    <t>Other Transportation</t>
  </si>
  <si>
    <t>GRF-ES</t>
  </si>
  <si>
    <t>Grifols, S.A. Class A</t>
  </si>
  <si>
    <t>IAG-ES</t>
  </si>
  <si>
    <t>International Consolidated Airlines Group SA</t>
  </si>
  <si>
    <t>Airlines</t>
  </si>
  <si>
    <t>IBE-ES</t>
  </si>
  <si>
    <t>Iberdrola SA</t>
  </si>
  <si>
    <t>Electric Utilities</t>
  </si>
  <si>
    <t>Overweight (1.50)</t>
  </si>
  <si>
    <t>ITX-ES</t>
  </si>
  <si>
    <t>Industria de Diseno Textil, S.A.</t>
  </si>
  <si>
    <t>Retail Trade</t>
  </si>
  <si>
    <t>Apparel/Footwear Retail</t>
  </si>
  <si>
    <t>MRL-ES</t>
  </si>
  <si>
    <t>MERLIN Properties SOCIMI, S.A.</t>
  </si>
  <si>
    <t>Real Estate Investment Trusts</t>
  </si>
  <si>
    <t>FER-ES</t>
  </si>
  <si>
    <t>Ferrovial SE</t>
  </si>
  <si>
    <t>LOG-ES</t>
  </si>
  <si>
    <t>Compania de Distribucion Integral Logista Holdings S.A.</t>
  </si>
  <si>
    <t>Air Freight/Couriers</t>
  </si>
  <si>
    <t>ANA-ES</t>
  </si>
  <si>
    <t>Acciona SA</t>
  </si>
  <si>
    <t>AMS-ES</t>
  </si>
  <si>
    <t>Amadeus IT Group SA Class A</t>
  </si>
  <si>
    <t>CLNX-ES</t>
  </si>
  <si>
    <t>Cellnex Telecom S.A.</t>
  </si>
  <si>
    <t>Communications</t>
  </si>
  <si>
    <t>Specialty Telecommunications</t>
  </si>
  <si>
    <t>ACX-ES</t>
  </si>
  <si>
    <t>Acerinox SA</t>
  </si>
  <si>
    <t>Non-Energy Minerals</t>
  </si>
  <si>
    <t>Steel</t>
  </si>
  <si>
    <t>TEF-ES</t>
  </si>
  <si>
    <t>Telefonica SA</t>
  </si>
  <si>
    <t>SCYR-ES</t>
  </si>
  <si>
    <t>Sacyr SA</t>
  </si>
  <si>
    <t>MEL-ES</t>
  </si>
  <si>
    <t>Melia Hotels International, S.A.</t>
  </si>
  <si>
    <t>Consumer Services</t>
  </si>
  <si>
    <t>Hotels/Resorts/Cruiselines</t>
  </si>
  <si>
    <t>FDR-ES</t>
  </si>
  <si>
    <t>Fluidra, S.A.</t>
  </si>
  <si>
    <t>Consumer Durables</t>
  </si>
  <si>
    <t>Recreational Products</t>
  </si>
  <si>
    <t>RED-ES</t>
  </si>
  <si>
    <t>Redeia Corporacion SA</t>
  </si>
  <si>
    <t>COL-ES</t>
  </si>
  <si>
    <t>Inmobiliaria Colonial SOCIMI SA</t>
  </si>
  <si>
    <t>ENG-ES</t>
  </si>
  <si>
    <t>Enagas SA</t>
  </si>
  <si>
    <t>Gas Distributors</t>
  </si>
  <si>
    <t>Underweight (2.50)</t>
  </si>
  <si>
    <t>MTS-ES</t>
  </si>
  <si>
    <t>ArcelorMittal SA</t>
  </si>
  <si>
    <t>ANE-ES</t>
  </si>
  <si>
    <t>Corporacion Acciona Energias Renovables SA</t>
  </si>
  <si>
    <t>NTGY-ES</t>
  </si>
  <si>
    <t>Naturgy Energy Group, S.A.</t>
  </si>
  <si>
    <t>Sell (3.00)</t>
  </si>
  <si>
    <t>UNI-ES</t>
  </si>
  <si>
    <t>Unicaja Banco S.A.</t>
  </si>
  <si>
    <t>MAP-ES</t>
  </si>
  <si>
    <t>Mapfre SA</t>
  </si>
  <si>
    <t>Multi-Line Insurance</t>
  </si>
  <si>
    <t>ELE-ES</t>
  </si>
  <si>
    <t>Endesa S.A.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</si>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</sst>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4DF5-59D6-4F0C-BA05-796C5BA93DB9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  <c r="F4" s="6" t="s">
        <v>113</v>
      </c>
      <c r="G4" s="6" t="s">
        <v>114</v>
      </c>
      <c r="H4" s="6" t="s">
        <v>115</v>
      </c>
      <c r="I4" s="6" t="s">
        <v>116</v>
      </c>
      <c r="J4" s="6" t="s">
        <v>117</v>
      </c>
      <c r="K4" s="6" t="s">
        <v>118</v>
      </c>
      <c r="L4" s="6" t="s">
        <v>119</v>
      </c>
      <c r="M4" s="6" t="s">
        <v>120</v>
      </c>
      <c r="N4" s="6" t="s">
        <v>121</v>
      </c>
      <c r="O4" s="6" t="s">
        <v>122</v>
      </c>
      <c r="P4" s="6" t="s">
        <v>123</v>
      </c>
      <c r="Q4" s="6" t="s">
        <v>124</v>
      </c>
      <c r="R4" s="6" t="s">
        <v>125</v>
      </c>
      <c r="S4" s="6" t="s">
        <v>126</v>
      </c>
      <c r="T4" s="6" t="s">
        <v>127</v>
      </c>
      <c r="U4" s="6" t="s">
        <v>128</v>
      </c>
      <c r="V4" s="6" t="s">
        <v>129</v>
      </c>
      <c r="W4" s="6" t="s">
        <v>130</v>
      </c>
      <c r="X4" s="6" t="s">
        <v>131</v>
      </c>
      <c r="Y4" s="6" t="s">
        <v>132</v>
      </c>
      <c r="Z4" s="6" t="s">
        <v>133</v>
      </c>
      <c r="AA4" s="6" t="s">
        <v>134</v>
      </c>
      <c r="AB4" s="6" t="s">
        <v>135</v>
      </c>
      <c r="AC4" s="6" t="s">
        <v>136</v>
      </c>
      <c r="AD4" s="6" t="s">
        <v>137</v>
      </c>
      <c r="AE4" s="6" t="s">
        <v>138</v>
      </c>
      <c r="AF4" s="6" t="s">
        <v>139</v>
      </c>
      <c r="AG4" s="6" t="s">
        <v>140</v>
      </c>
      <c r="AH4" s="6" t="s">
        <v>141</v>
      </c>
      <c r="AI4" s="6" t="s">
        <v>142</v>
      </c>
      <c r="AJ4" s="6" t="s">
        <v>143</v>
      </c>
      <c r="AK4" s="6" t="s">
        <v>144</v>
      </c>
      <c r="AL4" s="6" t="s">
        <v>145</v>
      </c>
      <c r="AM4" s="6" t="s">
        <v>146</v>
      </c>
      <c r="AN4" s="6" t="s">
        <v>147</v>
      </c>
      <c r="AO4" s="6" t="s">
        <v>148</v>
      </c>
      <c r="AP4" s="6" t="s">
        <v>149</v>
      </c>
      <c r="AQ4" s="6" t="s">
        <v>150</v>
      </c>
      <c r="AR4" s="6" t="s">
        <v>151</v>
      </c>
      <c r="AS4" s="6" t="s">
        <v>152</v>
      </c>
      <c r="AT4" s="6" t="s">
        <v>153</v>
      </c>
      <c r="AU4" s="5" t="s">
        <v>154</v>
      </c>
      <c r="AV4" s="6" t="s">
        <v>155</v>
      </c>
      <c r="AW4" s="6" t="s">
        <v>156</v>
      </c>
      <c r="AX4" s="6" t="s">
        <v>157</v>
      </c>
      <c r="AY4" s="6" t="s">
        <v>158</v>
      </c>
      <c r="AZ4" s="6" t="s">
        <v>159</v>
      </c>
      <c r="BA4" s="6" t="s">
        <v>160</v>
      </c>
      <c r="BB4" s="6" t="s">
        <v>161</v>
      </c>
      <c r="BC4" s="6" t="s">
        <v>162</v>
      </c>
      <c r="BD4" s="6" t="s">
        <v>163</v>
      </c>
      <c r="BE4" s="6" t="s">
        <v>164</v>
      </c>
      <c r="BF4" s="6" t="s">
        <v>165</v>
      </c>
      <c r="BG4" s="6" t="s">
        <v>166</v>
      </c>
      <c r="BH4" s="6" t="s">
        <v>167</v>
      </c>
      <c r="BI4" s="6" t="s">
        <v>168</v>
      </c>
      <c r="BJ4" s="6" t="s">
        <v>169</v>
      </c>
      <c r="BK4" s="6" t="s">
        <v>170</v>
      </c>
      <c r="BL4" s="6" t="s">
        <v>171</v>
      </c>
      <c r="BM4" s="6" t="s">
        <v>172</v>
      </c>
      <c r="BN4" s="6" t="s">
        <v>173</v>
      </c>
      <c r="BO4" s="6" t="s">
        <v>174</v>
      </c>
      <c r="BP4" s="6" t="s">
        <v>175</v>
      </c>
      <c r="BQ4" s="6" t="s">
        <v>176</v>
      </c>
      <c r="BR4" s="6" t="s">
        <v>177</v>
      </c>
      <c r="BS4" s="6" t="s">
        <v>178</v>
      </c>
      <c r="BT4" s="6" t="s">
        <v>172</v>
      </c>
      <c r="BU4" s="6" t="s">
        <v>179</v>
      </c>
      <c r="BV4" s="6" t="s">
        <v>180</v>
      </c>
      <c r="BW4" s="6" t="s">
        <v>181</v>
      </c>
      <c r="BX4" s="6" t="s">
        <v>182</v>
      </c>
      <c r="BY4" s="6" t="s">
        <v>183</v>
      </c>
      <c r="BZ4" s="6" t="s">
        <v>184</v>
      </c>
      <c r="CA4" s="6" t="s">
        <v>185</v>
      </c>
      <c r="CB4" s="6" t="s">
        <v>186</v>
      </c>
      <c r="CC4" s="6" t="s">
        <v>187</v>
      </c>
      <c r="CD4" s="6" t="s">
        <v>188</v>
      </c>
      <c r="CE4" s="6" t="s">
        <v>189</v>
      </c>
      <c r="CF4" s="6" t="s">
        <v>190</v>
      </c>
      <c r="CG4" s="6" t="s">
        <v>191</v>
      </c>
      <c r="CH4" s="6" t="s">
        <v>192</v>
      </c>
      <c r="CI4" s="6" t="s">
        <v>193</v>
      </c>
      <c r="CJ4" s="6" t="s">
        <v>194</v>
      </c>
      <c r="CK4" s="6" t="s">
        <v>195</v>
      </c>
      <c r="CL4" s="6" t="s">
        <v>196</v>
      </c>
      <c r="CM4" s="6" t="s">
        <v>197</v>
      </c>
      <c r="CN4" s="6" t="s">
        <v>198</v>
      </c>
      <c r="CO4" s="6" t="s">
        <v>199</v>
      </c>
      <c r="CP4" s="6" t="s">
        <v>200</v>
      </c>
      <c r="CQ4" s="6" t="s">
        <v>201</v>
      </c>
      <c r="CR4" s="6" t="s">
        <v>202</v>
      </c>
      <c r="CS4" s="6" t="s">
        <v>203</v>
      </c>
      <c r="CT4" s="6" t="s">
        <v>204</v>
      </c>
      <c r="CU4" s="6" t="s">
        <v>205</v>
      </c>
      <c r="CV4" s="6" t="s">
        <v>206</v>
      </c>
      <c r="CW4" s="6" t="s">
        <v>207</v>
      </c>
      <c r="CX4" s="6" t="s">
        <v>208</v>
      </c>
      <c r="CY4" s="6" t="s">
        <v>209</v>
      </c>
    </row>
    <row r="5" spans="1:103" ht="12.75" x14ac:dyDescent="0.2">
      <c r="A5" s="5"/>
      <c r="B5" s="5"/>
      <c r="C5" s="5" t="s">
        <v>210</v>
      </c>
      <c r="D5" s="5" t="s">
        <v>211</v>
      </c>
      <c r="E5" s="5" t="s">
        <v>212</v>
      </c>
      <c r="F5" s="6" t="s">
        <v>213</v>
      </c>
      <c r="G5" s="6" t="s">
        <v>214</v>
      </c>
      <c r="H5" s="6" t="s">
        <v>215</v>
      </c>
      <c r="I5" s="6" t="s">
        <v>216</v>
      </c>
      <c r="J5" s="6" t="s">
        <v>217</v>
      </c>
      <c r="K5" s="6" t="s">
        <v>218</v>
      </c>
      <c r="L5" s="6" t="s">
        <v>219</v>
      </c>
      <c r="M5" s="6" t="s">
        <v>220</v>
      </c>
      <c r="N5" s="6" t="s">
        <v>221</v>
      </c>
      <c r="O5" s="6" t="s">
        <v>222</v>
      </c>
      <c r="P5" s="6" t="s">
        <v>223</v>
      </c>
      <c r="Q5" s="6" t="s">
        <v>224</v>
      </c>
      <c r="R5" s="6" t="s">
        <v>225</v>
      </c>
      <c r="S5" s="6" t="s">
        <v>226</v>
      </c>
      <c r="T5" s="6" t="s">
        <v>227</v>
      </c>
      <c r="U5" s="6" t="s">
        <v>228</v>
      </c>
      <c r="V5" s="6" t="s">
        <v>229</v>
      </c>
      <c r="W5" s="6" t="s">
        <v>230</v>
      </c>
      <c r="X5" s="6" t="s">
        <v>231</v>
      </c>
      <c r="Y5" s="6" t="s">
        <v>232</v>
      </c>
      <c r="Z5" s="6" t="s">
        <v>233</v>
      </c>
      <c r="AA5" s="6" t="s">
        <v>234</v>
      </c>
      <c r="AB5" s="6" t="s">
        <v>235</v>
      </c>
      <c r="AC5" s="6" t="s">
        <v>236</v>
      </c>
      <c r="AD5" s="6" t="s">
        <v>237</v>
      </c>
      <c r="AE5" s="6" t="s">
        <v>238</v>
      </c>
      <c r="AF5" s="6" t="s">
        <v>239</v>
      </c>
      <c r="AG5" s="6" t="s">
        <v>240</v>
      </c>
      <c r="AH5" s="6" t="s">
        <v>241</v>
      </c>
      <c r="AI5" s="6" t="s">
        <v>242</v>
      </c>
      <c r="AJ5" s="6" t="s">
        <v>243</v>
      </c>
      <c r="AK5" s="6" t="s">
        <v>244</v>
      </c>
      <c r="AL5" s="6" t="s">
        <v>245</v>
      </c>
      <c r="AM5" s="6" t="s">
        <v>246</v>
      </c>
      <c r="AN5" s="6" t="s">
        <v>247</v>
      </c>
      <c r="AO5" s="6" t="s">
        <v>248</v>
      </c>
      <c r="AP5" s="6" t="s">
        <v>249</v>
      </c>
      <c r="AQ5" s="6" t="s">
        <v>250</v>
      </c>
      <c r="AR5" s="6" t="s">
        <v>251</v>
      </c>
      <c r="AS5" s="6" t="s">
        <v>252</v>
      </c>
      <c r="AT5" s="6" t="s">
        <v>253</v>
      </c>
      <c r="AU5" s="5" t="s">
        <v>254</v>
      </c>
      <c r="AV5" s="6" t="s">
        <v>255</v>
      </c>
      <c r="AW5" s="6" t="s">
        <v>256</v>
      </c>
      <c r="AX5" s="6" t="s">
        <v>257</v>
      </c>
      <c r="AY5" s="6" t="s">
        <v>258</v>
      </c>
      <c r="AZ5" s="6" t="s">
        <v>259</v>
      </c>
      <c r="BA5" s="6" t="s">
        <v>260</v>
      </c>
      <c r="BB5" s="6" t="s">
        <v>261</v>
      </c>
      <c r="BC5" s="6" t="s">
        <v>262</v>
      </c>
      <c r="BD5" s="6" t="s">
        <v>263</v>
      </c>
      <c r="BE5" s="6" t="s">
        <v>264</v>
      </c>
      <c r="BF5" s="6" t="s">
        <v>265</v>
      </c>
      <c r="BG5" s="6" t="s">
        <v>266</v>
      </c>
      <c r="BH5" s="6" t="s">
        <v>267</v>
      </c>
      <c r="BI5" s="6" t="s">
        <v>268</v>
      </c>
      <c r="BJ5" s="6" t="s">
        <v>269</v>
      </c>
      <c r="BK5" s="6" t="s">
        <v>270</v>
      </c>
      <c r="BL5" s="6" t="s">
        <v>271</v>
      </c>
      <c r="BM5" s="6" t="s">
        <v>272</v>
      </c>
      <c r="BN5" s="6" t="s">
        <v>273</v>
      </c>
      <c r="BO5" s="6" t="s">
        <v>274</v>
      </c>
      <c r="BP5" s="6" t="s">
        <v>275</v>
      </c>
      <c r="BQ5" s="6" t="s">
        <v>276</v>
      </c>
      <c r="BR5" s="6" t="s">
        <v>277</v>
      </c>
      <c r="BS5" s="6" t="s">
        <v>278</v>
      </c>
      <c r="BT5" s="6" t="s">
        <v>279</v>
      </c>
      <c r="BU5" s="6" t="s">
        <v>280</v>
      </c>
      <c r="BV5" s="6" t="s">
        <v>281</v>
      </c>
      <c r="BW5" s="6" t="s">
        <v>282</v>
      </c>
      <c r="BX5" s="6" t="s">
        <v>283</v>
      </c>
      <c r="BY5" s="6" t="s">
        <v>284</v>
      </c>
      <c r="BZ5" s="6" t="s">
        <v>285</v>
      </c>
      <c r="CA5" s="6" t="s">
        <v>286</v>
      </c>
      <c r="CB5" s="6" t="s">
        <v>287</v>
      </c>
      <c r="CC5" s="6" t="s">
        <v>288</v>
      </c>
      <c r="CD5" s="6" t="s">
        <v>289</v>
      </c>
      <c r="CE5" s="6" t="s">
        <v>290</v>
      </c>
      <c r="CF5" s="6" t="s">
        <v>291</v>
      </c>
      <c r="CG5" s="6" t="s">
        <v>292</v>
      </c>
      <c r="CH5" s="6" t="s">
        <v>293</v>
      </c>
      <c r="CI5" s="6" t="s">
        <v>294</v>
      </c>
      <c r="CJ5" s="6" t="s">
        <v>295</v>
      </c>
      <c r="CK5" s="6" t="s">
        <v>296</v>
      </c>
      <c r="CL5" s="6" t="s">
        <v>297</v>
      </c>
      <c r="CM5" s="6" t="s">
        <v>298</v>
      </c>
      <c r="CN5" s="6" t="s">
        <v>299</v>
      </c>
      <c r="CO5" s="6" t="s">
        <v>300</v>
      </c>
      <c r="CP5" s="6" t="s">
        <v>301</v>
      </c>
      <c r="CQ5" s="6" t="s">
        <v>302</v>
      </c>
      <c r="CR5" s="6" t="s">
        <v>303</v>
      </c>
      <c r="CS5" s="6" t="s">
        <v>304</v>
      </c>
      <c r="CT5" s="6" t="s">
        <v>305</v>
      </c>
      <c r="CU5" s="6" t="s">
        <v>306</v>
      </c>
      <c r="CV5" s="6" t="s">
        <v>307</v>
      </c>
      <c r="CW5" s="6" t="s">
        <v>308</v>
      </c>
      <c r="CX5" s="6" t="s">
        <v>309</v>
      </c>
      <c r="CY5" s="6" t="s">
        <v>310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2255.3629999999998</v>
      </c>
      <c r="G7" s="2">
        <v>53.16</v>
      </c>
      <c r="H7" s="2">
        <v>1198.951</v>
      </c>
      <c r="I7" s="3">
        <v>18.05</v>
      </c>
      <c r="J7" s="3">
        <v>0</v>
      </c>
      <c r="K7" s="2">
        <v>0</v>
      </c>
      <c r="L7" s="2">
        <v>0</v>
      </c>
      <c r="M7" s="2">
        <v>0</v>
      </c>
      <c r="N7" s="2">
        <v>0</v>
      </c>
      <c r="O7" s="2">
        <v>25.06944</v>
      </c>
      <c r="P7" s="2">
        <v>20.98837</v>
      </c>
      <c r="Q7" s="2">
        <v>18.1126</v>
      </c>
      <c r="R7" s="2">
        <v>15.83333</v>
      </c>
      <c r="S7" s="2">
        <v>19.51952</v>
      </c>
      <c r="T7" s="2">
        <v>16.506519999999998</v>
      </c>
      <c r="U7" s="2">
        <v>14.34249</v>
      </c>
      <c r="V7" s="2">
        <v>12.78619</v>
      </c>
      <c r="W7" s="2">
        <v>6.5636359999999998</v>
      </c>
      <c r="X7" s="2">
        <v>5.0138889999999998</v>
      </c>
      <c r="Y7" s="2">
        <v>3.9184130000000001</v>
      </c>
      <c r="Z7" s="2">
        <v>3.1462850000000002</v>
      </c>
      <c r="AA7" s="2">
        <v>19.605540000000001</v>
      </c>
      <c r="AB7" s="2">
        <v>15.56034</v>
      </c>
      <c r="AC7" s="2">
        <v>12.9061</v>
      </c>
      <c r="AD7" s="2">
        <v>11.3522</v>
      </c>
      <c r="AE7" s="2">
        <v>-8.6719299999999997</v>
      </c>
      <c r="AF7" s="2">
        <v>-9.0217969999999994</v>
      </c>
      <c r="AG7" s="2">
        <v>-7.6238999999999999</v>
      </c>
      <c r="AH7" s="2">
        <v>-12.6746</v>
      </c>
      <c r="AI7" s="2">
        <v>-14.595470000000001</v>
      </c>
      <c r="AJ7" s="2">
        <v>-13.57161</v>
      </c>
      <c r="AK7" s="3">
        <v>1.4131499999999999</v>
      </c>
      <c r="AL7" s="3">
        <v>1.258545</v>
      </c>
      <c r="AM7" s="2">
        <v>90.486459999999994</v>
      </c>
      <c r="AN7" s="2">
        <v>89.351569999999995</v>
      </c>
      <c r="AO7" s="2">
        <v>89.594539999999995</v>
      </c>
      <c r="AP7" s="2">
        <v>89.714280000000002</v>
      </c>
      <c r="AQ7" s="2">
        <v>4.971419</v>
      </c>
      <c r="AR7" s="2">
        <v>5.2127999999999997</v>
      </c>
      <c r="AS7" s="2">
        <v>5.4770630000000002</v>
      </c>
      <c r="AT7" s="2">
        <v>5.6035029999999999</v>
      </c>
      <c r="AU7" s="1" t="s">
        <v>5</v>
      </c>
      <c r="AV7" s="3">
        <v>1.3684210000000001</v>
      </c>
      <c r="AW7" s="3">
        <v>19.5</v>
      </c>
      <c r="AX7" s="2">
        <v>8.033239</v>
      </c>
      <c r="AY7" s="2">
        <v>23.88889</v>
      </c>
      <c r="AZ7" s="2">
        <v>14.7</v>
      </c>
      <c r="BA7" s="2">
        <v>3.172326</v>
      </c>
      <c r="BB7" s="2">
        <v>5.4322359999999996</v>
      </c>
      <c r="BC7" s="3">
        <v>12.484999999999999</v>
      </c>
      <c r="BD7" s="2">
        <v>44.57349</v>
      </c>
      <c r="BE7" s="3">
        <v>20.350000000000001</v>
      </c>
      <c r="BF7" s="2">
        <v>-11.302210000000001</v>
      </c>
      <c r="BG7" s="2">
        <v>0</v>
      </c>
      <c r="BH7" s="2">
        <v>0</v>
      </c>
      <c r="BI7" s="2">
        <v>0</v>
      </c>
      <c r="BJ7" s="2">
        <v>0</v>
      </c>
      <c r="BK7" s="2">
        <v>19</v>
      </c>
      <c r="BL7" s="2">
        <v>18</v>
      </c>
      <c r="BM7" s="4">
        <v>19</v>
      </c>
      <c r="BN7" s="4">
        <v>5</v>
      </c>
      <c r="BO7" s="4">
        <v>0</v>
      </c>
      <c r="BP7" s="4">
        <v>18</v>
      </c>
      <c r="BQ7" s="2">
        <v>21.739129999999999</v>
      </c>
      <c r="BR7" s="4">
        <v>14</v>
      </c>
      <c r="BS7" s="4">
        <v>1</v>
      </c>
      <c r="BT7" s="4">
        <v>19</v>
      </c>
      <c r="BU7" s="2">
        <v>73.684209999999993</v>
      </c>
      <c r="BV7" s="2">
        <v>11.4236</v>
      </c>
      <c r="BW7" s="2">
        <v>124.9509</v>
      </c>
      <c r="BX7" s="3">
        <v>0.49591429999999997</v>
      </c>
      <c r="BY7" s="3">
        <v>0.3968874</v>
      </c>
      <c r="BZ7" s="2">
        <v>0.95288399999999995</v>
      </c>
      <c r="CA7" s="3">
        <v>0.3968874</v>
      </c>
      <c r="CB7" s="3">
        <v>0.76303240000000006</v>
      </c>
      <c r="CC7" s="3">
        <v>0.86890389999999995</v>
      </c>
      <c r="CD7" s="2">
        <v>13.87509</v>
      </c>
      <c r="CE7" s="3">
        <v>148.8871</v>
      </c>
      <c r="CF7" s="3">
        <v>165.1901</v>
      </c>
      <c r="CG7" s="2">
        <v>10.94989</v>
      </c>
      <c r="CH7" s="3">
        <v>18.75</v>
      </c>
      <c r="CI7" s="2">
        <v>3.9999959999999999</v>
      </c>
      <c r="CJ7" s="3">
        <v>208.05090000000001</v>
      </c>
      <c r="CK7" s="3">
        <v>223.42760000000001</v>
      </c>
      <c r="CL7" s="2">
        <v>7.3908329999999998</v>
      </c>
      <c r="CM7" s="3">
        <v>14.59333</v>
      </c>
      <c r="CN7" s="3">
        <v>15.38627</v>
      </c>
      <c r="CO7" s="3">
        <v>16.537310000000002</v>
      </c>
      <c r="CP7" s="2">
        <v>23.686599999999999</v>
      </c>
      <c r="CQ7" s="2">
        <v>17.312349999999999</v>
      </c>
      <c r="CR7" s="2">
        <v>9.1471560000000007</v>
      </c>
      <c r="CS7" s="2">
        <v>5.4335709999999997</v>
      </c>
      <c r="CT7" s="2">
        <v>9.4021290000000004</v>
      </c>
      <c r="CU7" s="3">
        <v>0.41687869999999999</v>
      </c>
      <c r="CV7" s="2">
        <v>44.982599999999998</v>
      </c>
      <c r="CW7" s="2">
        <v>15.82985</v>
      </c>
      <c r="CX7" s="2">
        <v>13.6714</v>
      </c>
      <c r="CY7" s="2">
        <v>10.19192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8</v>
      </c>
      <c r="E8" s="1" t="s">
        <v>9</v>
      </c>
      <c r="F8" s="2">
        <v>49942.94</v>
      </c>
      <c r="G8" s="2">
        <v>98.485399999999998</v>
      </c>
      <c r="H8" s="2">
        <v>49186.5</v>
      </c>
      <c r="I8" s="3">
        <v>8.3719999999999999</v>
      </c>
      <c r="J8" s="3">
        <v>0</v>
      </c>
      <c r="K8" s="2">
        <v>5.1361679999999996</v>
      </c>
      <c r="L8" s="2">
        <v>7.5250839999999997</v>
      </c>
      <c r="M8" s="2">
        <v>7.5250839999999997</v>
      </c>
      <c r="N8" s="2">
        <v>7.5250839999999997</v>
      </c>
      <c r="O8" s="2">
        <v>7.9733330000000002</v>
      </c>
      <c r="P8" s="2">
        <v>6.5406250000000004</v>
      </c>
      <c r="Q8" s="2">
        <v>6.3908399999999999</v>
      </c>
      <c r="R8" s="2">
        <v>6.4153260000000003</v>
      </c>
      <c r="S8" s="2" t="e">
        <v>#N/A</v>
      </c>
      <c r="T8" s="2" t="e">
        <v>#N/A</v>
      </c>
      <c r="U8" s="2" t="e">
        <v>#N/A</v>
      </c>
      <c r="V8" s="2" t="e">
        <v>#N/A</v>
      </c>
      <c r="W8" s="2">
        <v>1.074711</v>
      </c>
      <c r="X8" s="2">
        <v>0.98842969999999997</v>
      </c>
      <c r="Y8" s="2">
        <v>0.94067420000000002</v>
      </c>
      <c r="Z8" s="2">
        <v>0.87797199999999997</v>
      </c>
      <c r="AA8" s="2" t="e">
        <v>#N/A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3">
        <v>1.320492</v>
      </c>
      <c r="AL8" s="3">
        <v>1.299979</v>
      </c>
      <c r="AM8" s="2" t="e">
        <v>#N/A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1" t="s">
        <v>5</v>
      </c>
      <c r="AV8" s="3">
        <v>1.3653850000000001</v>
      </c>
      <c r="AW8" s="3">
        <v>10</v>
      </c>
      <c r="AX8" s="2">
        <v>19.445779999999999</v>
      </c>
      <c r="AY8" s="2">
        <v>15.112159999999999</v>
      </c>
      <c r="AZ8" s="2">
        <v>4.9085219999999996</v>
      </c>
      <c r="BA8" s="2">
        <v>51.201000000000001</v>
      </c>
      <c r="BB8" s="2">
        <v>48.597799999999999</v>
      </c>
      <c r="BC8" s="3">
        <v>5.3010000000000002</v>
      </c>
      <c r="BD8" s="2">
        <v>57.932459999999999</v>
      </c>
      <c r="BE8" s="3">
        <v>8.7260000000000009</v>
      </c>
      <c r="BF8" s="2">
        <v>-4.0568410000000004</v>
      </c>
      <c r="BG8" s="2">
        <v>41.986649999999997</v>
      </c>
      <c r="BH8" s="2">
        <v>48.140880000000003</v>
      </c>
      <c r="BI8" s="2">
        <v>48.917549999999999</v>
      </c>
      <c r="BJ8" s="2">
        <v>50.046190000000003</v>
      </c>
      <c r="BK8" s="2">
        <v>25</v>
      </c>
      <c r="BL8" s="2">
        <v>17</v>
      </c>
      <c r="BM8" s="4">
        <v>26</v>
      </c>
      <c r="BN8" s="4">
        <v>4</v>
      </c>
      <c r="BO8" s="4">
        <v>1</v>
      </c>
      <c r="BP8" s="4">
        <v>22</v>
      </c>
      <c r="BQ8" s="2">
        <v>14.81481</v>
      </c>
      <c r="BR8" s="4">
        <v>18</v>
      </c>
      <c r="BS8" s="4">
        <v>0</v>
      </c>
      <c r="BT8" s="4">
        <v>26</v>
      </c>
      <c r="BU8" s="2">
        <v>69.230770000000007</v>
      </c>
      <c r="BV8" s="2">
        <v>8.9487400000000008</v>
      </c>
      <c r="BW8" s="2">
        <v>5965.473</v>
      </c>
      <c r="BX8" s="3">
        <v>16.244509999999998</v>
      </c>
      <c r="BY8" s="3">
        <v>0.27230880000000002</v>
      </c>
      <c r="BZ8" s="2">
        <v>1.5012799999999999</v>
      </c>
      <c r="CA8" s="3">
        <v>0.27230880000000002</v>
      </c>
      <c r="CB8" s="3">
        <v>1.2267479999999999</v>
      </c>
      <c r="CC8" s="3">
        <v>1.2916430000000001</v>
      </c>
      <c r="CD8" s="2">
        <v>5.2899839999999996</v>
      </c>
      <c r="CE8" s="3">
        <v>16406.54</v>
      </c>
      <c r="CF8" s="3">
        <v>17168.61</v>
      </c>
      <c r="CG8" s="2">
        <v>4.6449069999999999</v>
      </c>
      <c r="CH8" s="3">
        <v>8.811852</v>
      </c>
      <c r="CI8" s="2">
        <v>13.48352</v>
      </c>
      <c r="CJ8" s="3">
        <v>28296.53</v>
      </c>
      <c r="CK8" s="3">
        <v>29771.9</v>
      </c>
      <c r="CL8" s="2">
        <v>5.2139759999999997</v>
      </c>
      <c r="CM8" s="3">
        <v>7.1293350000000002</v>
      </c>
      <c r="CN8" s="3">
        <v>8.0044330000000006</v>
      </c>
      <c r="CO8" s="3">
        <v>8.3796160000000004</v>
      </c>
      <c r="CP8" s="2">
        <v>17.430289999999999</v>
      </c>
      <c r="CQ8" s="2">
        <v>4.5920490000000003</v>
      </c>
      <c r="CR8" s="2">
        <v>-9.0885160000000006E-2</v>
      </c>
      <c r="CS8" s="2">
        <v>12.2746</v>
      </c>
      <c r="CT8" s="2">
        <v>127.13849999999999</v>
      </c>
      <c r="CU8" s="3">
        <v>0.2545676</v>
      </c>
      <c r="CV8" s="2">
        <v>-2.0145930000000001</v>
      </c>
      <c r="CW8" s="2">
        <v>8.6232989999999994</v>
      </c>
      <c r="CX8" s="2">
        <v>9.216977</v>
      </c>
      <c r="CY8" s="2">
        <v>10.272729999999999</v>
      </c>
    </row>
    <row r="9" spans="1:103" ht="15" customHeight="1" x14ac:dyDescent="0.2">
      <c r="A9" s="1">
        <f t="shared" ref="A9:A41" si="0">1+A8</f>
        <v>3</v>
      </c>
      <c r="B9" s="1" t="s">
        <v>11</v>
      </c>
      <c r="C9" s="1" t="s">
        <v>10</v>
      </c>
      <c r="D9" s="1" t="s">
        <v>8</v>
      </c>
      <c r="E9" s="1" t="s">
        <v>9</v>
      </c>
      <c r="F9" s="2">
        <v>6490.7039999999997</v>
      </c>
      <c r="G9" s="2">
        <v>96.579700000000003</v>
      </c>
      <c r="H9" s="2">
        <v>6268.7020000000002</v>
      </c>
      <c r="I9" s="3">
        <v>1.1535</v>
      </c>
      <c r="J9" s="3">
        <v>0</v>
      </c>
      <c r="K9" s="2">
        <v>3.4677069999999999</v>
      </c>
      <c r="L9" s="2">
        <v>10.21321</v>
      </c>
      <c r="M9" s="2">
        <v>9.8396190000000008</v>
      </c>
      <c r="N9" s="2">
        <v>9.5361949999999993</v>
      </c>
      <c r="O9" s="2">
        <v>8.245215</v>
      </c>
      <c r="P9" s="2">
        <v>5.243182</v>
      </c>
      <c r="Q9" s="2">
        <v>5.0220640000000003</v>
      </c>
      <c r="R9" s="2">
        <v>5.4928569999999999</v>
      </c>
      <c r="S9" s="2" t="e">
        <v>#N/A</v>
      </c>
      <c r="T9" s="2" t="e">
        <v>#N/A</v>
      </c>
      <c r="U9" s="2" t="e">
        <v>#N/A</v>
      </c>
      <c r="V9" s="2" t="e">
        <v>#N/A</v>
      </c>
      <c r="W9" s="2">
        <v>0.49133719999999997</v>
      </c>
      <c r="X9" s="2">
        <v>0.45058589999999998</v>
      </c>
      <c r="Y9" s="2">
        <v>0.43305690000000002</v>
      </c>
      <c r="Z9" s="2">
        <v>0.41533819999999999</v>
      </c>
      <c r="AA9" s="2" t="e">
        <v>#N/A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3">
        <v>0.42811179999999999</v>
      </c>
      <c r="AL9" s="3">
        <v>0.431616</v>
      </c>
      <c r="AM9" s="2" t="e">
        <v>#N/A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1" t="s">
        <v>5</v>
      </c>
      <c r="AV9" s="3">
        <v>1.5</v>
      </c>
      <c r="AW9" s="3">
        <v>1.6</v>
      </c>
      <c r="AX9" s="2">
        <v>38.708280000000002</v>
      </c>
      <c r="AY9" s="2">
        <v>8.59375</v>
      </c>
      <c r="AZ9" s="2">
        <v>11.963469999999999</v>
      </c>
      <c r="BA9" s="2">
        <v>35.165210000000002</v>
      </c>
      <c r="BB9" s="2">
        <v>30.96049</v>
      </c>
      <c r="BC9" s="3">
        <v>0.83160000000000001</v>
      </c>
      <c r="BD9" s="2">
        <v>38.708509999999997</v>
      </c>
      <c r="BE9" s="3">
        <v>1.3640000000000001</v>
      </c>
      <c r="BF9" s="2">
        <v>-15.432550000000001</v>
      </c>
      <c r="BG9" s="2">
        <v>29.02468</v>
      </c>
      <c r="BH9" s="2">
        <v>45.018090000000001</v>
      </c>
      <c r="BI9" s="2">
        <v>47.064990000000002</v>
      </c>
      <c r="BJ9" s="2">
        <v>47.673830000000002</v>
      </c>
      <c r="BK9" s="2">
        <v>22</v>
      </c>
      <c r="BL9" s="2">
        <v>13</v>
      </c>
      <c r="BM9" s="4">
        <v>23</v>
      </c>
      <c r="BN9" s="4">
        <v>2</v>
      </c>
      <c r="BO9" s="4">
        <v>0</v>
      </c>
      <c r="BP9" s="4">
        <v>21</v>
      </c>
      <c r="BQ9" s="2">
        <v>8.6956520000000008</v>
      </c>
      <c r="BR9" s="4">
        <v>13</v>
      </c>
      <c r="BS9" s="4">
        <v>2</v>
      </c>
      <c r="BT9" s="4">
        <v>23</v>
      </c>
      <c r="BU9" s="2">
        <v>56.521740000000001</v>
      </c>
      <c r="BV9" s="2">
        <v>11.543699999999999</v>
      </c>
      <c r="BW9" s="2">
        <v>5626.9639999999999</v>
      </c>
      <c r="BX9" s="3">
        <v>29.029540000000001</v>
      </c>
      <c r="BY9" s="3">
        <v>0.51590060000000004</v>
      </c>
      <c r="BZ9" s="2">
        <v>1.4810700000000001</v>
      </c>
      <c r="CA9" s="3">
        <v>0.51590060000000004</v>
      </c>
      <c r="CB9" s="3">
        <v>0.20065459999999999</v>
      </c>
      <c r="CC9" s="3">
        <v>0.2252181</v>
      </c>
      <c r="CD9" s="2">
        <v>12.241709999999999</v>
      </c>
      <c r="CE9" s="3">
        <v>2785.75</v>
      </c>
      <c r="CF9" s="3">
        <v>2918.8229999999999</v>
      </c>
      <c r="CG9" s="2">
        <v>4.7769190000000004</v>
      </c>
      <c r="CH9" s="3">
        <v>1.496364</v>
      </c>
      <c r="CI9" s="2">
        <v>6.9258810000000004</v>
      </c>
      <c r="CJ9" s="3">
        <v>5794.1260000000002</v>
      </c>
      <c r="CK9" s="3">
        <v>5932.25</v>
      </c>
      <c r="CL9" s="2">
        <v>2.3838520000000001</v>
      </c>
      <c r="CM9" s="3">
        <v>1.0832120000000001</v>
      </c>
      <c r="CN9" s="3">
        <v>1.2113830000000001</v>
      </c>
      <c r="CO9" s="3">
        <v>1.288327</v>
      </c>
      <c r="CP9" s="2">
        <v>6.4888240000000001</v>
      </c>
      <c r="CQ9" s="2">
        <v>-4.7782239999999998</v>
      </c>
      <c r="CR9" s="2">
        <v>-10.46527</v>
      </c>
      <c r="CS9" s="2">
        <v>11.83243</v>
      </c>
      <c r="CT9" s="2">
        <v>29.880749999999999</v>
      </c>
      <c r="CU9" s="3">
        <v>0.4603623</v>
      </c>
      <c r="CV9" s="2">
        <v>15.942769999999999</v>
      </c>
      <c r="CW9" s="2">
        <v>4.4967969999999999</v>
      </c>
      <c r="CX9" s="2">
        <v>9.0210290000000004</v>
      </c>
      <c r="CY9" s="2">
        <v>12.36364</v>
      </c>
    </row>
    <row r="10" spans="1:103" ht="15" customHeight="1" x14ac:dyDescent="0.2">
      <c r="A10" s="1">
        <f t="shared" si="0"/>
        <v>4</v>
      </c>
      <c r="B10" s="1" t="s">
        <v>13</v>
      </c>
      <c r="C10" s="1" t="s">
        <v>12</v>
      </c>
      <c r="D10" s="1" t="s">
        <v>8</v>
      </c>
      <c r="E10" s="1" t="s">
        <v>14</v>
      </c>
      <c r="F10" s="2">
        <v>28373.06</v>
      </c>
      <c r="G10" s="2">
        <v>53.741199999999999</v>
      </c>
      <c r="H10" s="2">
        <v>15248.03</v>
      </c>
      <c r="I10" s="3">
        <v>3.782</v>
      </c>
      <c r="J10" s="3">
        <v>0</v>
      </c>
      <c r="K10" s="2">
        <v>6.0814389999999996</v>
      </c>
      <c r="L10" s="2">
        <v>9.7602200000000003</v>
      </c>
      <c r="M10" s="2">
        <v>9.7824080000000002</v>
      </c>
      <c r="N10" s="2">
        <v>9.7831840000000003</v>
      </c>
      <c r="O10" s="2">
        <v>10.22162</v>
      </c>
      <c r="P10" s="2">
        <v>6.0277219999999998</v>
      </c>
      <c r="Q10" s="2">
        <v>5.9573770000000001</v>
      </c>
      <c r="R10" s="2">
        <v>6.1797389999999996</v>
      </c>
      <c r="S10" s="2" t="e">
        <v>#N/A</v>
      </c>
      <c r="T10" s="2" t="e">
        <v>#N/A</v>
      </c>
      <c r="U10" s="2" t="e">
        <v>#N/A</v>
      </c>
      <c r="V10" s="2" t="e">
        <v>#N/A</v>
      </c>
      <c r="W10" s="2">
        <v>0.8275711</v>
      </c>
      <c r="X10" s="2">
        <v>0.80008440000000003</v>
      </c>
      <c r="Y10" s="2">
        <v>0.75959049999999995</v>
      </c>
      <c r="Z10" s="2">
        <v>0.72071010000000002</v>
      </c>
      <c r="AA10" s="2" t="e">
        <v>#N/A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3">
        <v>0.40419630000000001</v>
      </c>
      <c r="AL10" s="3">
        <v>0.39894410000000002</v>
      </c>
      <c r="AM10" s="2" t="e">
        <v>#N/A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1" t="s">
        <v>5</v>
      </c>
      <c r="AV10" s="3">
        <v>1.3958330000000001</v>
      </c>
      <c r="AW10" s="3">
        <v>5.2</v>
      </c>
      <c r="AX10" s="2">
        <v>37.493389999999998</v>
      </c>
      <c r="AY10" s="2">
        <v>13.27341</v>
      </c>
      <c r="AZ10" s="2">
        <v>16.845890000000001</v>
      </c>
      <c r="BA10" s="2">
        <v>12.225519999999999</v>
      </c>
      <c r="BB10" s="2">
        <v>2.9956459999999998</v>
      </c>
      <c r="BC10" s="3">
        <v>3.1230000000000002</v>
      </c>
      <c r="BD10" s="2">
        <v>21.101510000000001</v>
      </c>
      <c r="BE10" s="3">
        <v>4.2300000000000004</v>
      </c>
      <c r="BF10" s="2">
        <v>-10.59102</v>
      </c>
      <c r="BG10" s="2">
        <v>62.026249999999997</v>
      </c>
      <c r="BH10" s="2">
        <v>59.538719999999998</v>
      </c>
      <c r="BI10" s="2">
        <v>60.938009999999998</v>
      </c>
      <c r="BJ10" s="2">
        <v>62.109679999999997</v>
      </c>
      <c r="BK10" s="2">
        <v>22</v>
      </c>
      <c r="BL10" s="2">
        <v>15</v>
      </c>
      <c r="BM10" s="4">
        <v>24</v>
      </c>
      <c r="BN10" s="4">
        <v>1</v>
      </c>
      <c r="BO10" s="4">
        <v>0</v>
      </c>
      <c r="BP10" s="4">
        <v>22</v>
      </c>
      <c r="BQ10" s="2">
        <v>4.3478260000000004</v>
      </c>
      <c r="BR10" s="4">
        <v>17</v>
      </c>
      <c r="BS10" s="4">
        <v>1</v>
      </c>
      <c r="BT10" s="4">
        <v>24</v>
      </c>
      <c r="BU10" s="2">
        <v>70.833330000000004</v>
      </c>
      <c r="BV10" s="2">
        <v>7.0147899999999996</v>
      </c>
      <c r="BW10" s="2">
        <v>7502.1319999999996</v>
      </c>
      <c r="BX10" s="3">
        <v>12.470459999999999</v>
      </c>
      <c r="BY10" s="3">
        <v>0.1662255</v>
      </c>
      <c r="BZ10" s="2">
        <v>0.62839100000000003</v>
      </c>
      <c r="CA10" s="3">
        <v>0.1662255</v>
      </c>
      <c r="CB10" s="3">
        <v>0.5750324</v>
      </c>
      <c r="CC10" s="3">
        <v>0.62625149999999996</v>
      </c>
      <c r="CD10" s="2">
        <v>8.9071750000000005</v>
      </c>
      <c r="CE10" s="3">
        <v>7682.5519999999997</v>
      </c>
      <c r="CF10" s="3">
        <v>8267.8189999999995</v>
      </c>
      <c r="CG10" s="2">
        <v>7.6181409999999996</v>
      </c>
      <c r="CH10" s="3">
        <v>4.9943999999999997</v>
      </c>
      <c r="CI10" s="2">
        <v>4.1166070000000001</v>
      </c>
      <c r="CJ10" s="3">
        <v>13545.04</v>
      </c>
      <c r="CK10" s="3">
        <v>14179.62</v>
      </c>
      <c r="CL10" s="2">
        <v>4.6849369999999997</v>
      </c>
      <c r="CM10" s="3">
        <v>3.7056079999999998</v>
      </c>
      <c r="CN10" s="3">
        <v>3.910568</v>
      </c>
      <c r="CO10" s="3">
        <v>4.0322300000000002</v>
      </c>
      <c r="CP10" s="2">
        <v>2.0615100000000002</v>
      </c>
      <c r="CQ10" s="2">
        <v>-3.287703</v>
      </c>
      <c r="CR10" s="2">
        <v>-6.2057549999999999</v>
      </c>
      <c r="CS10" s="2">
        <v>5.5310610000000002</v>
      </c>
      <c r="CT10" s="2">
        <v>45.73019</v>
      </c>
      <c r="CU10" s="3">
        <v>0.1611747</v>
      </c>
      <c r="CV10" s="2">
        <v>3.2544</v>
      </c>
      <c r="CW10" s="2">
        <v>6.8897269999999997</v>
      </c>
      <c r="CX10" s="2">
        <v>10.15896</v>
      </c>
      <c r="CY10" s="2">
        <v>12.828279999999999</v>
      </c>
    </row>
    <row r="11" spans="1:103" ht="15" customHeight="1" x14ac:dyDescent="0.2">
      <c r="A11" s="1">
        <f t="shared" si="0"/>
        <v>5</v>
      </c>
      <c r="B11" s="1" t="s">
        <v>16</v>
      </c>
      <c r="C11" s="1" t="s">
        <v>15</v>
      </c>
      <c r="D11" s="1" t="s">
        <v>17</v>
      </c>
      <c r="E11" s="1" t="s">
        <v>18</v>
      </c>
      <c r="F11" s="2">
        <v>3103.2280000000001</v>
      </c>
      <c r="G11" s="2">
        <v>36.642000000000003</v>
      </c>
      <c r="H11" s="2">
        <v>1137.085</v>
      </c>
      <c r="I11" s="3">
        <v>57.45</v>
      </c>
      <c r="J11" s="3">
        <v>0</v>
      </c>
      <c r="K11" s="2">
        <v>2.245431</v>
      </c>
      <c r="L11" s="2">
        <v>1.871192</v>
      </c>
      <c r="M11" s="2">
        <v>1.8215840000000001</v>
      </c>
      <c r="N11" s="2">
        <v>1.966928</v>
      </c>
      <c r="O11" s="2">
        <v>15.52703</v>
      </c>
      <c r="P11" s="2">
        <v>18.92916</v>
      </c>
      <c r="Q11" s="2">
        <v>19.844560000000001</v>
      </c>
      <c r="R11" s="2">
        <v>17.07281</v>
      </c>
      <c r="S11" s="2">
        <v>6.79148</v>
      </c>
      <c r="T11" s="2">
        <v>13.189819999999999</v>
      </c>
      <c r="U11" s="2">
        <v>13.34606</v>
      </c>
      <c r="V11" s="2">
        <v>11.585660000000001</v>
      </c>
      <c r="W11" s="2">
        <v>5.9719340000000001</v>
      </c>
      <c r="X11" s="2">
        <v>5.3096120000000004</v>
      </c>
      <c r="Y11" s="2">
        <v>4.6679940000000002</v>
      </c>
      <c r="Z11" s="2">
        <v>3.7209089999999998</v>
      </c>
      <c r="AA11" s="2">
        <v>12.94347</v>
      </c>
      <c r="AB11" s="2">
        <v>17.090309999999999</v>
      </c>
      <c r="AC11" s="2">
        <v>15.90911</v>
      </c>
      <c r="AD11" s="2">
        <v>14.474320000000001</v>
      </c>
      <c r="AE11" s="2">
        <v>3.2713969999999999</v>
      </c>
      <c r="AF11" s="2">
        <v>4.9938599999999997</v>
      </c>
      <c r="AG11" s="2">
        <v>5.6673619999999998</v>
      </c>
      <c r="AH11" s="2">
        <v>3.2397710000000002</v>
      </c>
      <c r="AI11" s="2">
        <v>4.8860409999999996</v>
      </c>
      <c r="AJ11" s="2">
        <v>5.3605470000000004</v>
      </c>
      <c r="AK11" s="3" t="e">
        <v>#N/A</v>
      </c>
      <c r="AL11" s="3" t="e">
        <v>#N/A</v>
      </c>
      <c r="AM11" s="2">
        <v>34.120089999999998</v>
      </c>
      <c r="AN11" s="2">
        <v>28.836639999999999</v>
      </c>
      <c r="AO11" s="2">
        <v>28.35951</v>
      </c>
      <c r="AP11" s="2">
        <v>29.929120000000001</v>
      </c>
      <c r="AQ11" s="2">
        <v>-0.1899642</v>
      </c>
      <c r="AR11" s="2">
        <v>-0.12875539999999999</v>
      </c>
      <c r="AS11" s="2">
        <v>-0.29450549999999998</v>
      </c>
      <c r="AT11" s="2">
        <v>-0.66311419999999999</v>
      </c>
      <c r="AU11" s="1" t="s">
        <v>5</v>
      </c>
      <c r="AV11" s="3">
        <v>1.4</v>
      </c>
      <c r="AW11" s="3">
        <v>61</v>
      </c>
      <c r="AX11" s="2">
        <v>6.1792850000000001</v>
      </c>
      <c r="AY11" s="2">
        <v>28.049910000000001</v>
      </c>
      <c r="AZ11" s="2" t="e">
        <v>#N/A</v>
      </c>
      <c r="BA11" s="2">
        <v>51.104680000000002</v>
      </c>
      <c r="BB11" s="2">
        <v>59.317799999999998</v>
      </c>
      <c r="BC11" s="3">
        <v>35.200000000000003</v>
      </c>
      <c r="BD11" s="2">
        <v>63.21022</v>
      </c>
      <c r="BE11" s="3">
        <v>58</v>
      </c>
      <c r="BF11" s="2">
        <v>-0.94827410000000001</v>
      </c>
      <c r="BG11" s="2">
        <v>33.133690000000001</v>
      </c>
      <c r="BH11" s="2">
        <v>36.87209</v>
      </c>
      <c r="BI11" s="2">
        <v>35.230020000000003</v>
      </c>
      <c r="BJ11" s="2">
        <v>33.658290000000001</v>
      </c>
      <c r="BK11" s="2">
        <v>8</v>
      </c>
      <c r="BL11" s="2">
        <v>9</v>
      </c>
      <c r="BM11" s="4">
        <v>10</v>
      </c>
      <c r="BN11" s="4">
        <v>0</v>
      </c>
      <c r="BO11" s="4">
        <v>2</v>
      </c>
      <c r="BP11" s="4">
        <v>9</v>
      </c>
      <c r="BQ11" s="2">
        <v>0</v>
      </c>
      <c r="BR11" s="4">
        <v>6</v>
      </c>
      <c r="BS11" s="4">
        <v>0</v>
      </c>
      <c r="BT11" s="4">
        <v>10</v>
      </c>
      <c r="BU11" s="2">
        <v>60</v>
      </c>
      <c r="BV11" s="2">
        <v>8.9267299999999992</v>
      </c>
      <c r="BW11" s="2">
        <v>54.016159999999999</v>
      </c>
      <c r="BX11" s="3">
        <v>0.13493250000000001</v>
      </c>
      <c r="BY11" s="3">
        <v>0.24980040000000001</v>
      </c>
      <c r="BZ11" s="2">
        <v>0.48858499999999999</v>
      </c>
      <c r="CA11" s="3">
        <v>0.24980040000000001</v>
      </c>
      <c r="CB11" s="3">
        <v>2.5372050000000002</v>
      </c>
      <c r="CC11" s="3">
        <v>3.0185430000000002</v>
      </c>
      <c r="CD11" s="2">
        <v>18.971219999999999</v>
      </c>
      <c r="CE11" s="3">
        <v>169.58279999999999</v>
      </c>
      <c r="CF11" s="3">
        <v>206.1</v>
      </c>
      <c r="CG11" s="2">
        <v>21.533580000000001</v>
      </c>
      <c r="CH11" s="3">
        <v>58.622450000000001</v>
      </c>
      <c r="CI11" s="2">
        <v>4.0557030000000003</v>
      </c>
      <c r="CJ11" s="3">
        <v>754.41179999999997</v>
      </c>
      <c r="CK11" s="3">
        <v>808.90030000000002</v>
      </c>
      <c r="CL11" s="2">
        <v>7.2226410000000003</v>
      </c>
      <c r="CM11" s="3">
        <v>46.151040000000002</v>
      </c>
      <c r="CN11" s="3">
        <v>52.398429999999998</v>
      </c>
      <c r="CO11" s="3">
        <v>54.108069999999998</v>
      </c>
      <c r="CP11" s="2">
        <v>24.482559999999999</v>
      </c>
      <c r="CQ11" s="2">
        <v>9.6406939999999999</v>
      </c>
      <c r="CR11" s="2">
        <v>6.1763880000000002</v>
      </c>
      <c r="CS11" s="2">
        <v>13.536820000000001</v>
      </c>
      <c r="CT11" s="2">
        <v>5.2562889999999998</v>
      </c>
      <c r="CU11" s="3">
        <v>0.16938130000000001</v>
      </c>
      <c r="CV11" s="2" t="e">
        <v>#N/A</v>
      </c>
      <c r="CW11" s="2" t="e">
        <v>#N/A</v>
      </c>
      <c r="CX11" s="2" t="e">
        <v>#N/A</v>
      </c>
      <c r="CY11" s="2">
        <v>12.93939</v>
      </c>
    </row>
    <row r="12" spans="1:103" ht="15" customHeight="1" x14ac:dyDescent="0.2">
      <c r="A12" s="1">
        <f t="shared" si="0"/>
        <v>6</v>
      </c>
      <c r="B12" s="1" t="s">
        <v>20</v>
      </c>
      <c r="C12" s="1" t="s">
        <v>19</v>
      </c>
      <c r="D12" s="1" t="s">
        <v>21</v>
      </c>
      <c r="E12" s="1" t="s">
        <v>22</v>
      </c>
      <c r="F12" s="2">
        <v>17155.43</v>
      </c>
      <c r="G12" s="2">
        <v>95.848100000000002</v>
      </c>
      <c r="H12" s="2">
        <v>16443.150000000001</v>
      </c>
      <c r="I12" s="3">
        <v>13.43</v>
      </c>
      <c r="J12" s="3">
        <v>0</v>
      </c>
      <c r="K12" s="2">
        <v>5.2122109999999999</v>
      </c>
      <c r="L12" s="2">
        <v>5.5845120000000001</v>
      </c>
      <c r="M12" s="2">
        <v>5.9568130000000004</v>
      </c>
      <c r="N12" s="2">
        <v>6.3291139999999997</v>
      </c>
      <c r="O12" s="2">
        <v>2.8955829999999998</v>
      </c>
      <c r="P12" s="2">
        <v>3.783099</v>
      </c>
      <c r="Q12" s="2">
        <v>4.6310339999999997</v>
      </c>
      <c r="R12" s="2">
        <v>5.0043800000000003</v>
      </c>
      <c r="S12" s="2">
        <v>1.6749700000000001</v>
      </c>
      <c r="T12" s="2">
        <v>1.97492</v>
      </c>
      <c r="U12" s="2">
        <v>2.1852230000000001</v>
      </c>
      <c r="V12" s="2">
        <v>2.3389169999999999</v>
      </c>
      <c r="W12" s="2">
        <v>0.72019699999999998</v>
      </c>
      <c r="X12" s="2">
        <v>0.61662289999999997</v>
      </c>
      <c r="Y12" s="2">
        <v>0.54516699999999996</v>
      </c>
      <c r="Z12" s="2">
        <v>0.50323819999999997</v>
      </c>
      <c r="AA12" s="2">
        <v>2.0240140000000002</v>
      </c>
      <c r="AB12" s="2">
        <v>2.4176419999999998</v>
      </c>
      <c r="AC12" s="2">
        <v>2.405411</v>
      </c>
      <c r="AD12" s="2">
        <v>2.3244530000000001</v>
      </c>
      <c r="AE12" s="2">
        <v>10.508990000000001</v>
      </c>
      <c r="AF12" s="2">
        <v>11.446949999999999</v>
      </c>
      <c r="AG12" s="2">
        <v>9.7102129999999995</v>
      </c>
      <c r="AH12" s="2">
        <v>12.038589999999999</v>
      </c>
      <c r="AI12" s="2">
        <v>13.227169999999999</v>
      </c>
      <c r="AJ12" s="2">
        <v>11.728899999999999</v>
      </c>
      <c r="AK12" s="3">
        <v>1.660088</v>
      </c>
      <c r="AL12" s="3">
        <v>2.0484810000000002</v>
      </c>
      <c r="AM12" s="2">
        <v>17.41527</v>
      </c>
      <c r="AN12" s="2">
        <v>15.80527</v>
      </c>
      <c r="AO12" s="2">
        <v>15.02746</v>
      </c>
      <c r="AP12" s="2">
        <v>16.087129999999998</v>
      </c>
      <c r="AQ12" s="2">
        <v>0.1830416</v>
      </c>
      <c r="AR12" s="2">
        <v>0.25092959999999997</v>
      </c>
      <c r="AS12" s="2">
        <v>0.29410530000000001</v>
      </c>
      <c r="AT12" s="2">
        <v>0.40255609999999997</v>
      </c>
      <c r="AU12" s="1" t="s">
        <v>23</v>
      </c>
      <c r="AV12" s="3">
        <v>1.464286</v>
      </c>
      <c r="AW12" s="3">
        <v>17.8</v>
      </c>
      <c r="AX12" s="2">
        <v>32.539079999999998</v>
      </c>
      <c r="AY12" s="2">
        <v>16.299410000000002</v>
      </c>
      <c r="AZ12" s="2">
        <v>2.2726869999999999</v>
      </c>
      <c r="BA12" s="2">
        <v>-6.3785309999999997</v>
      </c>
      <c r="BB12" s="2">
        <v>-9.5622900000000008</v>
      </c>
      <c r="BC12" s="3">
        <v>12.455</v>
      </c>
      <c r="BD12" s="2">
        <v>7.8281879999999999</v>
      </c>
      <c r="BE12" s="3">
        <v>15.87</v>
      </c>
      <c r="BF12" s="2">
        <v>-15.374919999999999</v>
      </c>
      <c r="BG12" s="2">
        <v>14.44557</v>
      </c>
      <c r="BH12" s="2">
        <v>20.889800000000001</v>
      </c>
      <c r="BI12" s="2">
        <v>27.73574</v>
      </c>
      <c r="BJ12" s="2">
        <v>33.416699999999999</v>
      </c>
      <c r="BK12" s="2">
        <v>25</v>
      </c>
      <c r="BL12" s="2">
        <v>23</v>
      </c>
      <c r="BM12" s="4">
        <v>28</v>
      </c>
      <c r="BN12" s="4">
        <v>5</v>
      </c>
      <c r="BO12" s="4">
        <v>2</v>
      </c>
      <c r="BP12" s="4">
        <v>23</v>
      </c>
      <c r="BQ12" s="2">
        <v>16.66667</v>
      </c>
      <c r="BR12" s="4">
        <v>17</v>
      </c>
      <c r="BS12" s="4">
        <v>1</v>
      </c>
      <c r="BT12" s="4">
        <v>28</v>
      </c>
      <c r="BU12" s="2">
        <v>60.714289999999998</v>
      </c>
      <c r="BV12" s="2">
        <v>9.2636400000000005</v>
      </c>
      <c r="BW12" s="2">
        <v>1277.396</v>
      </c>
      <c r="BX12" s="3">
        <v>5.4759099999999998</v>
      </c>
      <c r="BY12" s="3">
        <v>0.42867749999999999</v>
      </c>
      <c r="BZ12" s="2">
        <v>0.96251200000000003</v>
      </c>
      <c r="CA12" s="3">
        <v>0.42867749999999999</v>
      </c>
      <c r="CB12" s="3">
        <v>3.3707729999999998</v>
      </c>
      <c r="CC12" s="3">
        <v>3.5596329999999998</v>
      </c>
      <c r="CD12" s="2">
        <v>5.6028719999999996</v>
      </c>
      <c r="CE12" s="3">
        <v>7066.3239999999996</v>
      </c>
      <c r="CF12" s="3">
        <v>7250.049</v>
      </c>
      <c r="CG12" s="2">
        <v>2.6000139999999998</v>
      </c>
      <c r="CH12" s="3">
        <v>16.730419999999999</v>
      </c>
      <c r="CI12" s="2">
        <v>6.3930389999999999</v>
      </c>
      <c r="CJ12" s="3">
        <v>65866.33</v>
      </c>
      <c r="CK12" s="3">
        <v>69263.64</v>
      </c>
      <c r="CL12" s="2">
        <v>5.1578879999999998</v>
      </c>
      <c r="CM12" s="3">
        <v>13.88631</v>
      </c>
      <c r="CN12" s="3">
        <v>14.09029</v>
      </c>
      <c r="CO12" s="3">
        <v>13.838839999999999</v>
      </c>
      <c r="CP12" s="2">
        <v>-3.28607</v>
      </c>
      <c r="CQ12" s="2">
        <v>-4.686153</v>
      </c>
      <c r="CR12" s="2">
        <v>-2.9543159999999999</v>
      </c>
      <c r="CS12" s="2">
        <v>1.4689209999999999</v>
      </c>
      <c r="CT12" s="2">
        <v>62.573410000000003</v>
      </c>
      <c r="CU12" s="3">
        <v>0.36474400000000001</v>
      </c>
      <c r="CV12" s="2">
        <v>27.366029999999999</v>
      </c>
      <c r="CW12" s="2">
        <v>-7.2414519999999998</v>
      </c>
      <c r="CX12" s="2">
        <v>-4.2855629999999998</v>
      </c>
      <c r="CY12" s="2">
        <v>13.131309999999999</v>
      </c>
    </row>
    <row r="13" spans="1:103" ht="15" customHeight="1" x14ac:dyDescent="0.2">
      <c r="A13" s="1">
        <f t="shared" si="0"/>
        <v>7</v>
      </c>
      <c r="B13" s="1" t="s">
        <v>25</v>
      </c>
      <c r="C13" s="1" t="s">
        <v>24</v>
      </c>
      <c r="D13" s="1" t="s">
        <v>8</v>
      </c>
      <c r="E13" s="1" t="s">
        <v>9</v>
      </c>
      <c r="F13" s="2">
        <v>5303.31</v>
      </c>
      <c r="G13" s="2">
        <v>70.796599999999998</v>
      </c>
      <c r="H13" s="2">
        <v>3754.5630000000001</v>
      </c>
      <c r="I13" s="3">
        <v>5.9</v>
      </c>
      <c r="J13" s="3">
        <v>0</v>
      </c>
      <c r="K13" s="2">
        <v>5.2542369999999998</v>
      </c>
      <c r="L13" s="2">
        <v>8.1355930000000001</v>
      </c>
      <c r="M13" s="2">
        <v>7.9661020000000002</v>
      </c>
      <c r="N13" s="2">
        <v>7.7966100000000003</v>
      </c>
      <c r="O13" s="2">
        <v>9.6721319999999995</v>
      </c>
      <c r="P13" s="2">
        <v>6.1993349999999996</v>
      </c>
      <c r="Q13" s="2">
        <v>6.3274650000000001</v>
      </c>
      <c r="R13" s="2">
        <v>6.5555560000000002</v>
      </c>
      <c r="S13" s="2" t="e">
        <v>#N/A</v>
      </c>
      <c r="T13" s="2" t="e">
        <v>#N/A</v>
      </c>
      <c r="U13" s="2" t="e">
        <v>#N/A</v>
      </c>
      <c r="V13" s="2" t="e">
        <v>#N/A</v>
      </c>
      <c r="W13" s="2">
        <v>1.080586</v>
      </c>
      <c r="X13" s="2">
        <v>0.9899329</v>
      </c>
      <c r="Y13" s="2">
        <v>0.921875</v>
      </c>
      <c r="Z13" s="2">
        <v>0.86754209999999998</v>
      </c>
      <c r="AA13" s="2" t="e">
        <v>#N/A</v>
      </c>
      <c r="AB13" s="2" t="e">
        <v>#N/A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3">
        <v>0.55519099999999999</v>
      </c>
      <c r="AL13" s="3">
        <v>0.57369020000000004</v>
      </c>
      <c r="AM13" s="2" t="e">
        <v>#N/A</v>
      </c>
      <c r="AN13" s="2" t="e">
        <v>#N/A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1" t="s">
        <v>5</v>
      </c>
      <c r="AV13" s="3">
        <v>1.4750000000000001</v>
      </c>
      <c r="AW13" s="3">
        <v>8</v>
      </c>
      <c r="AX13" s="2">
        <v>35.593220000000002</v>
      </c>
      <c r="AY13" s="2">
        <v>15.96837</v>
      </c>
      <c r="AZ13" s="2">
        <v>12</v>
      </c>
      <c r="BA13" s="2">
        <v>-6.7746639999999997E-2</v>
      </c>
      <c r="BB13" s="2">
        <v>-5.8710930000000001</v>
      </c>
      <c r="BC13" s="3">
        <v>4.9960000000000004</v>
      </c>
      <c r="BD13" s="2">
        <v>18.094480000000001</v>
      </c>
      <c r="BE13" s="3">
        <v>6.9340000000000002</v>
      </c>
      <c r="BF13" s="2">
        <v>-14.91203</v>
      </c>
      <c r="BG13" s="2">
        <v>49.819800000000001</v>
      </c>
      <c r="BH13" s="2">
        <v>49.811950000000003</v>
      </c>
      <c r="BI13" s="2">
        <v>50.621009999999998</v>
      </c>
      <c r="BJ13" s="2">
        <v>51.212449999999997</v>
      </c>
      <c r="BK13" s="2">
        <v>20</v>
      </c>
      <c r="BL13" s="2">
        <v>12</v>
      </c>
      <c r="BM13" s="4">
        <v>20</v>
      </c>
      <c r="BN13" s="4">
        <v>1</v>
      </c>
      <c r="BO13" s="4">
        <v>0</v>
      </c>
      <c r="BP13" s="4">
        <v>20</v>
      </c>
      <c r="BQ13" s="2">
        <v>4.7619049999999996</v>
      </c>
      <c r="BR13" s="4">
        <v>13</v>
      </c>
      <c r="BS13" s="4">
        <v>2</v>
      </c>
      <c r="BT13" s="4">
        <v>20</v>
      </c>
      <c r="BU13" s="2">
        <v>65</v>
      </c>
      <c r="BV13" s="2">
        <v>7.9322299999999997</v>
      </c>
      <c r="BW13" s="2">
        <v>898.86609999999996</v>
      </c>
      <c r="BX13" s="3">
        <v>3.044025</v>
      </c>
      <c r="BY13" s="3">
        <v>0.3386516</v>
      </c>
      <c r="BZ13" s="2">
        <v>0.50158100000000005</v>
      </c>
      <c r="CA13" s="3">
        <v>0.3386516</v>
      </c>
      <c r="CB13" s="3">
        <v>0.90384889999999996</v>
      </c>
      <c r="CC13" s="3">
        <v>0.95928020000000003</v>
      </c>
      <c r="CD13" s="2">
        <v>6.1328050000000003</v>
      </c>
      <c r="CE13" s="3">
        <v>1636.5730000000001</v>
      </c>
      <c r="CF13" s="3">
        <v>1706.4580000000001</v>
      </c>
      <c r="CG13" s="2">
        <v>4.2702080000000002</v>
      </c>
      <c r="CH13" s="3">
        <v>7.6433330000000002</v>
      </c>
      <c r="CI13" s="2">
        <v>4.6663759999999996</v>
      </c>
      <c r="CJ13" s="3">
        <v>2605.5940000000001</v>
      </c>
      <c r="CK13" s="3">
        <v>2689.125</v>
      </c>
      <c r="CL13" s="2">
        <v>3.2058119999999999</v>
      </c>
      <c r="CM13" s="3">
        <v>5.8217499999999998</v>
      </c>
      <c r="CN13" s="3">
        <v>6.1526670000000001</v>
      </c>
      <c r="CO13" s="3">
        <v>6.2599229999999997</v>
      </c>
      <c r="CP13" s="2">
        <v>1.3440970000000001</v>
      </c>
      <c r="CQ13" s="2">
        <v>-4.1066229999999999</v>
      </c>
      <c r="CR13" s="2">
        <v>-5.7496429999999998</v>
      </c>
      <c r="CS13" s="2">
        <v>5.6841489999999997</v>
      </c>
      <c r="CT13" s="2">
        <v>16.251069999999999</v>
      </c>
      <c r="CU13" s="3">
        <v>0.3064326</v>
      </c>
      <c r="CV13" s="2">
        <v>4.9931330000000003</v>
      </c>
      <c r="CW13" s="2">
        <v>2.0025970000000002</v>
      </c>
      <c r="CX13" s="2">
        <v>1.19377</v>
      </c>
      <c r="CY13" s="2">
        <v>13.84848</v>
      </c>
    </row>
    <row r="14" spans="1:103" ht="15" customHeight="1" x14ac:dyDescent="0.2">
      <c r="A14" s="1">
        <f t="shared" si="0"/>
        <v>8</v>
      </c>
      <c r="B14" s="1" t="s">
        <v>27</v>
      </c>
      <c r="C14" s="1" t="s">
        <v>26</v>
      </c>
      <c r="D14" s="1" t="s">
        <v>28</v>
      </c>
      <c r="E14" s="1" t="s">
        <v>29</v>
      </c>
      <c r="F14" s="2">
        <v>2430.7649999999999</v>
      </c>
      <c r="G14" s="2">
        <v>66.036600000000007</v>
      </c>
      <c r="H14" s="2">
        <v>1605.194</v>
      </c>
      <c r="I14" s="3">
        <v>13.76</v>
      </c>
      <c r="J14" s="3">
        <v>0</v>
      </c>
      <c r="K14" s="2">
        <v>1.8168599999999999</v>
      </c>
      <c r="L14" s="2">
        <v>1.8168599999999999</v>
      </c>
      <c r="M14" s="2">
        <v>2.3255810000000001</v>
      </c>
      <c r="N14" s="2">
        <v>2.107558</v>
      </c>
      <c r="O14" s="2">
        <v>15.28889</v>
      </c>
      <c r="P14" s="2">
        <v>11.24361</v>
      </c>
      <c r="Q14" s="2">
        <v>10.268660000000001</v>
      </c>
      <c r="R14" s="2">
        <v>9.6901419999999998</v>
      </c>
      <c r="S14" s="2">
        <v>4.8073180000000004</v>
      </c>
      <c r="T14" s="2">
        <v>5.7250269999999999</v>
      </c>
      <c r="U14" s="2">
        <v>4.9527799999999997</v>
      </c>
      <c r="V14" s="2">
        <v>4.4445449999999997</v>
      </c>
      <c r="W14" s="2">
        <v>2.4940790000000002</v>
      </c>
      <c r="X14" s="2">
        <v>2.113159</v>
      </c>
      <c r="Y14" s="2">
        <v>1.875246</v>
      </c>
      <c r="Z14" s="2">
        <v>1.687308</v>
      </c>
      <c r="AA14" s="2">
        <v>8.3596529999999998</v>
      </c>
      <c r="AB14" s="2">
        <v>7.7563610000000001</v>
      </c>
      <c r="AC14" s="2">
        <v>7.2894329999999998</v>
      </c>
      <c r="AD14" s="2">
        <v>6.8280010000000004</v>
      </c>
      <c r="AE14" s="2">
        <v>7.2455550000000004</v>
      </c>
      <c r="AF14" s="2">
        <v>10.26609</v>
      </c>
      <c r="AG14" s="2">
        <v>11.628769999999999</v>
      </c>
      <c r="AH14" s="2">
        <v>7.5257480000000001</v>
      </c>
      <c r="AI14" s="2">
        <v>9.8774040000000003</v>
      </c>
      <c r="AJ14" s="2">
        <v>10.63978</v>
      </c>
      <c r="AK14" s="3" t="e">
        <v>#N/A</v>
      </c>
      <c r="AL14" s="3" t="e">
        <v>#N/A</v>
      </c>
      <c r="AM14" s="2">
        <v>10.3947</v>
      </c>
      <c r="AN14" s="2">
        <v>10.482010000000001</v>
      </c>
      <c r="AO14" s="2">
        <v>10.69065</v>
      </c>
      <c r="AP14" s="2">
        <v>10.83248</v>
      </c>
      <c r="AQ14" s="2">
        <v>0.1074194</v>
      </c>
      <c r="AR14" s="2">
        <v>0.21314959999999999</v>
      </c>
      <c r="AS14" s="2">
        <v>-0.19489919999999999</v>
      </c>
      <c r="AT14" s="2">
        <v>-0.41313109999999997</v>
      </c>
      <c r="AU14" s="1" t="s">
        <v>5</v>
      </c>
      <c r="AV14" s="3">
        <v>1.3666670000000001</v>
      </c>
      <c r="AW14" s="3">
        <v>15.9</v>
      </c>
      <c r="AX14" s="2">
        <v>15.55232</v>
      </c>
      <c r="AY14" s="2">
        <v>18.794309999999999</v>
      </c>
      <c r="AZ14" s="2" t="e">
        <v>#N/A</v>
      </c>
      <c r="BA14" s="2">
        <v>33.852150000000002</v>
      </c>
      <c r="BB14" s="2">
        <v>29.201889999999999</v>
      </c>
      <c r="BC14" s="3">
        <v>10.06</v>
      </c>
      <c r="BD14" s="2">
        <v>36.779319999999998</v>
      </c>
      <c r="BE14" s="3">
        <v>14.59</v>
      </c>
      <c r="BF14" s="2">
        <v>-5.688828</v>
      </c>
      <c r="BG14" s="2">
        <v>24.33531</v>
      </c>
      <c r="BH14" s="2">
        <v>21.369869999999999</v>
      </c>
      <c r="BI14" s="2">
        <v>23.744440000000001</v>
      </c>
      <c r="BJ14" s="2">
        <v>22.655139999999999</v>
      </c>
      <c r="BK14" s="2">
        <v>14</v>
      </c>
      <c r="BL14" s="2">
        <v>14</v>
      </c>
      <c r="BM14" s="4">
        <v>15</v>
      </c>
      <c r="BN14" s="4">
        <v>2</v>
      </c>
      <c r="BO14" s="4">
        <v>0</v>
      </c>
      <c r="BP14" s="4">
        <v>13</v>
      </c>
      <c r="BQ14" s="2">
        <v>13.33333</v>
      </c>
      <c r="BR14" s="4">
        <v>10</v>
      </c>
      <c r="BS14" s="4">
        <v>0</v>
      </c>
      <c r="BT14" s="4">
        <v>15</v>
      </c>
      <c r="BU14" s="2">
        <v>66.666669999999996</v>
      </c>
      <c r="BV14" s="2">
        <v>7.90029</v>
      </c>
      <c r="BW14" s="2">
        <v>176.65440000000001</v>
      </c>
      <c r="BX14" s="3">
        <v>0.52308809999999994</v>
      </c>
      <c r="BY14" s="3">
        <v>0.29610819999999999</v>
      </c>
      <c r="BZ14" s="2">
        <v>0.40315499999999999</v>
      </c>
      <c r="CA14" s="3">
        <v>0.29610819999999999</v>
      </c>
      <c r="CB14" s="3">
        <v>1.2298469999999999</v>
      </c>
      <c r="CC14" s="3">
        <v>1.2459789999999999</v>
      </c>
      <c r="CD14" s="2">
        <v>1.311707</v>
      </c>
      <c r="CE14" s="3">
        <v>337.59300000000002</v>
      </c>
      <c r="CF14" s="3">
        <v>346.94349999999997</v>
      </c>
      <c r="CG14" s="2">
        <v>2.7697210000000001</v>
      </c>
      <c r="CH14" s="3">
        <v>14.6387</v>
      </c>
      <c r="CI14" s="2">
        <v>8.6162089999999996</v>
      </c>
      <c r="CJ14" s="3">
        <v>4132.4250000000002</v>
      </c>
      <c r="CK14" s="3">
        <v>4208.03</v>
      </c>
      <c r="CL14" s="2">
        <v>1.829553</v>
      </c>
      <c r="CM14" s="3">
        <v>12.74353</v>
      </c>
      <c r="CN14" s="3">
        <v>13.676080000000001</v>
      </c>
      <c r="CO14" s="3">
        <v>14.07423</v>
      </c>
      <c r="CP14" s="2">
        <v>7.9763529999999996</v>
      </c>
      <c r="CQ14" s="2">
        <v>0.61361790000000005</v>
      </c>
      <c r="CR14" s="2">
        <v>-2.2326769999999998</v>
      </c>
      <c r="CS14" s="2">
        <v>7.3178289999999997</v>
      </c>
      <c r="CT14" s="2">
        <v>6.0897610000000002</v>
      </c>
      <c r="CU14" s="3">
        <v>0.25052859999999999</v>
      </c>
      <c r="CV14" s="2" t="e">
        <v>#N/A</v>
      </c>
      <c r="CW14" s="2">
        <v>3.9844750000000002</v>
      </c>
      <c r="CX14" s="2">
        <v>-1.111111</v>
      </c>
      <c r="CY14" s="2">
        <v>14.15152</v>
      </c>
    </row>
    <row r="15" spans="1:103" ht="15" customHeight="1" x14ac:dyDescent="0.2">
      <c r="A15" s="1">
        <f t="shared" si="0"/>
        <v>9</v>
      </c>
      <c r="B15" s="1" t="s">
        <v>31</v>
      </c>
      <c r="C15" s="1" t="s">
        <v>30</v>
      </c>
      <c r="D15" s="1" t="s">
        <v>8</v>
      </c>
      <c r="E15" s="1" t="s">
        <v>9</v>
      </c>
      <c r="F15" s="2">
        <v>62859.22</v>
      </c>
      <c r="G15" s="2">
        <v>99.511200000000002</v>
      </c>
      <c r="H15" s="2">
        <v>62551.96</v>
      </c>
      <c r="I15" s="3">
        <v>3.8839999999999999</v>
      </c>
      <c r="J15" s="3">
        <v>0</v>
      </c>
      <c r="K15" s="2">
        <v>2.8321320000000001</v>
      </c>
      <c r="L15" s="2">
        <v>4.3769309999999999</v>
      </c>
      <c r="M15" s="2">
        <v>4.891864</v>
      </c>
      <c r="N15" s="2">
        <v>5.5355299999999996</v>
      </c>
      <c r="O15" s="2">
        <v>7.2059369999999996</v>
      </c>
      <c r="P15" s="2">
        <v>6.1650799999999997</v>
      </c>
      <c r="Q15" s="2">
        <v>5.7540740000000001</v>
      </c>
      <c r="R15" s="2">
        <v>5.398193</v>
      </c>
      <c r="S15" s="2" t="e">
        <v>#N/A</v>
      </c>
      <c r="T15" s="2" t="e">
        <v>#N/A</v>
      </c>
      <c r="U15" s="2" t="e">
        <v>#N/A</v>
      </c>
      <c r="V15" s="2" t="e">
        <v>#N/A</v>
      </c>
      <c r="W15" s="2">
        <v>0.72193309999999999</v>
      </c>
      <c r="X15" s="2">
        <v>0.6473333</v>
      </c>
      <c r="Y15" s="2">
        <v>0.59881510000000004</v>
      </c>
      <c r="Z15" s="2">
        <v>0.54627289999999995</v>
      </c>
      <c r="AA15" s="2" t="e">
        <v>#N/A</v>
      </c>
      <c r="AB15" s="2" t="e">
        <v>#N/A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3">
        <v>0.62861900000000004</v>
      </c>
      <c r="AL15" s="3">
        <v>0.58754819999999996</v>
      </c>
      <c r="AM15" s="2" t="e">
        <v>#N/A</v>
      </c>
      <c r="AN15" s="2" t="e">
        <v>#N/A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1" t="s">
        <v>5</v>
      </c>
      <c r="AV15" s="3">
        <v>1.42</v>
      </c>
      <c r="AW15" s="3">
        <v>4.9487269999999999</v>
      </c>
      <c r="AX15" s="2">
        <v>27.413150000000002</v>
      </c>
      <c r="AY15" s="2">
        <v>10.5</v>
      </c>
      <c r="AZ15" s="2">
        <v>9.773066</v>
      </c>
      <c r="BA15" s="2">
        <v>40.470170000000003</v>
      </c>
      <c r="BB15" s="2">
        <v>38.59055</v>
      </c>
      <c r="BC15" s="3">
        <v>2.6669999999999998</v>
      </c>
      <c r="BD15" s="2">
        <v>45.631790000000002</v>
      </c>
      <c r="BE15" s="3">
        <v>3.9695</v>
      </c>
      <c r="BF15" s="2">
        <v>-2.153921</v>
      </c>
      <c r="BG15" s="2">
        <v>23.634329999999999</v>
      </c>
      <c r="BH15" s="2">
        <v>31.140499999999999</v>
      </c>
      <c r="BI15" s="2">
        <v>33.15043</v>
      </c>
      <c r="BJ15" s="2">
        <v>35.778030000000001</v>
      </c>
      <c r="BK15" s="2">
        <v>23</v>
      </c>
      <c r="BL15" s="2">
        <v>16</v>
      </c>
      <c r="BM15" s="4">
        <v>25</v>
      </c>
      <c r="BN15" s="4">
        <v>0</v>
      </c>
      <c r="BO15" s="4">
        <v>0</v>
      </c>
      <c r="BP15" s="4">
        <v>25</v>
      </c>
      <c r="BQ15" s="2">
        <v>0</v>
      </c>
      <c r="BR15" s="4">
        <v>16</v>
      </c>
      <c r="BS15" s="4">
        <v>1</v>
      </c>
      <c r="BT15" s="4">
        <v>25</v>
      </c>
      <c r="BU15" s="2">
        <v>64</v>
      </c>
      <c r="BV15" s="2">
        <v>8.2746399999999998</v>
      </c>
      <c r="BW15" s="2">
        <v>16184.15</v>
      </c>
      <c r="BX15" s="3">
        <v>42.830449999999999</v>
      </c>
      <c r="BY15" s="3">
        <v>0.2646445</v>
      </c>
      <c r="BZ15" s="2">
        <v>1.3680399999999999</v>
      </c>
      <c r="CA15" s="3">
        <v>0.2646445</v>
      </c>
      <c r="CB15" s="3">
        <v>0.61676839999999999</v>
      </c>
      <c r="CC15" s="3">
        <v>0.63220940000000003</v>
      </c>
      <c r="CD15" s="2">
        <v>2.5035379999999998</v>
      </c>
      <c r="CE15" s="3">
        <v>31662.880000000001</v>
      </c>
      <c r="CF15" s="3">
        <v>32132.16</v>
      </c>
      <c r="CG15" s="2">
        <v>1.4821409999999999</v>
      </c>
      <c r="CH15" s="3">
        <v>4.7753839999999999</v>
      </c>
      <c r="CI15" s="2">
        <v>3.6299229999999998</v>
      </c>
      <c r="CJ15" s="3">
        <v>56900.07</v>
      </c>
      <c r="CK15" s="3">
        <v>57709.599999999999</v>
      </c>
      <c r="CL15" s="2">
        <v>1.422715</v>
      </c>
      <c r="CM15" s="3">
        <v>3.4592429999999998</v>
      </c>
      <c r="CN15" s="3">
        <v>3.6576369999999998</v>
      </c>
      <c r="CO15" s="3">
        <v>3.7831350000000001</v>
      </c>
      <c r="CP15" s="2">
        <v>12.2789</v>
      </c>
      <c r="CQ15" s="2">
        <v>6.1887740000000004</v>
      </c>
      <c r="CR15" s="2">
        <v>2.6661869999999999</v>
      </c>
      <c r="CS15" s="2">
        <v>5.735195</v>
      </c>
      <c r="CT15" s="2">
        <v>151.3125</v>
      </c>
      <c r="CU15" s="3">
        <v>0.2407164</v>
      </c>
      <c r="CV15" s="2">
        <v>-0.39759329999999998</v>
      </c>
      <c r="CW15" s="2">
        <v>1.9534590000000001</v>
      </c>
      <c r="CX15" s="2">
        <v>3.4811139999999998</v>
      </c>
      <c r="CY15" s="2">
        <v>14.202019999999999</v>
      </c>
    </row>
    <row r="16" spans="1:103" ht="15" customHeight="1" x14ac:dyDescent="0.2">
      <c r="A16" s="1">
        <f t="shared" si="0"/>
        <v>10</v>
      </c>
      <c r="B16" s="1" t="s">
        <v>33</v>
      </c>
      <c r="C16" s="1" t="s">
        <v>32</v>
      </c>
      <c r="D16" s="1" t="s">
        <v>34</v>
      </c>
      <c r="E16" s="1" t="s">
        <v>35</v>
      </c>
      <c r="F16" s="2">
        <v>11009.76</v>
      </c>
      <c r="G16" s="2">
        <v>74.051699999999997</v>
      </c>
      <c r="H16" s="2">
        <v>8152.9110000000001</v>
      </c>
      <c r="I16" s="3">
        <v>39.58</v>
      </c>
      <c r="J16" s="3">
        <v>0</v>
      </c>
      <c r="K16" s="2">
        <v>5.0530569999999999</v>
      </c>
      <c r="L16" s="2">
        <v>5.0530569999999999</v>
      </c>
      <c r="M16" s="2">
        <v>5.0530569999999999</v>
      </c>
      <c r="N16" s="2">
        <v>5.0530569999999999</v>
      </c>
      <c r="O16" s="2">
        <v>15.832000000000001</v>
      </c>
      <c r="P16" s="2">
        <v>16.728359999999999</v>
      </c>
      <c r="Q16" s="2">
        <v>17.70917</v>
      </c>
      <c r="R16" s="2">
        <v>14.768660000000001</v>
      </c>
      <c r="S16" s="2">
        <v>4.2261550000000003</v>
      </c>
      <c r="T16" s="2">
        <v>5.9410249999999998</v>
      </c>
      <c r="U16" s="2">
        <v>5.7455699999999998</v>
      </c>
      <c r="V16" s="2">
        <v>5.2767809999999997</v>
      </c>
      <c r="W16" s="2" t="e">
        <v>#N/A</v>
      </c>
      <c r="X16" s="2">
        <v>1.9671970000000001</v>
      </c>
      <c r="Y16" s="2">
        <v>1.9652430000000001</v>
      </c>
      <c r="Z16" s="2">
        <v>1.879839</v>
      </c>
      <c r="AA16" s="2">
        <v>9.5245979999999992</v>
      </c>
      <c r="AB16" s="2">
        <v>9.1934240000000003</v>
      </c>
      <c r="AC16" s="2">
        <v>7.9249369999999999</v>
      </c>
      <c r="AD16" s="2">
        <v>8.8206939999999996</v>
      </c>
      <c r="AE16" s="2">
        <v>6.5445380000000002</v>
      </c>
      <c r="AF16" s="2">
        <v>8.5103310000000008</v>
      </c>
      <c r="AG16" s="2">
        <v>8.9200370000000007</v>
      </c>
      <c r="AH16" s="2">
        <v>6.735214</v>
      </c>
      <c r="AI16" s="2">
        <v>8.7669610000000002</v>
      </c>
      <c r="AJ16" s="2">
        <v>8.8988630000000004</v>
      </c>
      <c r="AK16" s="3" t="e">
        <v>#N/A</v>
      </c>
      <c r="AL16" s="3" t="e">
        <v>#N/A</v>
      </c>
      <c r="AM16" s="2">
        <v>5.1970850000000004</v>
      </c>
      <c r="AN16" s="2">
        <v>5.3523680000000002</v>
      </c>
      <c r="AO16" s="2">
        <v>5.3752740000000001</v>
      </c>
      <c r="AP16" s="2">
        <v>5.5480960000000001</v>
      </c>
      <c r="AQ16" s="2">
        <v>-0.1282161</v>
      </c>
      <c r="AR16" s="2">
        <v>0.16819190000000001</v>
      </c>
      <c r="AS16" s="2">
        <v>0.16818640000000001</v>
      </c>
      <c r="AT16" s="2">
        <v>-1.255585E-2</v>
      </c>
      <c r="AU16" s="1" t="s">
        <v>36</v>
      </c>
      <c r="AV16" s="3">
        <v>1.7916669999999999</v>
      </c>
      <c r="AW16" s="3">
        <v>35.25</v>
      </c>
      <c r="AX16" s="2">
        <v>-10.939870000000001</v>
      </c>
      <c r="AY16" s="2">
        <v>11.759650000000001</v>
      </c>
      <c r="AZ16" s="2" t="e">
        <v>#N/A</v>
      </c>
      <c r="BA16" s="2">
        <v>47.028239999999997</v>
      </c>
      <c r="BB16" s="2">
        <v>47.852069999999998</v>
      </c>
      <c r="BC16" s="3">
        <v>25.84</v>
      </c>
      <c r="BD16" s="2">
        <v>53.173369999999998</v>
      </c>
      <c r="BE16" s="3">
        <v>39.79</v>
      </c>
      <c r="BF16" s="2">
        <v>-0.5277693</v>
      </c>
      <c r="BG16" s="2">
        <v>81.05</v>
      </c>
      <c r="BH16" s="2">
        <v>85.217789999999994</v>
      </c>
      <c r="BI16" s="2">
        <v>87.985389999999995</v>
      </c>
      <c r="BJ16" s="2">
        <v>80.535309999999996</v>
      </c>
      <c r="BK16" s="2">
        <v>10</v>
      </c>
      <c r="BL16" s="2">
        <v>10</v>
      </c>
      <c r="BM16" s="4">
        <v>12</v>
      </c>
      <c r="BN16" s="4">
        <v>0</v>
      </c>
      <c r="BO16" s="4">
        <v>0</v>
      </c>
      <c r="BP16" s="4">
        <v>12</v>
      </c>
      <c r="BQ16" s="2">
        <v>0</v>
      </c>
      <c r="BR16" s="4">
        <v>5</v>
      </c>
      <c r="BS16" s="4">
        <v>3</v>
      </c>
      <c r="BT16" s="4">
        <v>12</v>
      </c>
      <c r="BU16" s="2">
        <v>41.66666</v>
      </c>
      <c r="BV16" s="2">
        <v>6.0451199999999998</v>
      </c>
      <c r="BW16" s="2">
        <v>278.16460000000001</v>
      </c>
      <c r="BX16" s="3">
        <v>0.49954959999999998</v>
      </c>
      <c r="BY16" s="3">
        <v>0.17958779999999999</v>
      </c>
      <c r="BZ16" s="2">
        <v>0.68279800000000002</v>
      </c>
      <c r="CA16" s="3">
        <v>0.17958779999999999</v>
      </c>
      <c r="CB16" s="3">
        <v>2.1023529999999999</v>
      </c>
      <c r="CC16" s="3">
        <v>2.3202120000000002</v>
      </c>
      <c r="CD16" s="2">
        <v>10.3626</v>
      </c>
      <c r="CE16" s="3">
        <v>1252.377</v>
      </c>
      <c r="CF16" s="3">
        <v>1251.52</v>
      </c>
      <c r="CG16" s="2">
        <v>-6.8432090000000001E-2</v>
      </c>
      <c r="CH16" s="3">
        <v>32.09357</v>
      </c>
      <c r="CI16" s="2">
        <v>9.835089</v>
      </c>
      <c r="CJ16" s="3">
        <v>35082.559999999998</v>
      </c>
      <c r="CK16" s="3">
        <v>35590.239999999998</v>
      </c>
      <c r="CL16" s="2">
        <v>1.4471050000000001</v>
      </c>
      <c r="CM16" s="3">
        <v>32.070839999999997</v>
      </c>
      <c r="CN16" s="3">
        <v>34.781959999999998</v>
      </c>
      <c r="CO16" s="3">
        <v>36.341160000000002</v>
      </c>
      <c r="CP16" s="2">
        <v>23.414290000000001</v>
      </c>
      <c r="CQ16" s="2">
        <v>13.79461</v>
      </c>
      <c r="CR16" s="2">
        <v>8.9123359999999998</v>
      </c>
      <c r="CS16" s="2">
        <v>8.4535359999999997</v>
      </c>
      <c r="CT16" s="2">
        <v>16.985240000000001</v>
      </c>
      <c r="CU16" s="3">
        <v>0.15427450000000001</v>
      </c>
      <c r="CV16" s="2" t="e">
        <v>#N/A</v>
      </c>
      <c r="CW16" s="2">
        <v>1.927055</v>
      </c>
      <c r="CX16" s="2">
        <v>-8.5201790000000006</v>
      </c>
      <c r="CY16" s="2">
        <v>15.36364</v>
      </c>
    </row>
    <row r="17" spans="1:103" ht="15" customHeight="1" x14ac:dyDescent="0.2">
      <c r="A17" s="1">
        <f t="shared" si="0"/>
        <v>11</v>
      </c>
      <c r="B17" s="1" t="s">
        <v>38</v>
      </c>
      <c r="C17" s="1" t="s">
        <v>37</v>
      </c>
      <c r="D17" s="1" t="s">
        <v>39</v>
      </c>
      <c r="E17" s="1" t="s">
        <v>40</v>
      </c>
      <c r="F17" s="2">
        <v>24840</v>
      </c>
      <c r="G17" s="2">
        <v>48.972200000000001</v>
      </c>
      <c r="H17" s="2">
        <v>12164.69</v>
      </c>
      <c r="I17" s="3">
        <v>165.6</v>
      </c>
      <c r="J17" s="3">
        <v>0</v>
      </c>
      <c r="K17" s="2">
        <v>2.868357</v>
      </c>
      <c r="L17" s="2">
        <v>4.5910690000000001</v>
      </c>
      <c r="M17" s="2">
        <v>5.0110099999999997</v>
      </c>
      <c r="N17" s="2">
        <v>5.4601980000000001</v>
      </c>
      <c r="O17" s="2">
        <v>27.554079999999999</v>
      </c>
      <c r="P17" s="2">
        <v>17.601320000000001</v>
      </c>
      <c r="Q17" s="2">
        <v>15.60792</v>
      </c>
      <c r="R17" s="2">
        <v>14.49607</v>
      </c>
      <c r="S17" s="2">
        <v>11.46668</v>
      </c>
      <c r="T17" s="2">
        <v>11.21932</v>
      </c>
      <c r="U17" s="2">
        <v>9.9391390000000008</v>
      </c>
      <c r="V17" s="2">
        <v>9.2974540000000001</v>
      </c>
      <c r="W17" s="2">
        <v>3.69808</v>
      </c>
      <c r="X17" s="2">
        <v>3.3603900000000002</v>
      </c>
      <c r="Y17" s="2">
        <v>3.1745489999999998</v>
      </c>
      <c r="Z17" s="2">
        <v>2.9764309999999998</v>
      </c>
      <c r="AA17" s="2">
        <v>13.63462</v>
      </c>
      <c r="AB17" s="2">
        <v>11.15903</v>
      </c>
      <c r="AC17" s="2">
        <v>10.45412</v>
      </c>
      <c r="AD17" s="2">
        <v>10.00001</v>
      </c>
      <c r="AE17" s="2">
        <v>3.8748770000000001</v>
      </c>
      <c r="AF17" s="2">
        <v>5.4040499999999998</v>
      </c>
      <c r="AG17" s="2">
        <v>5.9103260000000004</v>
      </c>
      <c r="AH17" s="2">
        <v>4.8198850000000002</v>
      </c>
      <c r="AI17" s="2">
        <v>6.614522</v>
      </c>
      <c r="AJ17" s="2">
        <v>7.1232749999999996</v>
      </c>
      <c r="AK17" s="3">
        <v>1.1321889999999999</v>
      </c>
      <c r="AL17" s="3">
        <v>0.99911839999999996</v>
      </c>
      <c r="AM17" s="2">
        <v>49.708129999999997</v>
      </c>
      <c r="AN17" s="2">
        <v>55.60266</v>
      </c>
      <c r="AO17" s="2">
        <v>56.90137</v>
      </c>
      <c r="AP17" s="2">
        <v>57.976230000000001</v>
      </c>
      <c r="AQ17" s="2">
        <v>3.0030399999999999</v>
      </c>
      <c r="AR17" s="2">
        <v>2.1997089999999999</v>
      </c>
      <c r="AS17" s="2">
        <v>1.8188850000000001</v>
      </c>
      <c r="AT17" s="2">
        <v>1.5831679999999999</v>
      </c>
      <c r="AU17" s="1" t="s">
        <v>5</v>
      </c>
      <c r="AV17" s="3">
        <v>1.464286</v>
      </c>
      <c r="AW17" s="3">
        <v>170</v>
      </c>
      <c r="AX17" s="2">
        <v>2.6569959999999999</v>
      </c>
      <c r="AY17" s="2">
        <v>19.09169</v>
      </c>
      <c r="AZ17" s="2">
        <v>19.270810000000001</v>
      </c>
      <c r="BA17" s="2">
        <v>31.168320000000001</v>
      </c>
      <c r="BB17" s="2">
        <v>41.176479999999998</v>
      </c>
      <c r="BC17" s="3">
        <v>117</v>
      </c>
      <c r="BD17" s="2">
        <v>41.538460000000001</v>
      </c>
      <c r="BE17" s="3">
        <v>166.5</v>
      </c>
      <c r="BF17" s="2">
        <v>-0.54053660000000003</v>
      </c>
      <c r="BG17" s="2">
        <v>70.704520000000002</v>
      </c>
      <c r="BH17" s="2">
        <v>81.26661</v>
      </c>
      <c r="BI17" s="2">
        <v>79.696969999999993</v>
      </c>
      <c r="BJ17" s="2">
        <v>79.57056</v>
      </c>
      <c r="BK17" s="2">
        <v>24</v>
      </c>
      <c r="BL17" s="2">
        <v>23</v>
      </c>
      <c r="BM17" s="4">
        <v>28</v>
      </c>
      <c r="BN17" s="4">
        <v>1</v>
      </c>
      <c r="BO17" s="4">
        <v>1</v>
      </c>
      <c r="BP17" s="4">
        <v>27</v>
      </c>
      <c r="BQ17" s="2">
        <v>3.4482759999999999</v>
      </c>
      <c r="BR17" s="4">
        <v>19</v>
      </c>
      <c r="BS17" s="4">
        <v>3</v>
      </c>
      <c r="BT17" s="4">
        <v>28</v>
      </c>
      <c r="BU17" s="2">
        <v>67.857140000000001</v>
      </c>
      <c r="BV17" s="2">
        <v>7.2664900000000001</v>
      </c>
      <c r="BW17" s="2">
        <v>150</v>
      </c>
      <c r="BX17" s="3">
        <v>0.1542462</v>
      </c>
      <c r="BY17" s="3">
        <v>0.1028308</v>
      </c>
      <c r="BZ17" s="2">
        <v>1.2135800000000001</v>
      </c>
      <c r="CA17" s="3">
        <v>0.1028308</v>
      </c>
      <c r="CB17" s="3">
        <v>8.8985140000000005</v>
      </c>
      <c r="CC17" s="3">
        <v>9.3100939999999994</v>
      </c>
      <c r="CD17" s="2">
        <v>4.625273</v>
      </c>
      <c r="CE17" s="3">
        <v>1831.4110000000001</v>
      </c>
      <c r="CF17" s="3">
        <v>1906.9580000000001</v>
      </c>
      <c r="CG17" s="2">
        <v>4.1250819999999999</v>
      </c>
      <c r="CH17" s="3">
        <v>162.7192</v>
      </c>
      <c r="CI17" s="2">
        <v>4.474437</v>
      </c>
      <c r="CJ17" s="3">
        <v>4891.0249999999996</v>
      </c>
      <c r="CK17" s="3">
        <v>4925.9040000000005</v>
      </c>
      <c r="CL17" s="2">
        <v>0.71312189999999998</v>
      </c>
      <c r="CM17" s="3">
        <v>146.58779999999999</v>
      </c>
      <c r="CN17" s="3">
        <v>148.27350000000001</v>
      </c>
      <c r="CO17" s="3">
        <v>156.66149999999999</v>
      </c>
      <c r="CP17" s="2">
        <v>12.96983</v>
      </c>
      <c r="CQ17" s="2">
        <v>11.685499999999999</v>
      </c>
      <c r="CR17" s="2">
        <v>5.7055949999999998</v>
      </c>
      <c r="CS17" s="2">
        <v>1.1499520000000001</v>
      </c>
      <c r="CT17" s="2">
        <v>21.479949999999999</v>
      </c>
      <c r="CU17" s="3">
        <v>8.6473229999999998E-2</v>
      </c>
      <c r="CV17" s="2">
        <v>9.3867010000000004</v>
      </c>
      <c r="CW17" s="2">
        <v>-0.57723780000000002</v>
      </c>
      <c r="CX17" s="2">
        <v>2.8116449999999999</v>
      </c>
      <c r="CY17" s="2">
        <v>15.575760000000001</v>
      </c>
    </row>
    <row r="18" spans="1:103" ht="15" customHeight="1" x14ac:dyDescent="0.2">
      <c r="A18" s="1">
        <f t="shared" si="0"/>
        <v>12</v>
      </c>
      <c r="B18" s="1" t="s">
        <v>42</v>
      </c>
      <c r="C18" s="1" t="s">
        <v>41</v>
      </c>
      <c r="D18" s="1" t="s">
        <v>17</v>
      </c>
      <c r="E18" s="1" t="s">
        <v>18</v>
      </c>
      <c r="F18" s="2">
        <v>6061.6959999999999</v>
      </c>
      <c r="G18" s="2">
        <v>68.853099999999998</v>
      </c>
      <c r="H18" s="2">
        <v>4173.6660000000002</v>
      </c>
      <c r="I18" s="3">
        <v>14.225</v>
      </c>
      <c r="J18" s="3">
        <v>0</v>
      </c>
      <c r="K18" s="2">
        <v>0</v>
      </c>
      <c r="L18" s="2">
        <v>0</v>
      </c>
      <c r="M18" s="2">
        <v>0</v>
      </c>
      <c r="N18" s="2">
        <v>2.7065030000000001</v>
      </c>
      <c r="O18" s="2">
        <v>34.119039999999998</v>
      </c>
      <c r="P18" s="2">
        <v>28.45</v>
      </c>
      <c r="Q18" s="2">
        <v>13.81068</v>
      </c>
      <c r="R18" s="2">
        <v>10.858779999999999</v>
      </c>
      <c r="S18" s="2">
        <v>13.50792</v>
      </c>
      <c r="T18" s="2">
        <v>12.73921</v>
      </c>
      <c r="U18" s="2">
        <v>9.4637069999999994</v>
      </c>
      <c r="V18" s="2">
        <v>7.8983530000000002</v>
      </c>
      <c r="W18" s="2">
        <v>1.5843229999999999</v>
      </c>
      <c r="X18" s="2">
        <v>1.5461959999999999</v>
      </c>
      <c r="Y18" s="2">
        <v>1.4267799999999999</v>
      </c>
      <c r="Z18" s="2">
        <v>1.30385</v>
      </c>
      <c r="AA18" s="2">
        <v>47.718049999999998</v>
      </c>
      <c r="AB18" s="2">
        <v>17.138559999999998</v>
      </c>
      <c r="AC18" s="2">
        <v>10.45956</v>
      </c>
      <c r="AD18" s="2">
        <v>8.6675280000000008</v>
      </c>
      <c r="AE18" s="2">
        <v>1.321272</v>
      </c>
      <c r="AF18" s="2">
        <v>4.2087310000000002</v>
      </c>
      <c r="AG18" s="2">
        <v>5.3407410000000004</v>
      </c>
      <c r="AH18" s="2">
        <v>3.4772189999999998</v>
      </c>
      <c r="AI18" s="2">
        <v>10.67489</v>
      </c>
      <c r="AJ18" s="2">
        <v>12.834809999999999</v>
      </c>
      <c r="AK18" s="3">
        <v>1.0769979999999999</v>
      </c>
      <c r="AL18" s="3">
        <v>0.4960541</v>
      </c>
      <c r="AM18" s="2">
        <v>20.5641</v>
      </c>
      <c r="AN18" s="2">
        <v>22.002279999999999</v>
      </c>
      <c r="AO18" s="2">
        <v>26.527090000000001</v>
      </c>
      <c r="AP18" s="2">
        <v>28.239740000000001</v>
      </c>
      <c r="AQ18" s="2">
        <v>8.1860470000000003</v>
      </c>
      <c r="AR18" s="2">
        <v>6.8164429999999996</v>
      </c>
      <c r="AS18" s="2">
        <v>4.9217839999999997</v>
      </c>
      <c r="AT18" s="2">
        <v>3.9287329999999998</v>
      </c>
      <c r="AU18" s="1" t="s">
        <v>5</v>
      </c>
      <c r="AV18" s="3">
        <v>1.289474</v>
      </c>
      <c r="AW18" s="3">
        <v>18</v>
      </c>
      <c r="AX18" s="2">
        <v>26.537790000000001</v>
      </c>
      <c r="AY18" s="2">
        <v>5.4347830000000004</v>
      </c>
      <c r="AZ18" s="2">
        <v>31.52233</v>
      </c>
      <c r="BA18" s="2">
        <v>31.40879</v>
      </c>
      <c r="BB18" s="2">
        <v>32.07985</v>
      </c>
      <c r="BC18" s="3">
        <v>8.3659999999999997</v>
      </c>
      <c r="BD18" s="2">
        <v>70.033469999999994</v>
      </c>
      <c r="BE18" s="3">
        <v>14.99</v>
      </c>
      <c r="BF18" s="2">
        <v>-5.1033970000000002</v>
      </c>
      <c r="BG18" s="2">
        <v>0</v>
      </c>
      <c r="BH18" s="2">
        <v>2.5392190000000001</v>
      </c>
      <c r="BI18" s="2">
        <v>11.12946</v>
      </c>
      <c r="BJ18" s="2">
        <v>24.51708</v>
      </c>
      <c r="BK18" s="2">
        <v>15</v>
      </c>
      <c r="BL18" s="2">
        <v>15</v>
      </c>
      <c r="BM18" s="4">
        <v>19</v>
      </c>
      <c r="BN18" s="4">
        <v>1</v>
      </c>
      <c r="BO18" s="4">
        <v>0</v>
      </c>
      <c r="BP18" s="4">
        <v>18</v>
      </c>
      <c r="BQ18" s="2">
        <v>5.2631579999999998</v>
      </c>
      <c r="BR18" s="4">
        <v>14</v>
      </c>
      <c r="BS18" s="4">
        <v>0</v>
      </c>
      <c r="BT18" s="4">
        <v>19</v>
      </c>
      <c r="BU18" s="2">
        <v>73.684209999999993</v>
      </c>
      <c r="BV18" s="2">
        <v>12.094200000000001</v>
      </c>
      <c r="BW18" s="2">
        <v>426.12979999999999</v>
      </c>
      <c r="BX18" s="3">
        <v>1.4570430000000001</v>
      </c>
      <c r="BY18" s="3">
        <v>0.34192479999999997</v>
      </c>
      <c r="BZ18" s="2">
        <v>1.3787400000000001</v>
      </c>
      <c r="CA18" s="3">
        <v>0.34192479999999997</v>
      </c>
      <c r="CB18" s="3">
        <v>0.49460290000000001</v>
      </c>
      <c r="CC18" s="3">
        <v>0.46246169999999998</v>
      </c>
      <c r="CD18" s="2">
        <v>-6.4983839999999997</v>
      </c>
      <c r="CE18" s="3">
        <v>920.95429999999999</v>
      </c>
      <c r="CF18" s="3">
        <v>922.91970000000003</v>
      </c>
      <c r="CG18" s="2">
        <v>0.2134085</v>
      </c>
      <c r="CH18" s="3">
        <v>18.352779999999999</v>
      </c>
      <c r="CI18" s="2">
        <v>-1.922202</v>
      </c>
      <c r="CJ18" s="3">
        <v>6587.6869999999999</v>
      </c>
      <c r="CK18" s="3">
        <v>6601.6629999999996</v>
      </c>
      <c r="CL18" s="2">
        <v>0.21215680000000001</v>
      </c>
      <c r="CM18" s="3">
        <v>11.58854</v>
      </c>
      <c r="CN18" s="3">
        <v>12.14029</v>
      </c>
      <c r="CO18" s="3">
        <v>13.03</v>
      </c>
      <c r="CP18" s="2">
        <v>22.75055</v>
      </c>
      <c r="CQ18" s="2">
        <v>17.171810000000001</v>
      </c>
      <c r="CR18" s="2">
        <v>9.1711279999999995</v>
      </c>
      <c r="CS18" s="2">
        <v>4.7611470000000002</v>
      </c>
      <c r="CT18" s="2">
        <v>15.039400000000001</v>
      </c>
      <c r="CU18" s="3">
        <v>0.24810550000000001</v>
      </c>
      <c r="CV18" s="2">
        <v>-26.10913</v>
      </c>
      <c r="CW18" s="2">
        <v>-6.4985160000000004</v>
      </c>
      <c r="CX18" s="2">
        <v>2.8092160000000002</v>
      </c>
      <c r="CY18" s="2">
        <v>15.797980000000001</v>
      </c>
    </row>
    <row r="19" spans="1:103" ht="15" customHeight="1" x14ac:dyDescent="0.2">
      <c r="A19" s="1">
        <f t="shared" si="0"/>
        <v>13</v>
      </c>
      <c r="B19" s="1" t="s">
        <v>44</v>
      </c>
      <c r="C19" s="1" t="s">
        <v>43</v>
      </c>
      <c r="D19" s="1" t="s">
        <v>39</v>
      </c>
      <c r="E19" s="1" t="s">
        <v>45</v>
      </c>
      <c r="F19" s="2">
        <v>9125.6949999999997</v>
      </c>
      <c r="G19" s="2" t="e">
        <v>#N/A</v>
      </c>
      <c r="H19" s="2" t="e">
        <v>#N/A</v>
      </c>
      <c r="I19" s="3">
        <v>1.8565</v>
      </c>
      <c r="J19" s="3">
        <v>0</v>
      </c>
      <c r="K19" s="2">
        <v>0</v>
      </c>
      <c r="L19" s="2">
        <v>0</v>
      </c>
      <c r="M19" s="2">
        <v>0</v>
      </c>
      <c r="N19" s="2">
        <v>4.03986</v>
      </c>
      <c r="O19" s="2">
        <v>33.151789999999998</v>
      </c>
      <c r="P19" s="2">
        <v>4.1478109999999999</v>
      </c>
      <c r="Q19" s="2">
        <v>4.7602570000000002</v>
      </c>
      <c r="R19" s="2">
        <v>4.3162320000000003</v>
      </c>
      <c r="S19" s="2">
        <v>5.2377390000000004</v>
      </c>
      <c r="T19" s="2">
        <v>3.3270019999999998</v>
      </c>
      <c r="U19" s="2">
        <v>3.3187000000000002</v>
      </c>
      <c r="V19" s="2">
        <v>2.992346</v>
      </c>
      <c r="W19" s="2">
        <v>4.5734029999999999</v>
      </c>
      <c r="X19" s="2">
        <v>2.1472929999999999</v>
      </c>
      <c r="Y19" s="2">
        <v>1.497177</v>
      </c>
      <c r="Z19" s="2">
        <v>1.0920589999999999</v>
      </c>
      <c r="AA19" s="2">
        <v>3.585458</v>
      </c>
      <c r="AB19" s="2">
        <v>2.080975</v>
      </c>
      <c r="AC19" s="2">
        <v>2.0627779999999998</v>
      </c>
      <c r="AD19" s="2">
        <v>2.0164589999999998</v>
      </c>
      <c r="AE19" s="2">
        <v>8.4691810000000007</v>
      </c>
      <c r="AF19" s="2">
        <v>3.7312050000000001</v>
      </c>
      <c r="AG19" s="2">
        <v>6.6722210000000004</v>
      </c>
      <c r="AH19" s="2">
        <v>17.02495</v>
      </c>
      <c r="AI19" s="2">
        <v>7.4445839999999999</v>
      </c>
      <c r="AJ19" s="2">
        <v>12.812900000000001</v>
      </c>
      <c r="AK19" s="3">
        <v>5.8744810000000001E-2</v>
      </c>
      <c r="AL19" s="3">
        <v>6.7018060000000004E-2</v>
      </c>
      <c r="AM19" s="2">
        <v>14.31978</v>
      </c>
      <c r="AN19" s="2">
        <v>18.797149999999998</v>
      </c>
      <c r="AO19" s="2">
        <v>18.149159999999998</v>
      </c>
      <c r="AP19" s="2">
        <v>18.595020000000002</v>
      </c>
      <c r="AQ19" s="2">
        <v>3.1441110000000001</v>
      </c>
      <c r="AR19" s="2">
        <v>1.67265</v>
      </c>
      <c r="AS19" s="2">
        <v>1.6560649999999999</v>
      </c>
      <c r="AT19" s="2">
        <v>1.434723</v>
      </c>
      <c r="AU19" s="1" t="s">
        <v>5</v>
      </c>
      <c r="AV19" s="3">
        <v>1.433333</v>
      </c>
      <c r="AW19" s="3">
        <v>2.331931</v>
      </c>
      <c r="AX19" s="2">
        <v>25.609000000000002</v>
      </c>
      <c r="AY19" s="2">
        <v>51.769309999999997</v>
      </c>
      <c r="AZ19" s="2">
        <v>71.319469999999995</v>
      </c>
      <c r="BA19" s="2">
        <v>21.57826</v>
      </c>
      <c r="BB19" s="2">
        <v>33.513109999999998</v>
      </c>
      <c r="BC19" s="3">
        <v>1.385</v>
      </c>
      <c r="BD19" s="2">
        <v>34.043320000000001</v>
      </c>
      <c r="BE19" s="3">
        <v>2.02</v>
      </c>
      <c r="BF19" s="2">
        <v>-8.0940539999999999</v>
      </c>
      <c r="BG19" s="2">
        <v>0</v>
      </c>
      <c r="BH19" s="2">
        <v>1.5048079999999999</v>
      </c>
      <c r="BI19" s="2">
        <v>8.9358319999999996</v>
      </c>
      <c r="BJ19" s="2">
        <v>15.510339999999999</v>
      </c>
      <c r="BK19" s="2">
        <v>27</v>
      </c>
      <c r="BL19" s="2">
        <v>26</v>
      </c>
      <c r="BM19" s="4">
        <v>30</v>
      </c>
      <c r="BN19" s="4">
        <v>0</v>
      </c>
      <c r="BO19" s="4">
        <v>0</v>
      </c>
      <c r="BP19" s="4">
        <v>28</v>
      </c>
      <c r="BQ19" s="2">
        <v>0</v>
      </c>
      <c r="BR19" s="4">
        <v>21</v>
      </c>
      <c r="BS19" s="4">
        <v>2</v>
      </c>
      <c r="BT19" s="4">
        <v>30</v>
      </c>
      <c r="BU19" s="2">
        <v>70</v>
      </c>
      <c r="BV19" s="2">
        <v>13.767200000000001</v>
      </c>
      <c r="BW19" s="2">
        <v>4915.5370000000003</v>
      </c>
      <c r="BX19" s="3">
        <v>11.067399999999999</v>
      </c>
      <c r="BY19" s="3">
        <v>0.2251514</v>
      </c>
      <c r="BZ19" s="2">
        <v>2.1145700000000001</v>
      </c>
      <c r="CA19" s="3">
        <v>0.2251514</v>
      </c>
      <c r="CB19" s="3">
        <v>0.36392780000000002</v>
      </c>
      <c r="CC19" s="3">
        <v>0.44311590000000001</v>
      </c>
      <c r="CD19" s="2">
        <v>21.7593</v>
      </c>
      <c r="CE19" s="3">
        <v>3034.491</v>
      </c>
      <c r="CF19" s="3">
        <v>3429.5830000000001</v>
      </c>
      <c r="CG19" s="2">
        <v>13.02004</v>
      </c>
      <c r="CH19" s="3">
        <v>2.5518079999999999</v>
      </c>
      <c r="CI19" s="2">
        <v>-8.6165070000000004</v>
      </c>
      <c r="CJ19" s="3">
        <v>28638.74</v>
      </c>
      <c r="CK19" s="3">
        <v>29292.54</v>
      </c>
      <c r="CL19" s="2">
        <v>2.2829290000000002</v>
      </c>
      <c r="CM19" s="3">
        <v>1.7789360000000001</v>
      </c>
      <c r="CN19" s="3">
        <v>1.7468140000000001</v>
      </c>
      <c r="CO19" s="3">
        <v>1.807788</v>
      </c>
      <c r="CP19" s="2">
        <v>4.360163</v>
      </c>
      <c r="CQ19" s="2">
        <v>6.2792180000000002</v>
      </c>
      <c r="CR19" s="2">
        <v>2.694547</v>
      </c>
      <c r="CS19" s="2">
        <v>-1.8056749999999999</v>
      </c>
      <c r="CT19" s="2">
        <v>19.308920000000001</v>
      </c>
      <c r="CU19" s="3">
        <v>0.21158850000000001</v>
      </c>
      <c r="CV19" s="2">
        <v>212.744</v>
      </c>
      <c r="CW19" s="2">
        <v>3.2072560000000001</v>
      </c>
      <c r="CX19" s="2">
        <v>13.57</v>
      </c>
      <c r="CY19" s="2">
        <v>16.25263</v>
      </c>
    </row>
    <row r="20" spans="1:103" ht="15" customHeight="1" x14ac:dyDescent="0.2">
      <c r="A20" s="1">
        <f t="shared" si="0"/>
        <v>14</v>
      </c>
      <c r="B20" s="1" t="s">
        <v>47</v>
      </c>
      <c r="C20" s="1" t="s">
        <v>46</v>
      </c>
      <c r="D20" s="1" t="s">
        <v>3</v>
      </c>
      <c r="E20" s="1" t="s">
        <v>48</v>
      </c>
      <c r="F20" s="2">
        <v>75092.039999999994</v>
      </c>
      <c r="G20" s="2">
        <v>99.373000000000005</v>
      </c>
      <c r="H20" s="2">
        <v>74621.22</v>
      </c>
      <c r="I20" s="3">
        <v>11.824999999999999</v>
      </c>
      <c r="J20" s="3">
        <v>0</v>
      </c>
      <c r="K20" s="2">
        <v>4.143764</v>
      </c>
      <c r="L20" s="2">
        <v>4.4820289999999998</v>
      </c>
      <c r="M20" s="2">
        <v>4.6511630000000004</v>
      </c>
      <c r="N20" s="2">
        <v>4.9048619999999996</v>
      </c>
      <c r="O20" s="2">
        <v>17.91667</v>
      </c>
      <c r="P20" s="2">
        <v>15.76667</v>
      </c>
      <c r="Q20" s="2">
        <v>15.160259999999999</v>
      </c>
      <c r="R20" s="2">
        <v>14.2814</v>
      </c>
      <c r="S20" s="2">
        <v>8.5641590000000001</v>
      </c>
      <c r="T20" s="2">
        <v>8.0717970000000001</v>
      </c>
      <c r="U20" s="2">
        <v>8.3579310000000007</v>
      </c>
      <c r="V20" s="2">
        <v>8.0042679999999997</v>
      </c>
      <c r="W20" s="2">
        <v>1.7620119999999999</v>
      </c>
      <c r="X20" s="2">
        <v>1.725195</v>
      </c>
      <c r="Y20" s="2">
        <v>1.629467</v>
      </c>
      <c r="Z20" s="2">
        <v>1.5738799999999999</v>
      </c>
      <c r="AA20" s="2">
        <v>7.9942080000000004</v>
      </c>
      <c r="AB20" s="2">
        <v>7.0689440000000001</v>
      </c>
      <c r="AC20" s="2">
        <v>6.71875</v>
      </c>
      <c r="AD20" s="2">
        <v>6.3924349999999999</v>
      </c>
      <c r="AE20" s="2">
        <v>1.658644</v>
      </c>
      <c r="AF20" s="2">
        <v>-3.5321129999999998</v>
      </c>
      <c r="AG20" s="2">
        <v>0.36985119999999999</v>
      </c>
      <c r="AH20" s="2">
        <v>2.596495</v>
      </c>
      <c r="AI20" s="2">
        <v>-6.0338060000000002</v>
      </c>
      <c r="AJ20" s="2">
        <v>0.64224769999999998</v>
      </c>
      <c r="AK20" s="3">
        <v>1.6636759999999999</v>
      </c>
      <c r="AL20" s="3">
        <v>1.6075759999999999</v>
      </c>
      <c r="AM20" s="2">
        <v>24.519449999999999</v>
      </c>
      <c r="AN20" s="2">
        <v>25.945329999999998</v>
      </c>
      <c r="AO20" s="2">
        <v>27.815429999999999</v>
      </c>
      <c r="AP20" s="2">
        <v>28.36177</v>
      </c>
      <c r="AQ20" s="2">
        <v>3.3073030000000001</v>
      </c>
      <c r="AR20" s="2">
        <v>2.9155250000000001</v>
      </c>
      <c r="AS20" s="2">
        <v>3.4653049999999999</v>
      </c>
      <c r="AT20" s="2">
        <v>3.3948499999999999</v>
      </c>
      <c r="AU20" s="1" t="s">
        <v>49</v>
      </c>
      <c r="AV20" s="3">
        <v>1.5</v>
      </c>
      <c r="AW20" s="3">
        <v>12.4</v>
      </c>
      <c r="AX20" s="2">
        <v>4.8625829999999999</v>
      </c>
      <c r="AY20" s="2">
        <v>10.94204</v>
      </c>
      <c r="AZ20" s="2">
        <v>9.4580160000000006</v>
      </c>
      <c r="BA20" s="2">
        <v>6.9651719999999999</v>
      </c>
      <c r="BB20" s="2">
        <v>8.1884619999999995</v>
      </c>
      <c r="BC20" s="3">
        <v>9.8819999999999997</v>
      </c>
      <c r="BD20" s="2">
        <v>19.662009999999999</v>
      </c>
      <c r="BE20" s="3">
        <v>12.244999999999999</v>
      </c>
      <c r="BF20" s="2">
        <v>-3.4299729999999999</v>
      </c>
      <c r="BG20" s="2">
        <v>72.764390000000006</v>
      </c>
      <c r="BH20" s="2">
        <v>70.619600000000005</v>
      </c>
      <c r="BI20" s="2">
        <v>70.337440000000001</v>
      </c>
      <c r="BJ20" s="2">
        <v>69.82741</v>
      </c>
      <c r="BK20" s="2">
        <v>19</v>
      </c>
      <c r="BL20" s="2">
        <v>18</v>
      </c>
      <c r="BM20" s="4">
        <v>24</v>
      </c>
      <c r="BN20" s="4">
        <v>4</v>
      </c>
      <c r="BO20" s="4">
        <v>0</v>
      </c>
      <c r="BP20" s="4">
        <v>20</v>
      </c>
      <c r="BQ20" s="2">
        <v>16.66667</v>
      </c>
      <c r="BR20" s="4">
        <v>13</v>
      </c>
      <c r="BS20" s="4">
        <v>0</v>
      </c>
      <c r="BT20" s="4">
        <v>24</v>
      </c>
      <c r="BU20" s="2">
        <v>54.166670000000003</v>
      </c>
      <c r="BV20" s="2">
        <v>6.4139400000000002</v>
      </c>
      <c r="BW20" s="2">
        <v>6350.2780000000002</v>
      </c>
      <c r="BX20" s="3">
        <v>11.49714</v>
      </c>
      <c r="BY20" s="3">
        <v>0.1810493</v>
      </c>
      <c r="BZ20" s="2">
        <v>0.698411</v>
      </c>
      <c r="CA20" s="3">
        <v>0.1810493</v>
      </c>
      <c r="CB20" s="3">
        <v>0.72874150000000004</v>
      </c>
      <c r="CC20" s="3">
        <v>0.75150600000000001</v>
      </c>
      <c r="CD20" s="2">
        <v>3.1238079999999999</v>
      </c>
      <c r="CE20" s="3">
        <v>9055.3330000000005</v>
      </c>
      <c r="CF20" s="3">
        <v>9165.4940000000006</v>
      </c>
      <c r="CG20" s="2">
        <v>1.216531</v>
      </c>
      <c r="CH20" s="3">
        <v>12.54191</v>
      </c>
      <c r="CI20" s="2">
        <v>-1.1314630000000001</v>
      </c>
      <c r="CJ20" s="3">
        <v>55618.94</v>
      </c>
      <c r="CK20" s="3">
        <v>55925.26</v>
      </c>
      <c r="CL20" s="2">
        <v>0.55075879999999999</v>
      </c>
      <c r="CM20" s="3">
        <v>11.19215</v>
      </c>
      <c r="CN20" s="3">
        <v>10.87628</v>
      </c>
      <c r="CO20" s="3">
        <v>11.278650000000001</v>
      </c>
      <c r="CP20" s="2">
        <v>5.6544420000000004</v>
      </c>
      <c r="CQ20" s="2">
        <v>8.7228779999999997</v>
      </c>
      <c r="CR20" s="2">
        <v>4.8440690000000002</v>
      </c>
      <c r="CS20" s="2">
        <v>-2.8222499999999999</v>
      </c>
      <c r="CT20" s="2">
        <v>116.2255</v>
      </c>
      <c r="CU20" s="3">
        <v>0.15477740000000001</v>
      </c>
      <c r="CV20" s="2">
        <v>16.26343</v>
      </c>
      <c r="CW20" s="2">
        <v>-26.172910000000002</v>
      </c>
      <c r="CX20" s="2">
        <v>6.2421449999999998</v>
      </c>
      <c r="CY20" s="2">
        <v>16.434339999999999</v>
      </c>
    </row>
    <row r="21" spans="1:103" ht="15" customHeight="1" x14ac:dyDescent="0.2">
      <c r="A21" s="1">
        <f t="shared" si="0"/>
        <v>15</v>
      </c>
      <c r="B21" s="1" t="s">
        <v>51</v>
      </c>
      <c r="C21" s="1" t="s">
        <v>50</v>
      </c>
      <c r="D21" s="1" t="s">
        <v>52</v>
      </c>
      <c r="E21" s="1" t="s">
        <v>53</v>
      </c>
      <c r="F21" s="2">
        <v>120333.9</v>
      </c>
      <c r="G21" s="2">
        <v>40.584499999999998</v>
      </c>
      <c r="H21" s="2">
        <v>48836.93</v>
      </c>
      <c r="I21" s="3">
        <v>38.61</v>
      </c>
      <c r="J21" s="3">
        <v>0</v>
      </c>
      <c r="K21" s="2">
        <v>3.1080030000000001</v>
      </c>
      <c r="L21" s="2">
        <v>3.962704</v>
      </c>
      <c r="M21" s="2">
        <v>4.3627560000000001</v>
      </c>
      <c r="N21" s="2">
        <v>4.7267549999999998</v>
      </c>
      <c r="O21" s="2">
        <v>29.09571</v>
      </c>
      <c r="P21" s="2">
        <v>22.460229999999999</v>
      </c>
      <c r="Q21" s="2">
        <v>20.504960000000001</v>
      </c>
      <c r="R21" s="2">
        <v>19.079930000000001</v>
      </c>
      <c r="S21" s="2">
        <v>7.7903580000000003</v>
      </c>
      <c r="T21" s="2">
        <v>11.054550000000001</v>
      </c>
      <c r="U21" s="2">
        <v>10.19279</v>
      </c>
      <c r="V21" s="2">
        <v>9.5568050000000007</v>
      </c>
      <c r="W21" s="2">
        <v>7.0668470000000001</v>
      </c>
      <c r="X21" s="2">
        <v>6.4673369999999997</v>
      </c>
      <c r="Y21" s="2">
        <v>6.0612240000000002</v>
      </c>
      <c r="Z21" s="2">
        <v>5.7671659999999996</v>
      </c>
      <c r="AA21" s="2">
        <v>21.45</v>
      </c>
      <c r="AB21" s="2">
        <v>15.301410000000001</v>
      </c>
      <c r="AC21" s="2">
        <v>13.529769999999999</v>
      </c>
      <c r="AD21" s="2">
        <v>14.90734</v>
      </c>
      <c r="AE21" s="2">
        <v>5.3657940000000002</v>
      </c>
      <c r="AF21" s="2">
        <v>5.8265640000000003</v>
      </c>
      <c r="AG21" s="2">
        <v>6.2325949999999999</v>
      </c>
      <c r="AH21" s="2">
        <v>4.8430549999999997</v>
      </c>
      <c r="AI21" s="2">
        <v>5.205597</v>
      </c>
      <c r="AJ21" s="2">
        <v>5.5304000000000002</v>
      </c>
      <c r="AK21" s="3">
        <v>1.7184809999999999</v>
      </c>
      <c r="AL21" s="3">
        <v>1.5745389999999999</v>
      </c>
      <c r="AM21" s="2">
        <v>26.55593</v>
      </c>
      <c r="AN21" s="2">
        <v>27.308350000000001</v>
      </c>
      <c r="AO21" s="2">
        <v>27.373919999999998</v>
      </c>
      <c r="AP21" s="2">
        <v>27.289400000000001</v>
      </c>
      <c r="AQ21" s="2">
        <v>-1.1642969999999999</v>
      </c>
      <c r="AR21" s="2">
        <v>-1.193181</v>
      </c>
      <c r="AS21" s="2">
        <v>-1.215883</v>
      </c>
      <c r="AT21" s="2">
        <v>-1.213428</v>
      </c>
      <c r="AU21" s="1" t="s">
        <v>5</v>
      </c>
      <c r="AV21" s="3">
        <v>1.5172410000000001</v>
      </c>
      <c r="AW21" s="3">
        <v>40.5</v>
      </c>
      <c r="AX21" s="2">
        <v>4.8951029999999998</v>
      </c>
      <c r="AY21" s="2">
        <v>28.794619999999998</v>
      </c>
      <c r="AZ21" s="2">
        <v>14.96265</v>
      </c>
      <c r="BA21" s="2">
        <v>51.293100000000003</v>
      </c>
      <c r="BB21" s="2">
        <v>55.372239999999998</v>
      </c>
      <c r="BC21" s="3">
        <v>24.19</v>
      </c>
      <c r="BD21" s="2">
        <v>59.611400000000003</v>
      </c>
      <c r="BE21" s="3">
        <v>39</v>
      </c>
      <c r="BF21" s="2">
        <v>-0.99999899999999997</v>
      </c>
      <c r="BG21" s="2">
        <v>90.393649999999994</v>
      </c>
      <c r="BH21" s="2">
        <v>89.289249999999996</v>
      </c>
      <c r="BI21" s="2">
        <v>89.529830000000004</v>
      </c>
      <c r="BJ21" s="2">
        <v>88.090100000000007</v>
      </c>
      <c r="BK21" s="2">
        <v>27</v>
      </c>
      <c r="BL21" s="2">
        <v>26</v>
      </c>
      <c r="BM21" s="4">
        <v>29</v>
      </c>
      <c r="BN21" s="4">
        <v>1</v>
      </c>
      <c r="BO21" s="4">
        <v>0</v>
      </c>
      <c r="BP21" s="4">
        <v>26</v>
      </c>
      <c r="BQ21" s="2">
        <v>3.7037040000000001</v>
      </c>
      <c r="BR21" s="4">
        <v>17</v>
      </c>
      <c r="BS21" s="4">
        <v>2</v>
      </c>
      <c r="BT21" s="4">
        <v>29</v>
      </c>
      <c r="BU21" s="2">
        <v>58.620690000000003</v>
      </c>
      <c r="BV21" s="2">
        <v>7.96957</v>
      </c>
      <c r="BW21" s="2">
        <v>3116.652</v>
      </c>
      <c r="BX21" s="3">
        <v>3.0229330000000001</v>
      </c>
      <c r="BY21" s="3">
        <v>9.6992960000000003E-2</v>
      </c>
      <c r="BZ21" s="2">
        <v>1.25518</v>
      </c>
      <c r="CA21" s="3">
        <v>9.6992960000000003E-2</v>
      </c>
      <c r="CB21" s="3">
        <v>1.6714910000000001</v>
      </c>
      <c r="CC21" s="3">
        <v>1.7158500000000001</v>
      </c>
      <c r="CD21" s="2">
        <v>2.6538729999999999</v>
      </c>
      <c r="CE21" s="3">
        <v>6601.8980000000001</v>
      </c>
      <c r="CF21" s="3">
        <v>6760.5590000000002</v>
      </c>
      <c r="CG21" s="2">
        <v>2.4032589999999998</v>
      </c>
      <c r="CH21" s="3">
        <v>37.979619999999997</v>
      </c>
      <c r="CI21" s="2">
        <v>6.6361309999999998</v>
      </c>
      <c r="CJ21" s="3">
        <v>36154.93</v>
      </c>
      <c r="CK21" s="3">
        <v>36025.129999999997</v>
      </c>
      <c r="CL21" s="2">
        <v>-0.35900470000000001</v>
      </c>
      <c r="CM21" s="3">
        <v>33.570540000000001</v>
      </c>
      <c r="CN21" s="3">
        <v>35.49353</v>
      </c>
      <c r="CO21" s="3">
        <v>36.926160000000003</v>
      </c>
      <c r="CP21" s="2">
        <v>15.01155</v>
      </c>
      <c r="CQ21" s="2">
        <v>8.7803839999999997</v>
      </c>
      <c r="CR21" s="2">
        <v>4.5600300000000002</v>
      </c>
      <c r="CS21" s="2">
        <v>5.7282089999999997</v>
      </c>
      <c r="CT21" s="2">
        <v>121.79559999999999</v>
      </c>
      <c r="CU21" s="3">
        <v>0.1012147</v>
      </c>
      <c r="CV21" s="2">
        <v>0.54109320000000005</v>
      </c>
      <c r="CW21" s="2">
        <v>-1.296818</v>
      </c>
      <c r="CX21" s="2">
        <v>2.9481459999999999</v>
      </c>
      <c r="CY21" s="2">
        <v>16.47475</v>
      </c>
    </row>
    <row r="22" spans="1:103" ht="15" customHeight="1" x14ac:dyDescent="0.2">
      <c r="A22" s="1">
        <f t="shared" si="0"/>
        <v>16</v>
      </c>
      <c r="B22" s="1" t="s">
        <v>55</v>
      </c>
      <c r="C22" s="1" t="s">
        <v>54</v>
      </c>
      <c r="D22" s="1" t="s">
        <v>8</v>
      </c>
      <c r="E22" s="1" t="s">
        <v>56</v>
      </c>
      <c r="F22" s="2">
        <v>4716.4989999999998</v>
      </c>
      <c r="G22" s="2">
        <v>66.606499999999997</v>
      </c>
      <c r="H22" s="2">
        <v>3141.4949999999999</v>
      </c>
      <c r="I22" s="3">
        <v>10.039999999999999</v>
      </c>
      <c r="J22" s="3">
        <v>0</v>
      </c>
      <c r="K22" s="2">
        <v>11.852589999999999</v>
      </c>
      <c r="L22" s="2">
        <v>4.3824699999999996</v>
      </c>
      <c r="M22" s="2">
        <v>4.6102290000000004</v>
      </c>
      <c r="N22" s="2">
        <v>4.8804780000000001</v>
      </c>
      <c r="O22" s="2">
        <v>16.459019999999999</v>
      </c>
      <c r="P22" s="2">
        <v>16.689540000000001</v>
      </c>
      <c r="Q22" s="2">
        <v>15.94843</v>
      </c>
      <c r="R22" s="2">
        <v>14.85965</v>
      </c>
      <c r="S22" s="2">
        <v>24.397189999999998</v>
      </c>
      <c r="T22" s="2">
        <v>24.628920000000001</v>
      </c>
      <c r="U22" s="2">
        <v>23.151859999999999</v>
      </c>
      <c r="V22" s="2">
        <v>21.561900000000001</v>
      </c>
      <c r="W22" s="2">
        <v>0.68861450000000002</v>
      </c>
      <c r="X22" s="2">
        <v>0.73760340000000002</v>
      </c>
      <c r="Y22" s="2">
        <v>0.76665890000000003</v>
      </c>
      <c r="Z22" s="2">
        <v>0.75185080000000004</v>
      </c>
      <c r="AA22" s="2">
        <v>17.272760000000002</v>
      </c>
      <c r="AB22" s="2">
        <v>18.362919999999999</v>
      </c>
      <c r="AC22" s="2">
        <v>17.435279999999999</v>
      </c>
      <c r="AD22" s="2">
        <v>14.903969999999999</v>
      </c>
      <c r="AE22" s="2">
        <v>1.022427</v>
      </c>
      <c r="AF22" s="2">
        <v>1.6166400000000001</v>
      </c>
      <c r="AG22" s="2">
        <v>1.679146</v>
      </c>
      <c r="AH22" s="2">
        <v>1.9200999999999999</v>
      </c>
      <c r="AI22" s="2">
        <v>3.0837729999999999</v>
      </c>
      <c r="AJ22" s="2">
        <v>3.2240739999999999</v>
      </c>
      <c r="AK22" s="3">
        <v>4.5606730000000004</v>
      </c>
      <c r="AL22" s="3">
        <v>4.3237649999999999</v>
      </c>
      <c r="AM22" s="2">
        <v>72.453199999999995</v>
      </c>
      <c r="AN22" s="2">
        <v>74.490530000000007</v>
      </c>
      <c r="AO22" s="2">
        <v>74.966189999999997</v>
      </c>
      <c r="AP22" s="2">
        <v>76.363630000000001</v>
      </c>
      <c r="AQ22" s="2">
        <v>11.83755</v>
      </c>
      <c r="AR22" s="2">
        <v>11.51435</v>
      </c>
      <c r="AS22" s="2">
        <v>11.014710000000001</v>
      </c>
      <c r="AT22" s="2">
        <v>10.332140000000001</v>
      </c>
      <c r="AU22" s="1" t="s">
        <v>5</v>
      </c>
      <c r="AV22" s="3">
        <v>1.25</v>
      </c>
      <c r="AW22" s="3">
        <v>10.5</v>
      </c>
      <c r="AX22" s="2">
        <v>4.5816780000000001</v>
      </c>
      <c r="AY22" s="2">
        <v>4.419556</v>
      </c>
      <c r="AZ22" s="2">
        <v>3.6740729999999999</v>
      </c>
      <c r="BA22" s="2">
        <v>8.1896540000000009</v>
      </c>
      <c r="BB22" s="2">
        <v>14.41596</v>
      </c>
      <c r="BC22" s="3">
        <v>7.4349999999999996</v>
      </c>
      <c r="BD22" s="2">
        <v>35.036990000000003</v>
      </c>
      <c r="BE22" s="3">
        <v>10.07</v>
      </c>
      <c r="BF22" s="2">
        <v>-0.29791000000000001</v>
      </c>
      <c r="BG22" s="2">
        <v>199.0436</v>
      </c>
      <c r="BH22" s="2">
        <v>74.474189999999993</v>
      </c>
      <c r="BI22" s="2">
        <v>73.895679999999999</v>
      </c>
      <c r="BJ22" s="2">
        <v>72.817340000000002</v>
      </c>
      <c r="BK22" s="2">
        <v>16</v>
      </c>
      <c r="BL22" s="2">
        <v>10</v>
      </c>
      <c r="BM22" s="4">
        <v>20</v>
      </c>
      <c r="BN22" s="4">
        <v>0</v>
      </c>
      <c r="BO22" s="4">
        <v>0</v>
      </c>
      <c r="BP22" s="4">
        <v>18</v>
      </c>
      <c r="BQ22" s="2">
        <v>0</v>
      </c>
      <c r="BR22" s="4">
        <v>17</v>
      </c>
      <c r="BS22" s="4">
        <v>1</v>
      </c>
      <c r="BT22" s="4">
        <v>20</v>
      </c>
      <c r="BU22" s="2">
        <v>85</v>
      </c>
      <c r="BV22" s="2">
        <v>7.1382899999999996</v>
      </c>
      <c r="BW22" s="2">
        <v>469.77080000000001</v>
      </c>
      <c r="BX22" s="3">
        <v>0.73931800000000003</v>
      </c>
      <c r="BY22" s="3">
        <v>0.1573785</v>
      </c>
      <c r="BZ22" s="2">
        <v>0.88242100000000001</v>
      </c>
      <c r="CA22" s="3">
        <v>0.1573785</v>
      </c>
      <c r="CB22" s="3">
        <v>0.59091950000000004</v>
      </c>
      <c r="CC22" s="3">
        <v>0.59917960000000003</v>
      </c>
      <c r="CD22" s="2">
        <v>1.3978360000000001</v>
      </c>
      <c r="CE22" s="3">
        <v>362.54329999999999</v>
      </c>
      <c r="CF22" s="3">
        <v>313.3648</v>
      </c>
      <c r="CG22" s="2">
        <v>-13.564870000000001</v>
      </c>
      <c r="CH22" s="3">
        <v>10.08789</v>
      </c>
      <c r="CI22" s="2">
        <v>4.0851470000000001</v>
      </c>
      <c r="CJ22" s="3">
        <v>469.73219999999998</v>
      </c>
      <c r="CK22" s="3">
        <v>477.55540000000002</v>
      </c>
      <c r="CL22" s="2">
        <v>1.6654610000000001</v>
      </c>
      <c r="CM22" s="3">
        <v>8.1439769999999996</v>
      </c>
      <c r="CN22" s="3">
        <v>8.5406860000000009</v>
      </c>
      <c r="CO22" s="3">
        <v>9.1142299999999992</v>
      </c>
      <c r="CP22" s="2">
        <v>23.281289999999998</v>
      </c>
      <c r="CQ22" s="2">
        <v>17.554960000000001</v>
      </c>
      <c r="CR22" s="2">
        <v>10.15741</v>
      </c>
      <c r="CS22" s="2">
        <v>4.8711900000000004</v>
      </c>
      <c r="CT22" s="2">
        <v>6.9130919999999998</v>
      </c>
      <c r="CU22" s="3">
        <v>0.14657249999999999</v>
      </c>
      <c r="CV22" s="2">
        <v>7.1428580000000004</v>
      </c>
      <c r="CW22" s="2">
        <v>5.1184799999999999</v>
      </c>
      <c r="CX22" s="2">
        <v>1.36958</v>
      </c>
      <c r="CY22" s="2">
        <v>16.47475</v>
      </c>
    </row>
    <row r="23" spans="1:103" ht="15" customHeight="1" x14ac:dyDescent="0.2">
      <c r="A23" s="1">
        <f t="shared" si="0"/>
        <v>17</v>
      </c>
      <c r="B23" s="1" t="s">
        <v>58</v>
      </c>
      <c r="C23" s="1" t="s">
        <v>57</v>
      </c>
      <c r="D23" s="1" t="s">
        <v>34</v>
      </c>
      <c r="E23" s="1" t="s">
        <v>35</v>
      </c>
      <c r="F23" s="2">
        <v>24213.1</v>
      </c>
      <c r="G23" s="2">
        <v>66.735299999999995</v>
      </c>
      <c r="H23" s="2">
        <v>16158.68</v>
      </c>
      <c r="I23" s="3">
        <v>32.69</v>
      </c>
      <c r="J23" s="3">
        <v>0</v>
      </c>
      <c r="K23" s="2">
        <v>2.2025090000000001</v>
      </c>
      <c r="L23" s="2">
        <v>2.2025090000000001</v>
      </c>
      <c r="M23" s="2">
        <v>2.26369</v>
      </c>
      <c r="N23" s="2">
        <v>2.3248700000000002</v>
      </c>
      <c r="O23" s="2">
        <v>128.1961</v>
      </c>
      <c r="P23" s="2">
        <v>87.608140000000006</v>
      </c>
      <c r="Q23" s="2">
        <v>53.123710000000003</v>
      </c>
      <c r="R23" s="2">
        <v>39.480670000000003</v>
      </c>
      <c r="S23" s="2">
        <v>32.491799999999998</v>
      </c>
      <c r="T23" s="2">
        <v>31.35923</v>
      </c>
      <c r="U23" s="2">
        <v>24.477830000000001</v>
      </c>
      <c r="V23" s="2">
        <v>21.36476</v>
      </c>
      <c r="W23" s="2">
        <v>5.7756179999999997</v>
      </c>
      <c r="X23" s="2">
        <v>6.131742</v>
      </c>
      <c r="Y23" s="2">
        <v>6.3051620000000002</v>
      </c>
      <c r="Z23" s="2">
        <v>6.1795840000000002</v>
      </c>
      <c r="AA23" s="2">
        <v>44.780819999999999</v>
      </c>
      <c r="AB23" s="2">
        <v>25.94444</v>
      </c>
      <c r="AC23" s="2">
        <v>22.959569999999999</v>
      </c>
      <c r="AD23" s="2">
        <v>21.227270000000001</v>
      </c>
      <c r="AE23" s="2">
        <v>0.9272456</v>
      </c>
      <c r="AF23" s="2">
        <v>1.6397040000000001</v>
      </c>
      <c r="AG23" s="2">
        <v>2.739363</v>
      </c>
      <c r="AH23" s="2">
        <v>1.1778219999999999</v>
      </c>
      <c r="AI23" s="2">
        <v>2.081985</v>
      </c>
      <c r="AJ23" s="2">
        <v>3.4324370000000002</v>
      </c>
      <c r="AK23" s="3">
        <v>2.031336</v>
      </c>
      <c r="AL23" s="3">
        <v>1.3850359999999999</v>
      </c>
      <c r="AM23" s="2">
        <v>9.6411079999999991</v>
      </c>
      <c r="AN23" s="2">
        <v>11.9693</v>
      </c>
      <c r="AO23" s="2">
        <v>14.67118</v>
      </c>
      <c r="AP23" s="2">
        <v>15.964639999999999</v>
      </c>
      <c r="AQ23" s="2">
        <v>8.0405219999999993</v>
      </c>
      <c r="AR23" s="2">
        <v>6.6715289999999996</v>
      </c>
      <c r="AS23" s="2">
        <v>5.1998879999999996</v>
      </c>
      <c r="AT23" s="2">
        <v>4.3139450000000004</v>
      </c>
      <c r="AU23" s="1" t="s">
        <v>36</v>
      </c>
      <c r="AV23" s="3">
        <v>1.6578949999999999</v>
      </c>
      <c r="AW23" s="3">
        <v>31.5</v>
      </c>
      <c r="AX23" s="2">
        <v>-3.6402519999999998</v>
      </c>
      <c r="AY23" s="2">
        <v>6.9990560000000004</v>
      </c>
      <c r="AZ23" s="2">
        <v>38.495530000000002</v>
      </c>
      <c r="BA23" s="2">
        <v>27.496099999999998</v>
      </c>
      <c r="BB23" s="2">
        <v>33.592149999999997</v>
      </c>
      <c r="BC23" s="3">
        <v>24.03</v>
      </c>
      <c r="BD23" s="2">
        <v>36.03828</v>
      </c>
      <c r="BE23" s="3">
        <v>33</v>
      </c>
      <c r="BF23" s="2">
        <v>-0.93939899999999998</v>
      </c>
      <c r="BG23" s="2">
        <v>314.09269999999998</v>
      </c>
      <c r="BH23" s="2">
        <v>174.75409999999999</v>
      </c>
      <c r="BI23" s="2">
        <v>122.4825</v>
      </c>
      <c r="BJ23" s="2">
        <v>95.04871</v>
      </c>
      <c r="BK23" s="2">
        <v>13</v>
      </c>
      <c r="BL23" s="2">
        <v>14</v>
      </c>
      <c r="BM23" s="4">
        <v>19</v>
      </c>
      <c r="BN23" s="4">
        <v>1</v>
      </c>
      <c r="BO23" s="4">
        <v>0</v>
      </c>
      <c r="BP23" s="4">
        <v>17</v>
      </c>
      <c r="BQ23" s="2">
        <v>5.5555560000000002</v>
      </c>
      <c r="BR23" s="4">
        <v>9</v>
      </c>
      <c r="BS23" s="4">
        <v>2</v>
      </c>
      <c r="BT23" s="4">
        <v>19</v>
      </c>
      <c r="BU23" s="2">
        <v>47.36842</v>
      </c>
      <c r="BV23" s="2">
        <v>5.88985</v>
      </c>
      <c r="BW23" s="2">
        <v>740.6884</v>
      </c>
      <c r="BX23" s="3">
        <v>1.028187</v>
      </c>
      <c r="BY23" s="3">
        <v>0.13881499999999999</v>
      </c>
      <c r="BZ23" s="2">
        <v>0.81766399999999995</v>
      </c>
      <c r="CA23" s="3">
        <v>0.13881499999999999</v>
      </c>
      <c r="CB23" s="3">
        <v>0.40059990000000001</v>
      </c>
      <c r="CC23" s="3">
        <v>0.4180449</v>
      </c>
      <c r="CD23" s="2">
        <v>4.3547269999999996</v>
      </c>
      <c r="CE23" s="3">
        <v>598.86940000000004</v>
      </c>
      <c r="CF23" s="3">
        <v>594.66959999999995</v>
      </c>
      <c r="CG23" s="2">
        <v>-0.70128440000000003</v>
      </c>
      <c r="CH23" s="3">
        <v>31.04524</v>
      </c>
      <c r="CI23" s="2">
        <v>1.4648319999999999</v>
      </c>
      <c r="CJ23" s="3">
        <v>7894.9319999999998</v>
      </c>
      <c r="CK23" s="3">
        <v>8205.6589999999997</v>
      </c>
      <c r="CL23" s="2">
        <v>3.935778</v>
      </c>
      <c r="CM23" s="3">
        <v>29.038869999999999</v>
      </c>
      <c r="CN23" s="3">
        <v>29.81157</v>
      </c>
      <c r="CO23" s="3">
        <v>31.091539999999998</v>
      </c>
      <c r="CP23" s="2">
        <v>12.573270000000001</v>
      </c>
      <c r="CQ23" s="2">
        <v>9.6554160000000007</v>
      </c>
      <c r="CR23" s="2">
        <v>5.1411389999999999</v>
      </c>
      <c r="CS23" s="2">
        <v>2.6609180000000001</v>
      </c>
      <c r="CT23" s="2">
        <v>32.189030000000002</v>
      </c>
      <c r="CU23" s="3">
        <v>0.13294049999999999</v>
      </c>
      <c r="CV23" s="2">
        <v>-100</v>
      </c>
      <c r="CW23" s="2">
        <v>39.322189999999999</v>
      </c>
      <c r="CX23" s="2">
        <v>-17.913910000000001</v>
      </c>
      <c r="CY23" s="2">
        <v>17.181819999999998</v>
      </c>
    </row>
    <row r="24" spans="1:103" ht="15" customHeight="1" x14ac:dyDescent="0.2">
      <c r="A24" s="1">
        <f t="shared" si="0"/>
        <v>18</v>
      </c>
      <c r="B24" s="1" t="s">
        <v>60</v>
      </c>
      <c r="C24" s="1" t="s">
        <v>59</v>
      </c>
      <c r="D24" s="1" t="s">
        <v>39</v>
      </c>
      <c r="E24" s="1" t="s">
        <v>61</v>
      </c>
      <c r="F24" s="2">
        <v>3209.895</v>
      </c>
      <c r="G24" s="2">
        <v>44.058999999999997</v>
      </c>
      <c r="H24" s="2">
        <v>1414.248</v>
      </c>
      <c r="I24" s="3">
        <v>24.18</v>
      </c>
      <c r="J24" s="3">
        <v>0</v>
      </c>
      <c r="K24" s="2">
        <v>7.6509510000000001</v>
      </c>
      <c r="L24" s="2">
        <v>8.1037510000000008</v>
      </c>
      <c r="M24" s="2">
        <v>8.0726639999999996</v>
      </c>
      <c r="N24" s="2">
        <v>8.2092639999999992</v>
      </c>
      <c r="O24" s="2">
        <v>9.9098360000000003</v>
      </c>
      <c r="P24" s="2">
        <v>9.9098360000000003</v>
      </c>
      <c r="Q24" s="2">
        <v>9.9711339999999993</v>
      </c>
      <c r="R24" s="2">
        <v>9.7303829999999998</v>
      </c>
      <c r="S24" s="2">
        <v>1.761833</v>
      </c>
      <c r="T24" s="2">
        <v>2.1334179999999998</v>
      </c>
      <c r="U24" s="2">
        <v>1.649078</v>
      </c>
      <c r="V24" s="2">
        <v>1.8031680000000001</v>
      </c>
      <c r="W24" s="2">
        <v>5.397322</v>
      </c>
      <c r="X24" s="2">
        <v>5.1446810000000003</v>
      </c>
      <c r="Y24" s="2">
        <v>4.9397339999999996</v>
      </c>
      <c r="Z24" s="2">
        <v>4.6951460000000003</v>
      </c>
      <c r="AA24" s="2">
        <v>9.1590910000000001</v>
      </c>
      <c r="AB24" s="2">
        <v>8.0654470000000007</v>
      </c>
      <c r="AC24" s="2">
        <v>7.7485390000000001</v>
      </c>
      <c r="AD24" s="2">
        <v>7.5799370000000001</v>
      </c>
      <c r="AE24" s="2">
        <v>29.781700000000001</v>
      </c>
      <c r="AF24" s="2">
        <v>43.247199999999999</v>
      </c>
      <c r="AG24" s="2">
        <v>35.136220000000002</v>
      </c>
      <c r="AH24" s="2">
        <v>9.1101109999999998</v>
      </c>
      <c r="AI24" s="2">
        <v>10.62885</v>
      </c>
      <c r="AJ24" s="2">
        <v>9.9380199999999999</v>
      </c>
      <c r="AK24" s="3" t="e">
        <v>#N/A</v>
      </c>
      <c r="AL24" s="3" t="e">
        <v>#N/A</v>
      </c>
      <c r="AM24" s="2">
        <v>27.701899999999998</v>
      </c>
      <c r="AN24" s="2">
        <v>26.836449999999999</v>
      </c>
      <c r="AO24" s="2">
        <v>27.39893</v>
      </c>
      <c r="AP24" s="2">
        <v>27.979990000000001</v>
      </c>
      <c r="AQ24" s="2">
        <v>-5.1189710000000002</v>
      </c>
      <c r="AR24" s="2">
        <v>-4.8408990000000003</v>
      </c>
      <c r="AS24" s="2">
        <v>-5.0607730000000002</v>
      </c>
      <c r="AT24" s="2">
        <v>-4.5719960000000004</v>
      </c>
      <c r="AU24" s="1" t="s">
        <v>5</v>
      </c>
      <c r="AV24" s="3">
        <v>1.0833330000000001</v>
      </c>
      <c r="AW24" s="3">
        <v>30</v>
      </c>
      <c r="AX24" s="2">
        <v>24.069479999999999</v>
      </c>
      <c r="AY24" s="2">
        <v>51.91489</v>
      </c>
      <c r="AZ24" s="2" t="e">
        <v>#N/A</v>
      </c>
      <c r="BA24" s="2">
        <v>1.853418</v>
      </c>
      <c r="BB24" s="2">
        <v>2.4576310000000001</v>
      </c>
      <c r="BC24" s="3">
        <v>21.94</v>
      </c>
      <c r="BD24" s="2">
        <v>10.20966</v>
      </c>
      <c r="BE24" s="3">
        <v>25.68</v>
      </c>
      <c r="BF24" s="2">
        <v>-5.8411239999999998</v>
      </c>
      <c r="BG24" s="2">
        <v>75.06438</v>
      </c>
      <c r="BH24" s="2">
        <v>82.454819999999998</v>
      </c>
      <c r="BI24" s="2">
        <v>82.133769999999998</v>
      </c>
      <c r="BJ24" s="2">
        <v>81.123140000000006</v>
      </c>
      <c r="BK24" s="2">
        <v>11</v>
      </c>
      <c r="BL24" s="2">
        <v>9</v>
      </c>
      <c r="BM24" s="4">
        <v>12</v>
      </c>
      <c r="BN24" s="4">
        <v>1</v>
      </c>
      <c r="BO24" s="4">
        <v>0</v>
      </c>
      <c r="BP24" s="4">
        <v>10</v>
      </c>
      <c r="BQ24" s="2">
        <v>9.0909089999999999</v>
      </c>
      <c r="BR24" s="4">
        <v>12</v>
      </c>
      <c r="BS24" s="4">
        <v>0</v>
      </c>
      <c r="BT24" s="4">
        <v>12</v>
      </c>
      <c r="BU24" s="2">
        <v>100</v>
      </c>
      <c r="BV24" s="2">
        <v>5.2476799999999999</v>
      </c>
      <c r="BW24" s="2">
        <v>132.75</v>
      </c>
      <c r="BX24" s="3">
        <v>0.1837577</v>
      </c>
      <c r="BY24" s="3">
        <v>0.13842380000000001</v>
      </c>
      <c r="BZ24" s="2">
        <v>0.62834199999999996</v>
      </c>
      <c r="CA24" s="3">
        <v>0.13842380000000001</v>
      </c>
      <c r="CB24" s="3">
        <v>2.272113</v>
      </c>
      <c r="CC24" s="3">
        <v>2.3500390000000002</v>
      </c>
      <c r="CD24" s="2">
        <v>3.4296989999999998</v>
      </c>
      <c r="CE24" s="3">
        <v>344.54360000000003</v>
      </c>
      <c r="CF24" s="3">
        <v>347.58390000000003</v>
      </c>
      <c r="CG24" s="2">
        <v>0.88241099999999995</v>
      </c>
      <c r="CH24" s="3">
        <v>29.667269999999998</v>
      </c>
      <c r="CI24" s="2">
        <v>1.1215329999999999</v>
      </c>
      <c r="CJ24" s="3">
        <v>1696.021</v>
      </c>
      <c r="CK24" s="3">
        <v>1718.5440000000001</v>
      </c>
      <c r="CL24" s="2">
        <v>1.3279909999999999</v>
      </c>
      <c r="CM24" s="3">
        <v>23.9619</v>
      </c>
      <c r="CN24" s="3">
        <v>23.459610000000001</v>
      </c>
      <c r="CO24" s="3">
        <v>23.58615</v>
      </c>
      <c r="CP24" s="2">
        <v>0.91021059999999998</v>
      </c>
      <c r="CQ24" s="2">
        <v>3.0707840000000002</v>
      </c>
      <c r="CR24" s="2">
        <v>2.5177839999999998</v>
      </c>
      <c r="CS24" s="2">
        <v>-2.096206</v>
      </c>
      <c r="CT24" s="2">
        <v>3.4525800000000002</v>
      </c>
      <c r="CU24" s="3">
        <v>0.1075605</v>
      </c>
      <c r="CV24" s="2" t="e">
        <v>#N/A</v>
      </c>
      <c r="CW24" s="2">
        <v>3.059653</v>
      </c>
      <c r="CX24" s="2">
        <v>3.7783380000000002</v>
      </c>
      <c r="CY24" s="2">
        <v>17.353529999999999</v>
      </c>
    </row>
    <row r="25" spans="1:103" ht="15" customHeight="1" x14ac:dyDescent="0.2">
      <c r="A25" s="1">
        <f t="shared" si="0"/>
        <v>19</v>
      </c>
      <c r="B25" s="1" t="s">
        <v>63</v>
      </c>
      <c r="C25" s="1" t="s">
        <v>62</v>
      </c>
      <c r="D25" s="1" t="s">
        <v>34</v>
      </c>
      <c r="E25" s="1" t="s">
        <v>35</v>
      </c>
      <c r="F25" s="2">
        <v>7441.3050000000003</v>
      </c>
      <c r="G25" s="2">
        <v>43.486199999999997</v>
      </c>
      <c r="H25" s="2">
        <v>3235.9409999999998</v>
      </c>
      <c r="I25" s="3">
        <v>135.65</v>
      </c>
      <c r="J25" s="3">
        <v>0</v>
      </c>
      <c r="K25" s="2">
        <v>3.317361</v>
      </c>
      <c r="L25" s="2">
        <v>3.4353120000000001</v>
      </c>
      <c r="M25" s="2">
        <v>3.656469</v>
      </c>
      <c r="N25" s="2">
        <v>3.7633619999999999</v>
      </c>
      <c r="O25" s="2">
        <v>16.87189</v>
      </c>
      <c r="P25" s="2">
        <v>12.43355</v>
      </c>
      <c r="Q25" s="2">
        <v>15.605600000000001</v>
      </c>
      <c r="R25" s="2">
        <v>15.58479</v>
      </c>
      <c r="S25" s="2">
        <v>7.100028</v>
      </c>
      <c r="T25" s="2">
        <v>7.7503869999999999</v>
      </c>
      <c r="U25" s="2">
        <v>7.1447909999999997</v>
      </c>
      <c r="V25" s="2">
        <v>6.8735580000000001</v>
      </c>
      <c r="W25" s="2">
        <v>1.523644</v>
      </c>
      <c r="X25" s="2">
        <v>1.424075</v>
      </c>
      <c r="Y25" s="2">
        <v>1.389856</v>
      </c>
      <c r="Z25" s="2">
        <v>1.316926</v>
      </c>
      <c r="AA25" s="2">
        <v>4.8533090000000003</v>
      </c>
      <c r="AB25" s="2">
        <v>7.6534680000000002</v>
      </c>
      <c r="AC25" s="2">
        <v>5.5693409999999997</v>
      </c>
      <c r="AD25" s="2">
        <v>5.8494460000000004</v>
      </c>
      <c r="AE25" s="2">
        <v>-14.084210000000001</v>
      </c>
      <c r="AF25" s="2">
        <v>-5.1968889999999996</v>
      </c>
      <c r="AG25" s="2">
        <v>-3.2054840000000002</v>
      </c>
      <c r="AH25" s="2">
        <v>-27.783480000000001</v>
      </c>
      <c r="AI25" s="2">
        <v>-11.10731</v>
      </c>
      <c r="AJ25" s="2">
        <v>-7.3236790000000003</v>
      </c>
      <c r="AK25" s="3" t="e">
        <v>#N/A</v>
      </c>
      <c r="AL25" s="3" t="e">
        <v>#N/A</v>
      </c>
      <c r="AM25" s="2">
        <v>18.472529999999999</v>
      </c>
      <c r="AN25" s="2">
        <v>12.036239999999999</v>
      </c>
      <c r="AO25" s="2">
        <v>12.24625</v>
      </c>
      <c r="AP25" s="2">
        <v>13.33253</v>
      </c>
      <c r="AQ25" s="2">
        <v>2.5401349999999998</v>
      </c>
      <c r="AR25" s="2">
        <v>3.821504</v>
      </c>
      <c r="AS25" s="2">
        <v>3.8018869999999998</v>
      </c>
      <c r="AT25" s="2">
        <v>3.8650869999999999</v>
      </c>
      <c r="AU25" s="1" t="s">
        <v>5</v>
      </c>
      <c r="AV25" s="3">
        <v>1.388889</v>
      </c>
      <c r="AW25" s="3">
        <v>178.85</v>
      </c>
      <c r="AX25" s="2">
        <v>31.846679999999999</v>
      </c>
      <c r="AY25" s="2">
        <v>11.45349</v>
      </c>
      <c r="AZ25" s="2" t="e">
        <v>#N/A</v>
      </c>
      <c r="BA25" s="2">
        <v>-26.11656</v>
      </c>
      <c r="BB25" s="2">
        <v>-21.08784</v>
      </c>
      <c r="BC25" s="3">
        <v>112.05</v>
      </c>
      <c r="BD25" s="2">
        <v>21.06202</v>
      </c>
      <c r="BE25" s="3">
        <v>191.1</v>
      </c>
      <c r="BF25" s="2">
        <v>-29.01623</v>
      </c>
      <c r="BG25" s="2">
        <v>54.966119999999997</v>
      </c>
      <c r="BH25" s="2">
        <v>44.317779999999999</v>
      </c>
      <c r="BI25" s="2">
        <v>51.306359999999998</v>
      </c>
      <c r="BJ25" s="2">
        <v>49.551169999999999</v>
      </c>
      <c r="BK25" s="2">
        <v>9</v>
      </c>
      <c r="BL25" s="2">
        <v>8</v>
      </c>
      <c r="BM25" s="4">
        <v>9</v>
      </c>
      <c r="BN25" s="4">
        <v>1</v>
      </c>
      <c r="BO25" s="4">
        <v>1</v>
      </c>
      <c r="BP25" s="4">
        <v>7</v>
      </c>
      <c r="BQ25" s="2">
        <v>11.11111</v>
      </c>
      <c r="BR25" s="4">
        <v>6</v>
      </c>
      <c r="BS25" s="4">
        <v>0</v>
      </c>
      <c r="BT25" s="4">
        <v>9</v>
      </c>
      <c r="BU25" s="2">
        <v>66.666669999999996</v>
      </c>
      <c r="BV25" s="2">
        <v>7.3755600000000001</v>
      </c>
      <c r="BW25" s="2">
        <v>54.856650000000002</v>
      </c>
      <c r="BX25" s="3">
        <v>8.5037390000000004E-2</v>
      </c>
      <c r="BY25" s="3">
        <v>0.1550175</v>
      </c>
      <c r="BZ25" s="2">
        <v>0.67201699999999998</v>
      </c>
      <c r="CA25" s="3">
        <v>0.1550175</v>
      </c>
      <c r="CB25" s="3">
        <v>10.23638</v>
      </c>
      <c r="CC25" s="3">
        <v>10.56574</v>
      </c>
      <c r="CD25" s="2">
        <v>3.2174939999999999</v>
      </c>
      <c r="CE25" s="3">
        <v>1365.819</v>
      </c>
      <c r="CF25" s="3">
        <v>1368.2860000000001</v>
      </c>
      <c r="CG25" s="2">
        <v>0.18066170000000001</v>
      </c>
      <c r="CH25" s="3">
        <v>190.185</v>
      </c>
      <c r="CI25" s="2">
        <v>-5.9599820000000001</v>
      </c>
      <c r="CJ25" s="3">
        <v>12319.65</v>
      </c>
      <c r="CK25" s="3">
        <v>15395.97</v>
      </c>
      <c r="CL25" s="2">
        <v>24.970780000000001</v>
      </c>
      <c r="CM25" s="3">
        <v>144.952</v>
      </c>
      <c r="CN25" s="3">
        <v>124.45</v>
      </c>
      <c r="CO25" s="3">
        <v>129.74809999999999</v>
      </c>
      <c r="CP25" s="2">
        <v>-6.4172979999999997</v>
      </c>
      <c r="CQ25" s="2">
        <v>8.9995860000000008</v>
      </c>
      <c r="CR25" s="2">
        <v>4.5487640000000003</v>
      </c>
      <c r="CS25" s="2">
        <v>-14.143990000000001</v>
      </c>
      <c r="CT25" s="2">
        <v>12.315440000000001</v>
      </c>
      <c r="CU25" s="3">
        <v>0.16550110000000001</v>
      </c>
      <c r="CV25" s="2" t="e">
        <v>#N/A</v>
      </c>
      <c r="CW25" s="2" t="e">
        <v>#N/A</v>
      </c>
      <c r="CX25" s="2" t="e">
        <v>#N/A</v>
      </c>
      <c r="CY25" s="2">
        <v>17.989899999999999</v>
      </c>
    </row>
    <row r="26" spans="1:103" ht="15" customHeight="1" x14ac:dyDescent="0.2">
      <c r="A26" s="1">
        <f t="shared" si="0"/>
        <v>20</v>
      </c>
      <c r="B26" s="1" t="s">
        <v>65</v>
      </c>
      <c r="C26" s="1" t="s">
        <v>64</v>
      </c>
      <c r="D26" s="1" t="s">
        <v>28</v>
      </c>
      <c r="E26" s="1" t="s">
        <v>29</v>
      </c>
      <c r="F26" s="2">
        <v>29291.46</v>
      </c>
      <c r="G26" s="2">
        <v>99.017099999999999</v>
      </c>
      <c r="H26" s="2">
        <v>29003.55</v>
      </c>
      <c r="I26" s="3">
        <v>65.02</v>
      </c>
      <c r="J26" s="3">
        <v>0</v>
      </c>
      <c r="K26" s="2">
        <v>1.1381110000000001</v>
      </c>
      <c r="L26" s="2">
        <v>1.7840659999999999</v>
      </c>
      <c r="M26" s="2">
        <v>2.1436039999999998</v>
      </c>
      <c r="N26" s="2">
        <v>2.5153629999999998</v>
      </c>
      <c r="O26" s="2">
        <v>39.406059999999997</v>
      </c>
      <c r="P26" s="2">
        <v>27.091660000000001</v>
      </c>
      <c r="Q26" s="2">
        <v>22.331140000000001</v>
      </c>
      <c r="R26" s="2">
        <v>19.408950000000001</v>
      </c>
      <c r="S26" s="2">
        <v>14.806850000000001</v>
      </c>
      <c r="T26" s="2">
        <v>15.201180000000001</v>
      </c>
      <c r="U26" s="2">
        <v>12.771520000000001</v>
      </c>
      <c r="V26" s="2">
        <v>11.24011</v>
      </c>
      <c r="W26" s="2">
        <v>6.3913339999999996</v>
      </c>
      <c r="X26" s="2">
        <v>5.938663</v>
      </c>
      <c r="Y26" s="2">
        <v>5.2414630000000004</v>
      </c>
      <c r="Z26" s="2">
        <v>4.5468529999999996</v>
      </c>
      <c r="AA26" s="2">
        <v>21.16864</v>
      </c>
      <c r="AB26" s="2">
        <v>17.279959999999999</v>
      </c>
      <c r="AC26" s="2">
        <v>14.87978</v>
      </c>
      <c r="AD26" s="2">
        <v>13.332090000000001</v>
      </c>
      <c r="AE26" s="2">
        <v>3.550379</v>
      </c>
      <c r="AF26" s="2">
        <v>4.3433739999999998</v>
      </c>
      <c r="AG26" s="2">
        <v>4.8639039999999998</v>
      </c>
      <c r="AH26" s="2">
        <v>3.8081969999999998</v>
      </c>
      <c r="AI26" s="2">
        <v>4.5545080000000002</v>
      </c>
      <c r="AJ26" s="2">
        <v>4.9591029999999998</v>
      </c>
      <c r="AK26" s="3">
        <v>1.126007</v>
      </c>
      <c r="AL26" s="3">
        <v>0.92429340000000004</v>
      </c>
      <c r="AM26" s="2">
        <v>36.558999999999997</v>
      </c>
      <c r="AN26" s="2">
        <v>37.904200000000003</v>
      </c>
      <c r="AO26" s="2">
        <v>39.118180000000002</v>
      </c>
      <c r="AP26" s="2">
        <v>39.877299999999998</v>
      </c>
      <c r="AQ26" s="2">
        <v>1.4704269999999999</v>
      </c>
      <c r="AR26" s="2">
        <v>1.0291300000000001</v>
      </c>
      <c r="AS26" s="2">
        <v>0.59205129999999995</v>
      </c>
      <c r="AT26" s="2">
        <v>0.21577479999999999</v>
      </c>
      <c r="AU26" s="1" t="s">
        <v>49</v>
      </c>
      <c r="AV26" s="3">
        <v>1.5208330000000001</v>
      </c>
      <c r="AW26" s="3">
        <v>72.995980000000003</v>
      </c>
      <c r="AX26" s="2">
        <v>12.266970000000001</v>
      </c>
      <c r="AY26" s="2">
        <v>21.920629999999999</v>
      </c>
      <c r="AZ26" s="2">
        <v>24.959779999999999</v>
      </c>
      <c r="BA26" s="2">
        <v>22.44821</v>
      </c>
      <c r="BB26" s="2">
        <v>33.923780000000001</v>
      </c>
      <c r="BC26" s="3">
        <v>48.36</v>
      </c>
      <c r="BD26" s="2">
        <v>34.449950000000001</v>
      </c>
      <c r="BE26" s="3">
        <v>70.22</v>
      </c>
      <c r="BF26" s="2">
        <v>-7.4053050000000002</v>
      </c>
      <c r="BG26" s="2">
        <v>30.160869999999999</v>
      </c>
      <c r="BH26" s="2">
        <v>44.477069999999998</v>
      </c>
      <c r="BI26" s="2">
        <v>46.566139999999997</v>
      </c>
      <c r="BJ26" s="2">
        <v>47.525129999999997</v>
      </c>
      <c r="BK26" s="2">
        <v>21</v>
      </c>
      <c r="BL26" s="2">
        <v>20</v>
      </c>
      <c r="BM26" s="4">
        <v>24</v>
      </c>
      <c r="BN26" s="4">
        <v>2</v>
      </c>
      <c r="BO26" s="4">
        <v>0</v>
      </c>
      <c r="BP26" s="4">
        <v>23</v>
      </c>
      <c r="BQ26" s="2">
        <v>8</v>
      </c>
      <c r="BR26" s="4">
        <v>14</v>
      </c>
      <c r="BS26" s="4">
        <v>1</v>
      </c>
      <c r="BT26" s="4">
        <v>24</v>
      </c>
      <c r="BU26" s="2">
        <v>58.333329999999997</v>
      </c>
      <c r="BV26" s="2">
        <v>7.40883</v>
      </c>
      <c r="BW26" s="2">
        <v>450.49919999999997</v>
      </c>
      <c r="BX26" s="3">
        <v>0.72869649999999997</v>
      </c>
      <c r="BY26" s="3">
        <v>0.16175310000000001</v>
      </c>
      <c r="BZ26" s="2">
        <v>1.13401</v>
      </c>
      <c r="CA26" s="3">
        <v>0.16175310000000001</v>
      </c>
      <c r="CB26" s="3">
        <v>2.371632</v>
      </c>
      <c r="CC26" s="3">
        <v>2.42136</v>
      </c>
      <c r="CD26" s="2">
        <v>2.0968079999999998</v>
      </c>
      <c r="CE26" s="3">
        <v>1447.7349999999999</v>
      </c>
      <c r="CF26" s="3">
        <v>1445.1849999999999</v>
      </c>
      <c r="CG26" s="2">
        <v>-0.17610790000000001</v>
      </c>
      <c r="CH26" s="3">
        <v>71.780320000000003</v>
      </c>
      <c r="CI26" s="2">
        <v>1.6935830000000001</v>
      </c>
      <c r="CJ26" s="3">
        <v>5485.3950000000004</v>
      </c>
      <c r="CK26" s="3">
        <v>5452.1329999999998</v>
      </c>
      <c r="CL26" s="2">
        <v>-0.60636999999999996</v>
      </c>
      <c r="CM26" s="3">
        <v>62.741880000000002</v>
      </c>
      <c r="CN26" s="3">
        <v>59.516080000000002</v>
      </c>
      <c r="CO26" s="3">
        <v>63.251539999999999</v>
      </c>
      <c r="CP26" s="2">
        <v>3.6309360000000002</v>
      </c>
      <c r="CQ26" s="2">
        <v>9.2477800000000006</v>
      </c>
      <c r="CR26" s="2">
        <v>2.7959109999999998</v>
      </c>
      <c r="CS26" s="2">
        <v>-5.1413830000000003</v>
      </c>
      <c r="CT26" s="2">
        <v>40.22045</v>
      </c>
      <c r="CU26" s="3">
        <v>0.13731119999999999</v>
      </c>
      <c r="CV26" s="2">
        <v>14.015359999999999</v>
      </c>
      <c r="CW26" s="2">
        <v>-9.8066340000000002E-2</v>
      </c>
      <c r="CX26" s="2">
        <v>4.4264559999999999</v>
      </c>
      <c r="CY26" s="2">
        <v>18.242419999999999</v>
      </c>
    </row>
    <row r="27" spans="1:103" ht="15" customHeight="1" x14ac:dyDescent="0.2">
      <c r="A27" s="1">
        <f t="shared" si="0"/>
        <v>21</v>
      </c>
      <c r="B27" s="1" t="s">
        <v>67</v>
      </c>
      <c r="C27" s="1" t="s">
        <v>66</v>
      </c>
      <c r="D27" s="1" t="s">
        <v>68</v>
      </c>
      <c r="E27" s="1" t="s">
        <v>69</v>
      </c>
      <c r="F27" s="2">
        <v>25659.19</v>
      </c>
      <c r="G27" s="2">
        <v>77.522800000000004</v>
      </c>
      <c r="H27" s="2">
        <v>19891.72</v>
      </c>
      <c r="I27" s="3">
        <v>36.32</v>
      </c>
      <c r="J27" s="3">
        <v>0</v>
      </c>
      <c r="K27" s="2">
        <v>0.13766519999999999</v>
      </c>
      <c r="L27" s="2">
        <v>0.16519819999999999</v>
      </c>
      <c r="M27" s="2">
        <v>0.16519819999999999</v>
      </c>
      <c r="N27" s="2">
        <v>0.19273129999999999</v>
      </c>
      <c r="O27" s="2" t="e">
        <v>#N/A</v>
      </c>
      <c r="P27" s="2" t="e">
        <v>#N/A</v>
      </c>
      <c r="Q27" s="2" t="e">
        <v>#N/A</v>
      </c>
      <c r="R27" s="2" t="e">
        <v>#N/A</v>
      </c>
      <c r="S27" s="2">
        <v>15.848750000000001</v>
      </c>
      <c r="T27" s="2">
        <v>15.211959999999999</v>
      </c>
      <c r="U27" s="2">
        <v>14.192769999999999</v>
      </c>
      <c r="V27" s="2">
        <v>13.10919</v>
      </c>
      <c r="W27" s="2">
        <v>1.8042720000000001</v>
      </c>
      <c r="X27" s="2">
        <v>1.8385990000000001</v>
      </c>
      <c r="Y27" s="2">
        <v>1.8628769999999999</v>
      </c>
      <c r="Z27" s="2">
        <v>1.8861870000000001</v>
      </c>
      <c r="AA27" s="2">
        <v>13.226459999999999</v>
      </c>
      <c r="AB27" s="2">
        <v>15.40973</v>
      </c>
      <c r="AC27" s="2">
        <v>13.603</v>
      </c>
      <c r="AD27" s="2">
        <v>12.438359999999999</v>
      </c>
      <c r="AE27" s="2">
        <v>0.59276600000000002</v>
      </c>
      <c r="AF27" s="2">
        <v>1.1406620000000001</v>
      </c>
      <c r="AG27" s="2">
        <v>1.9167890000000001</v>
      </c>
      <c r="AH27" s="2">
        <v>1.0574209999999999</v>
      </c>
      <c r="AI27" s="2">
        <v>2.0265490000000002</v>
      </c>
      <c r="AJ27" s="2">
        <v>3.3755820000000001</v>
      </c>
      <c r="AK27" s="3" t="e">
        <v>#N/A</v>
      </c>
      <c r="AL27" s="3" t="e">
        <v>#N/A</v>
      </c>
      <c r="AM27" s="2">
        <v>75.164330000000007</v>
      </c>
      <c r="AN27" s="2">
        <v>74.183940000000007</v>
      </c>
      <c r="AO27" s="2">
        <v>75.346000000000004</v>
      </c>
      <c r="AP27" s="2">
        <v>76.817310000000006</v>
      </c>
      <c r="AQ27" s="2">
        <v>7.5429659999999998</v>
      </c>
      <c r="AR27" s="2">
        <v>6.6844799999999998</v>
      </c>
      <c r="AS27" s="2">
        <v>6.2042339999999996</v>
      </c>
      <c r="AT27" s="2">
        <v>5.6652709999999997</v>
      </c>
      <c r="AU27" s="1" t="s">
        <v>5</v>
      </c>
      <c r="AV27" s="3">
        <v>1.35</v>
      </c>
      <c r="AW27" s="3">
        <v>42.7</v>
      </c>
      <c r="AX27" s="2">
        <v>17.566089999999999</v>
      </c>
      <c r="AY27" s="2">
        <v>-1.7717780000000001</v>
      </c>
      <c r="AZ27" s="2">
        <v>2.37</v>
      </c>
      <c r="BA27" s="2">
        <v>8.1274149999999992</v>
      </c>
      <c r="BB27" s="2">
        <v>17.46442</v>
      </c>
      <c r="BC27" s="3">
        <v>26.02</v>
      </c>
      <c r="BD27" s="2">
        <v>39.58493</v>
      </c>
      <c r="BE27" s="3">
        <v>38.97</v>
      </c>
      <c r="BF27" s="2">
        <v>-6.800109</v>
      </c>
      <c r="BG27" s="2" t="e">
        <v>#N/A</v>
      </c>
      <c r="BH27" s="2" t="e">
        <v>#N/A</v>
      </c>
      <c r="BI27" s="2" t="e">
        <v>#N/A</v>
      </c>
      <c r="BJ27" s="2" t="e">
        <v>#N/A</v>
      </c>
      <c r="BK27" s="2">
        <v>25</v>
      </c>
      <c r="BL27" s="2">
        <v>25</v>
      </c>
      <c r="BM27" s="4">
        <v>30</v>
      </c>
      <c r="BN27" s="4">
        <v>0</v>
      </c>
      <c r="BO27" s="4">
        <v>2</v>
      </c>
      <c r="BP27" s="4">
        <v>28</v>
      </c>
      <c r="BQ27" s="2">
        <v>0</v>
      </c>
      <c r="BR27" s="4">
        <v>21</v>
      </c>
      <c r="BS27" s="4">
        <v>1</v>
      </c>
      <c r="BT27" s="4">
        <v>30</v>
      </c>
      <c r="BU27" s="2">
        <v>70</v>
      </c>
      <c r="BV27" s="2">
        <v>9.5786300000000004</v>
      </c>
      <c r="BW27" s="2">
        <v>706.47540000000004</v>
      </c>
      <c r="BX27" s="3">
        <v>1.2684789999999999</v>
      </c>
      <c r="BY27" s="3">
        <v>0.1795504</v>
      </c>
      <c r="BZ27" s="2">
        <v>1.15903</v>
      </c>
      <c r="CA27" s="3">
        <v>0.1795504</v>
      </c>
      <c r="CB27" s="3">
        <v>-0.32932309999999998</v>
      </c>
      <c r="CC27" s="3">
        <v>-0.37405359999999999</v>
      </c>
      <c r="CD27" s="2">
        <v>13.58254</v>
      </c>
      <c r="CE27" s="3">
        <v>409.49650000000003</v>
      </c>
      <c r="CF27" s="3">
        <v>394.78269999999998</v>
      </c>
      <c r="CG27" s="2">
        <v>-3.5931470000000001</v>
      </c>
      <c r="CH27" s="3">
        <v>48.530369999999998</v>
      </c>
      <c r="CI27" s="2">
        <v>-12.013859999999999</v>
      </c>
      <c r="CJ27" s="3">
        <v>4132.777</v>
      </c>
      <c r="CK27" s="3">
        <v>4072.6779999999999</v>
      </c>
      <c r="CL27" s="2">
        <v>-1.4541919999999999</v>
      </c>
      <c r="CM27" s="3">
        <v>35.065530000000003</v>
      </c>
      <c r="CN27" s="3">
        <v>31.461770000000001</v>
      </c>
      <c r="CO27" s="3">
        <v>34.098849999999999</v>
      </c>
      <c r="CP27" s="2">
        <v>3.577518</v>
      </c>
      <c r="CQ27" s="2">
        <v>15.441700000000001</v>
      </c>
      <c r="CR27" s="2">
        <v>6.5138699999999998</v>
      </c>
      <c r="CS27" s="2">
        <v>-10.27722</v>
      </c>
      <c r="CT27" s="2">
        <v>48.030659999999997</v>
      </c>
      <c r="CU27" s="3">
        <v>0.18718699999999999</v>
      </c>
      <c r="CV27" s="2">
        <v>85.901979999999995</v>
      </c>
      <c r="CW27" s="2">
        <v>-2.5040469999999999</v>
      </c>
      <c r="CX27" s="2">
        <v>71.864149999999995</v>
      </c>
      <c r="CY27" s="2">
        <v>18.353529999999999</v>
      </c>
    </row>
    <row r="28" spans="1:103" ht="15" customHeight="1" x14ac:dyDescent="0.2">
      <c r="A28" s="1">
        <f t="shared" si="0"/>
        <v>22</v>
      </c>
      <c r="B28" s="1" t="s">
        <v>71</v>
      </c>
      <c r="C28" s="1" t="s">
        <v>70</v>
      </c>
      <c r="D28" s="1" t="s">
        <v>72</v>
      </c>
      <c r="E28" s="1" t="s">
        <v>73</v>
      </c>
      <c r="F28" s="2">
        <v>2563.1669999999999</v>
      </c>
      <c r="G28" s="2">
        <v>67.235200000000006</v>
      </c>
      <c r="H28" s="2">
        <v>1723.3510000000001</v>
      </c>
      <c r="I28" s="3">
        <v>10.28</v>
      </c>
      <c r="J28" s="3">
        <v>0</v>
      </c>
      <c r="K28" s="2">
        <v>5.836576</v>
      </c>
      <c r="L28" s="2">
        <v>5.836576</v>
      </c>
      <c r="M28" s="2">
        <v>5.836576</v>
      </c>
      <c r="N28" s="2">
        <v>5.836576</v>
      </c>
      <c r="O28" s="2">
        <v>4.8037380000000001</v>
      </c>
      <c r="P28" s="2">
        <v>6.4609139999999998</v>
      </c>
      <c r="Q28" s="2">
        <v>7.391972</v>
      </c>
      <c r="R28" s="2">
        <v>7.1388879999999997</v>
      </c>
      <c r="S28" s="2">
        <v>2.225997</v>
      </c>
      <c r="T28" s="2">
        <v>3.9345409999999998</v>
      </c>
      <c r="U28" s="2">
        <v>3.9917940000000001</v>
      </c>
      <c r="V28" s="2">
        <v>3.7687729999999999</v>
      </c>
      <c r="W28" s="2">
        <v>1.0786990000000001</v>
      </c>
      <c r="X28" s="2">
        <v>0.94262950000000001</v>
      </c>
      <c r="Y28" s="2">
        <v>0.88758919999999997</v>
      </c>
      <c r="Z28" s="2">
        <v>0.82561019999999996</v>
      </c>
      <c r="AA28" s="2">
        <v>2.7599200000000002</v>
      </c>
      <c r="AB28" s="2">
        <v>4.660501</v>
      </c>
      <c r="AC28" s="2">
        <v>5.1375489999999999</v>
      </c>
      <c r="AD28" s="2">
        <v>4.8376469999999996</v>
      </c>
      <c r="AE28" s="2">
        <v>10.06752</v>
      </c>
      <c r="AF28" s="2">
        <v>12.70646</v>
      </c>
      <c r="AG28" s="2">
        <v>11.423920000000001</v>
      </c>
      <c r="AH28" s="2">
        <v>11.528650000000001</v>
      </c>
      <c r="AI28" s="2">
        <v>13.697929999999999</v>
      </c>
      <c r="AJ28" s="2">
        <v>11.894130000000001</v>
      </c>
      <c r="AK28" s="3" t="e">
        <v>#N/A</v>
      </c>
      <c r="AL28" s="3" t="e">
        <v>#N/A</v>
      </c>
      <c r="AM28" s="2">
        <v>14.686920000000001</v>
      </c>
      <c r="AN28" s="2">
        <v>11.3727</v>
      </c>
      <c r="AO28" s="2">
        <v>10.415469999999999</v>
      </c>
      <c r="AP28" s="2">
        <v>10.384219999999999</v>
      </c>
      <c r="AQ28" s="2">
        <v>0.34482760000000001</v>
      </c>
      <c r="AR28" s="2">
        <v>0.49865949999999998</v>
      </c>
      <c r="AS28" s="2">
        <v>0.28892879999999999</v>
      </c>
      <c r="AT28" s="2">
        <v>0.14899029999999999</v>
      </c>
      <c r="AU28" s="1" t="s">
        <v>5</v>
      </c>
      <c r="AV28" s="3">
        <v>1.2222219999999999</v>
      </c>
      <c r="AW28" s="3">
        <v>14</v>
      </c>
      <c r="AX28" s="2">
        <v>36.186779999999999</v>
      </c>
      <c r="AY28" s="2">
        <v>14.58972</v>
      </c>
      <c r="AZ28" s="2">
        <v>-13.1478</v>
      </c>
      <c r="BA28" s="2">
        <v>12.84304</v>
      </c>
      <c r="BB28" s="2">
        <v>11.231339999999999</v>
      </c>
      <c r="BC28" s="3">
        <v>8.67</v>
      </c>
      <c r="BD28" s="2">
        <v>18.569780000000002</v>
      </c>
      <c r="BE28" s="3">
        <v>10.45</v>
      </c>
      <c r="BF28" s="2">
        <v>-1.6267959999999999</v>
      </c>
      <c r="BG28" s="2">
        <v>29.293669999999999</v>
      </c>
      <c r="BH28" s="2">
        <v>37.25517</v>
      </c>
      <c r="BI28" s="2">
        <v>43.411230000000003</v>
      </c>
      <c r="BJ28" s="2">
        <v>41.242310000000003</v>
      </c>
      <c r="BK28" s="2">
        <v>16</v>
      </c>
      <c r="BL28" s="2">
        <v>16</v>
      </c>
      <c r="BM28" s="4">
        <v>18</v>
      </c>
      <c r="BN28" s="4">
        <v>0</v>
      </c>
      <c r="BO28" s="4">
        <v>0</v>
      </c>
      <c r="BP28" s="4">
        <v>18</v>
      </c>
      <c r="BQ28" s="2">
        <v>0</v>
      </c>
      <c r="BR28" s="4">
        <v>16</v>
      </c>
      <c r="BS28" s="4">
        <v>1</v>
      </c>
      <c r="BT28" s="4">
        <v>18</v>
      </c>
      <c r="BU28" s="2">
        <v>88.888890000000004</v>
      </c>
      <c r="BV28" s="2">
        <v>8.9709000000000003</v>
      </c>
      <c r="BW28" s="2">
        <v>249.33539999999999</v>
      </c>
      <c r="BX28" s="3">
        <v>0.88177190000000005</v>
      </c>
      <c r="BY28" s="3">
        <v>0.35364899999999999</v>
      </c>
      <c r="BZ28" s="2">
        <v>1.4083300000000001</v>
      </c>
      <c r="CA28" s="3">
        <v>0.35364899999999999</v>
      </c>
      <c r="CB28" s="3">
        <v>1.60893</v>
      </c>
      <c r="CC28" s="3">
        <v>1.5951759999999999</v>
      </c>
      <c r="CD28" s="2">
        <v>-0.85483189999999998</v>
      </c>
      <c r="CE28" s="3">
        <v>608.16700000000003</v>
      </c>
      <c r="CF28" s="3">
        <v>576.75739999999996</v>
      </c>
      <c r="CG28" s="2">
        <v>-5.1646229999999997</v>
      </c>
      <c r="CH28" s="3">
        <v>13.50882</v>
      </c>
      <c r="CI28" s="2">
        <v>3.6359669999999999</v>
      </c>
      <c r="CJ28" s="3">
        <v>6783.1350000000002</v>
      </c>
      <c r="CK28" s="3">
        <v>6678.0720000000001</v>
      </c>
      <c r="CL28" s="2">
        <v>-1.5488919999999999</v>
      </c>
      <c r="CM28" s="3">
        <v>9.5542800000000003</v>
      </c>
      <c r="CN28" s="3">
        <v>9.6192569999999993</v>
      </c>
      <c r="CO28" s="3">
        <v>10.073309999999999</v>
      </c>
      <c r="CP28" s="2">
        <v>7.5957540000000003</v>
      </c>
      <c r="CQ28" s="2">
        <v>6.8689580000000001</v>
      </c>
      <c r="CR28" s="2">
        <v>2.0518779999999999</v>
      </c>
      <c r="CS28" s="2">
        <v>0.68007709999999999</v>
      </c>
      <c r="CT28" s="2">
        <v>6.8845219999999996</v>
      </c>
      <c r="CU28" s="3">
        <v>0.26859430000000001</v>
      </c>
      <c r="CV28" s="2">
        <v>1.818182</v>
      </c>
      <c r="CW28" s="2">
        <v>3.2123350000000002E-2</v>
      </c>
      <c r="CX28" s="2">
        <v>-0.82760549999999999</v>
      </c>
      <c r="CY28" s="2">
        <v>18.929290000000002</v>
      </c>
    </row>
    <row r="29" spans="1:103" ht="15" customHeight="1" x14ac:dyDescent="0.2">
      <c r="A29" s="1">
        <f t="shared" si="0"/>
        <v>23</v>
      </c>
      <c r="B29" s="1" t="s">
        <v>75</v>
      </c>
      <c r="C29" s="1" t="s">
        <v>74</v>
      </c>
      <c r="D29" s="1" t="s">
        <v>68</v>
      </c>
      <c r="E29" s="1" t="s">
        <v>69</v>
      </c>
      <c r="F29" s="2">
        <v>21264.43</v>
      </c>
      <c r="G29" s="2">
        <v>85.1922</v>
      </c>
      <c r="H29" s="2">
        <v>18115.63</v>
      </c>
      <c r="I29" s="3">
        <v>3.6819999999999999</v>
      </c>
      <c r="J29" s="3">
        <v>0</v>
      </c>
      <c r="K29" s="2">
        <v>8.1477459999999997</v>
      </c>
      <c r="L29" s="2">
        <v>8.1477459999999997</v>
      </c>
      <c r="M29" s="2">
        <v>8.1477459999999997</v>
      </c>
      <c r="N29" s="2">
        <v>8.1477459999999997</v>
      </c>
      <c r="O29" s="2">
        <v>11.15757</v>
      </c>
      <c r="P29" s="2">
        <v>11.54928</v>
      </c>
      <c r="Q29" s="2">
        <v>10.734579999999999</v>
      </c>
      <c r="R29" s="2">
        <v>10.839510000000001</v>
      </c>
      <c r="S29" s="2">
        <v>4.2860440000000004</v>
      </c>
      <c r="T29" s="2">
        <v>4.3617489999999997</v>
      </c>
      <c r="U29" s="2">
        <v>4.2328520000000003</v>
      </c>
      <c r="V29" s="2">
        <v>4.1656959999999996</v>
      </c>
      <c r="W29" s="2">
        <v>0.84243259999999998</v>
      </c>
      <c r="X29" s="2">
        <v>0.83511659999999999</v>
      </c>
      <c r="Y29" s="2">
        <v>0.83681819999999996</v>
      </c>
      <c r="Z29" s="2">
        <v>0.83893850000000003</v>
      </c>
      <c r="AA29" s="2">
        <v>1.907772</v>
      </c>
      <c r="AB29" s="2">
        <v>1.937602</v>
      </c>
      <c r="AC29" s="2">
        <v>1.9637</v>
      </c>
      <c r="AD29" s="2">
        <v>1.9374199999999999</v>
      </c>
      <c r="AE29" s="2">
        <v>6.4626380000000001</v>
      </c>
      <c r="AF29" s="2">
        <v>6.5722480000000001</v>
      </c>
      <c r="AG29" s="2">
        <v>6.6658970000000002</v>
      </c>
      <c r="AH29" s="2">
        <v>17.220980000000001</v>
      </c>
      <c r="AI29" s="2">
        <v>17.275739999999999</v>
      </c>
      <c r="AJ29" s="2">
        <v>17.357330000000001</v>
      </c>
      <c r="AK29" s="3">
        <v>1.0069870000000001</v>
      </c>
      <c r="AL29" s="3">
        <v>0.94895569999999996</v>
      </c>
      <c r="AM29" s="2">
        <v>32.136699999999998</v>
      </c>
      <c r="AN29" s="2">
        <v>31.762080000000001</v>
      </c>
      <c r="AO29" s="2">
        <v>31.968299999999999</v>
      </c>
      <c r="AP29" s="2">
        <v>31.811219999999999</v>
      </c>
      <c r="AQ29" s="2">
        <v>2.7649949999999999</v>
      </c>
      <c r="AR29" s="2">
        <v>2.724885</v>
      </c>
      <c r="AS29" s="2">
        <v>2.622538</v>
      </c>
      <c r="AT29" s="2">
        <v>2.5659040000000002</v>
      </c>
      <c r="AU29" s="1" t="s">
        <v>36</v>
      </c>
      <c r="AV29" s="3">
        <v>1.818182</v>
      </c>
      <c r="AW29" s="3">
        <v>4.3</v>
      </c>
      <c r="AX29" s="2">
        <v>16.784369999999999</v>
      </c>
      <c r="AY29" s="2">
        <v>7.2308960000000004</v>
      </c>
      <c r="AZ29" s="2">
        <v>5.861408</v>
      </c>
      <c r="BA29" s="2">
        <v>10.67027</v>
      </c>
      <c r="BB29" s="2">
        <v>8.774006</v>
      </c>
      <c r="BC29" s="3">
        <v>3.218</v>
      </c>
      <c r="BD29" s="2">
        <v>14.418889999999999</v>
      </c>
      <c r="BE29" s="3">
        <v>4.1470000000000002</v>
      </c>
      <c r="BF29" s="2">
        <v>-11.21292</v>
      </c>
      <c r="BG29" s="2">
        <v>90.909099999999995</v>
      </c>
      <c r="BH29" s="2">
        <v>95.725409999999997</v>
      </c>
      <c r="BI29" s="2">
        <v>90.793580000000006</v>
      </c>
      <c r="BJ29" s="2">
        <v>89.41968</v>
      </c>
      <c r="BK29" s="2">
        <v>18</v>
      </c>
      <c r="BL29" s="2">
        <v>16</v>
      </c>
      <c r="BM29" s="4">
        <v>22</v>
      </c>
      <c r="BN29" s="4">
        <v>0</v>
      </c>
      <c r="BO29" s="4">
        <v>4</v>
      </c>
      <c r="BP29" s="4">
        <v>21</v>
      </c>
      <c r="BQ29" s="2">
        <v>0</v>
      </c>
      <c r="BR29" s="4">
        <v>8</v>
      </c>
      <c r="BS29" s="4">
        <v>4</v>
      </c>
      <c r="BT29" s="4">
        <v>22</v>
      </c>
      <c r="BU29" s="2">
        <v>36.363639999999997</v>
      </c>
      <c r="BV29" s="2">
        <v>6.6002200000000002</v>
      </c>
      <c r="BW29" s="2">
        <v>5775.2380000000003</v>
      </c>
      <c r="BX29" s="3">
        <v>17.227969999999999</v>
      </c>
      <c r="BY29" s="3">
        <v>0.29830760000000001</v>
      </c>
      <c r="BZ29" s="2">
        <v>0.45551599999999998</v>
      </c>
      <c r="CA29" s="3">
        <v>0.29830760000000001</v>
      </c>
      <c r="CB29" s="3">
        <v>0.3147047</v>
      </c>
      <c r="CC29" s="3">
        <v>0.31339640000000002</v>
      </c>
      <c r="CD29" s="2">
        <v>-0.41571859999999999</v>
      </c>
      <c r="CE29" s="3">
        <v>4129.2979999999998</v>
      </c>
      <c r="CF29" s="3">
        <v>4160.8770000000004</v>
      </c>
      <c r="CG29" s="2">
        <v>0.76473950000000002</v>
      </c>
      <c r="CH29" s="3">
        <v>4.2013639999999999</v>
      </c>
      <c r="CI29" s="2">
        <v>2.3477320000000002</v>
      </c>
      <c r="CJ29" s="3">
        <v>40800.199999999997</v>
      </c>
      <c r="CK29" s="3">
        <v>40862.6</v>
      </c>
      <c r="CL29" s="2">
        <v>0.15294550000000001</v>
      </c>
      <c r="CM29" s="3">
        <v>3.8237860000000001</v>
      </c>
      <c r="CN29" s="3">
        <v>3.7898040000000002</v>
      </c>
      <c r="CO29" s="3">
        <v>3.845307</v>
      </c>
      <c r="CP29" s="2">
        <v>-3.7080109999999999</v>
      </c>
      <c r="CQ29" s="2">
        <v>-2.8445960000000001</v>
      </c>
      <c r="CR29" s="2">
        <v>-4.2469260000000002</v>
      </c>
      <c r="CS29" s="2">
        <v>-0.88869330000000002</v>
      </c>
      <c r="CT29" s="2">
        <v>59.590510000000002</v>
      </c>
      <c r="CU29" s="3">
        <v>0.28023569999999998</v>
      </c>
      <c r="CV29" s="2">
        <v>12.5</v>
      </c>
      <c r="CW29" s="2">
        <v>-1.6596679999999999</v>
      </c>
      <c r="CX29" s="2">
        <v>8.270721</v>
      </c>
      <c r="CY29" s="2">
        <v>19.535350000000001</v>
      </c>
    </row>
    <row r="30" spans="1:103" ht="15" customHeight="1" x14ac:dyDescent="0.2">
      <c r="A30" s="1">
        <f t="shared" si="0"/>
        <v>24</v>
      </c>
      <c r="B30" s="1" t="s">
        <v>77</v>
      </c>
      <c r="C30" s="1" t="s">
        <v>76</v>
      </c>
      <c r="D30" s="1" t="s">
        <v>34</v>
      </c>
      <c r="E30" s="1" t="s">
        <v>35</v>
      </c>
      <c r="F30" s="2">
        <v>2150.348</v>
      </c>
      <c r="G30" s="2">
        <v>55.443899999999999</v>
      </c>
      <c r="H30" s="2">
        <v>1192.2370000000001</v>
      </c>
      <c r="I30" s="3">
        <v>3.1480000000000001</v>
      </c>
      <c r="J30" s="3">
        <v>0</v>
      </c>
      <c r="K30" s="2">
        <v>3.6531129999999998</v>
      </c>
      <c r="L30" s="2">
        <v>4.3519690000000004</v>
      </c>
      <c r="M30" s="2">
        <v>4.4472680000000002</v>
      </c>
      <c r="N30" s="2">
        <v>4.7649299999999997</v>
      </c>
      <c r="O30" s="2">
        <v>18.51765</v>
      </c>
      <c r="P30" s="2">
        <v>14.27664</v>
      </c>
      <c r="Q30" s="2">
        <v>14.21219</v>
      </c>
      <c r="R30" s="2">
        <v>14.309089999999999</v>
      </c>
      <c r="S30" s="2">
        <v>6.1178530000000002</v>
      </c>
      <c r="T30" s="2">
        <v>7.0494729999999999</v>
      </c>
      <c r="U30" s="2">
        <v>6.9008760000000002</v>
      </c>
      <c r="V30" s="2">
        <v>6.9590459999999998</v>
      </c>
      <c r="W30" s="2">
        <v>3.8163999999999998</v>
      </c>
      <c r="X30" s="2">
        <v>3.0124399999999998</v>
      </c>
      <c r="Y30" s="2">
        <v>2.6233330000000001</v>
      </c>
      <c r="Z30" s="2">
        <v>2.127027</v>
      </c>
      <c r="AA30" s="2">
        <v>16.024989999999999</v>
      </c>
      <c r="AB30" s="2">
        <v>11.24286</v>
      </c>
      <c r="AC30" s="2">
        <v>7.4952379999999996</v>
      </c>
      <c r="AD30" s="2">
        <v>4.3420690000000004</v>
      </c>
      <c r="AE30" s="2">
        <v>0.1150033</v>
      </c>
      <c r="AF30" s="2">
        <v>-0.1795001</v>
      </c>
      <c r="AG30" s="2">
        <v>-0.13777919999999999</v>
      </c>
      <c r="AH30" s="2">
        <v>0.52084589999999997</v>
      </c>
      <c r="AI30" s="2">
        <v>-0.83707370000000003</v>
      </c>
      <c r="AJ30" s="2">
        <v>-0.66035820000000001</v>
      </c>
      <c r="AK30" s="3" t="e">
        <v>#N/A</v>
      </c>
      <c r="AL30" s="3" t="e">
        <v>#N/A</v>
      </c>
      <c r="AM30" s="2">
        <v>25.666440000000001</v>
      </c>
      <c r="AN30" s="2">
        <v>30.75468</v>
      </c>
      <c r="AO30" s="2">
        <v>31.510940000000002</v>
      </c>
      <c r="AP30" s="2">
        <v>30.899229999999999</v>
      </c>
      <c r="AQ30" s="2">
        <v>4.9866840000000003</v>
      </c>
      <c r="AR30" s="2">
        <v>5.4929420000000002</v>
      </c>
      <c r="AS30" s="2">
        <v>5.4210690000000001</v>
      </c>
      <c r="AT30" s="2">
        <v>5.5070899999999998</v>
      </c>
      <c r="AU30" s="1" t="s">
        <v>5</v>
      </c>
      <c r="AV30" s="3">
        <v>1.05</v>
      </c>
      <c r="AW30" s="3">
        <v>3.8050000000000002</v>
      </c>
      <c r="AX30" s="2">
        <v>20.8704</v>
      </c>
      <c r="AY30" s="2">
        <v>21.100480000000001</v>
      </c>
      <c r="AZ30" s="2" t="e">
        <v>#N/A</v>
      </c>
      <c r="BA30" s="2">
        <v>17.3751</v>
      </c>
      <c r="BB30" s="2">
        <v>21.076930000000001</v>
      </c>
      <c r="BC30" s="3">
        <v>2.5499999999999998</v>
      </c>
      <c r="BD30" s="2">
        <v>23.450980000000001</v>
      </c>
      <c r="BE30" s="3">
        <v>3.1760000000000002</v>
      </c>
      <c r="BF30" s="2">
        <v>-0.88161829999999997</v>
      </c>
      <c r="BG30" s="2">
        <v>66.351060000000004</v>
      </c>
      <c r="BH30" s="2">
        <v>60.320050000000002</v>
      </c>
      <c r="BI30" s="2">
        <v>66.401439999999994</v>
      </c>
      <c r="BJ30" s="2">
        <v>59.363439999999997</v>
      </c>
      <c r="BK30" s="2">
        <v>8</v>
      </c>
      <c r="BL30" s="2">
        <v>8</v>
      </c>
      <c r="BM30" s="4">
        <v>10</v>
      </c>
      <c r="BN30" s="4">
        <v>2</v>
      </c>
      <c r="BO30" s="4">
        <v>0</v>
      </c>
      <c r="BP30" s="4">
        <v>8</v>
      </c>
      <c r="BQ30" s="2">
        <v>20</v>
      </c>
      <c r="BR30" s="4">
        <v>10</v>
      </c>
      <c r="BS30" s="4">
        <v>0</v>
      </c>
      <c r="BT30" s="4">
        <v>10</v>
      </c>
      <c r="BU30" s="2">
        <v>100</v>
      </c>
      <c r="BV30" s="2">
        <v>8.0532599999999999</v>
      </c>
      <c r="BW30" s="2">
        <v>683.08389999999997</v>
      </c>
      <c r="BX30" s="3">
        <v>2.166957</v>
      </c>
      <c r="BY30" s="3">
        <v>0.3172314</v>
      </c>
      <c r="BZ30" s="2">
        <v>1.3389500000000001</v>
      </c>
      <c r="CA30" s="3">
        <v>0.3172314</v>
      </c>
      <c r="CB30" s="3">
        <v>0.30270720000000001</v>
      </c>
      <c r="CC30" s="3">
        <v>0.21833540000000001</v>
      </c>
      <c r="CD30" s="2">
        <v>-27.872420000000002</v>
      </c>
      <c r="CE30" s="3">
        <v>1230.598</v>
      </c>
      <c r="CF30" s="3">
        <v>1210.8920000000001</v>
      </c>
      <c r="CG30" s="2">
        <v>-1.601291</v>
      </c>
      <c r="CH30" s="3">
        <v>3.784249</v>
      </c>
      <c r="CI30" s="2">
        <v>0.54836269999999998</v>
      </c>
      <c r="CJ30" s="3">
        <v>5408.2070000000003</v>
      </c>
      <c r="CK30" s="3">
        <v>4748.34</v>
      </c>
      <c r="CL30" s="2">
        <v>-12.20121</v>
      </c>
      <c r="CM30" s="3">
        <v>2.9358010000000001</v>
      </c>
      <c r="CN30" s="3">
        <v>2.8822749999999999</v>
      </c>
      <c r="CO30" s="3">
        <v>3.0375380000000001</v>
      </c>
      <c r="CP30" s="2">
        <v>7.2279809999999998</v>
      </c>
      <c r="CQ30" s="2">
        <v>9.2192889999999998</v>
      </c>
      <c r="CR30" s="2">
        <v>3.6365509999999999</v>
      </c>
      <c r="CS30" s="2">
        <v>-1.823229</v>
      </c>
      <c r="CT30" s="2">
        <v>6.5815149999999996</v>
      </c>
      <c r="CU30" s="3">
        <v>0.30606739999999999</v>
      </c>
      <c r="CV30" s="2" t="e">
        <v>#N/A</v>
      </c>
      <c r="CW30" s="2" t="e">
        <v>#N/A</v>
      </c>
      <c r="CX30" s="2" t="e">
        <v>#N/A</v>
      </c>
      <c r="CY30" s="2">
        <v>19.676770000000001</v>
      </c>
    </row>
    <row r="31" spans="1:103" ht="15" customHeight="1" x14ac:dyDescent="0.2">
      <c r="A31" s="1">
        <f t="shared" si="0"/>
        <v>25</v>
      </c>
      <c r="B31" s="1" t="s">
        <v>79</v>
      </c>
      <c r="C31" s="1" t="s">
        <v>78</v>
      </c>
      <c r="D31" s="1" t="s">
        <v>80</v>
      </c>
      <c r="E31" s="1" t="s">
        <v>81</v>
      </c>
      <c r="F31" s="2">
        <v>1386.316</v>
      </c>
      <c r="G31" s="2">
        <v>45.000100000000003</v>
      </c>
      <c r="H31" s="2">
        <v>623.84360000000004</v>
      </c>
      <c r="I31" s="3">
        <v>6.29</v>
      </c>
      <c r="J31" s="3">
        <v>0</v>
      </c>
      <c r="K31" s="2">
        <v>0</v>
      </c>
      <c r="L31" s="2">
        <v>0</v>
      </c>
      <c r="M31" s="2">
        <v>0</v>
      </c>
      <c r="N31" s="2">
        <v>0</v>
      </c>
      <c r="O31" s="2">
        <v>12.58</v>
      </c>
      <c r="P31" s="2">
        <v>13.651300000000001</v>
      </c>
      <c r="Q31" s="2">
        <v>12.66991</v>
      </c>
      <c r="R31" s="2">
        <v>11.528320000000001</v>
      </c>
      <c r="S31" s="2">
        <v>8.5453320000000001</v>
      </c>
      <c r="T31" s="2">
        <v>8.0396129999999992</v>
      </c>
      <c r="U31" s="2">
        <v>7.6648160000000001</v>
      </c>
      <c r="V31" s="2">
        <v>7.2930060000000001</v>
      </c>
      <c r="W31" s="2">
        <v>3.355162</v>
      </c>
      <c r="X31" s="2">
        <v>2.7021890000000002</v>
      </c>
      <c r="Y31" s="2">
        <v>2.2794620000000001</v>
      </c>
      <c r="Z31" s="2">
        <v>1.9595020000000001</v>
      </c>
      <c r="AA31" s="2">
        <v>5.2877070000000002</v>
      </c>
      <c r="AB31" s="2">
        <v>6.9888890000000004</v>
      </c>
      <c r="AC31" s="2">
        <v>7.0335359999999998</v>
      </c>
      <c r="AD31" s="2">
        <v>6.836957</v>
      </c>
      <c r="AE31" s="2">
        <v>3.7607020000000002</v>
      </c>
      <c r="AF31" s="2">
        <v>4.4696170000000004</v>
      </c>
      <c r="AG31" s="2">
        <v>4.4491310000000004</v>
      </c>
      <c r="AH31" s="2">
        <v>10.35942</v>
      </c>
      <c r="AI31" s="2">
        <v>11.844340000000001</v>
      </c>
      <c r="AJ31" s="2">
        <v>11.75675</v>
      </c>
      <c r="AK31" s="3">
        <v>0.6554662</v>
      </c>
      <c r="AL31" s="3">
        <v>0.64029219999999998</v>
      </c>
      <c r="AM31" s="2">
        <v>25.46557</v>
      </c>
      <c r="AN31" s="2">
        <v>25.446400000000001</v>
      </c>
      <c r="AO31" s="2">
        <v>25.79618</v>
      </c>
      <c r="AP31" s="2">
        <v>26.24456</v>
      </c>
      <c r="AQ31" s="2">
        <v>6.2036199999999999</v>
      </c>
      <c r="AR31" s="2">
        <v>5.1210529999999999</v>
      </c>
      <c r="AS31" s="2">
        <v>4.7723979999999999</v>
      </c>
      <c r="AT31" s="2">
        <v>4.533099</v>
      </c>
      <c r="AU31" s="1" t="s">
        <v>36</v>
      </c>
      <c r="AV31" s="3">
        <v>1.6153850000000001</v>
      </c>
      <c r="AW31" s="3">
        <v>7.15</v>
      </c>
      <c r="AX31" s="2">
        <v>13.67249</v>
      </c>
      <c r="AY31" s="2">
        <v>19.794370000000001</v>
      </c>
      <c r="AZ31" s="2">
        <v>21.12379</v>
      </c>
      <c r="BA31" s="2">
        <v>26.763400000000001</v>
      </c>
      <c r="BB31" s="2">
        <v>37.396239999999999</v>
      </c>
      <c r="BC31" s="3">
        <v>4.5579999999999998</v>
      </c>
      <c r="BD31" s="2">
        <v>37.999119999999998</v>
      </c>
      <c r="BE31" s="3">
        <v>6.8949999999999996</v>
      </c>
      <c r="BF31" s="2">
        <v>-8.7744769999999992</v>
      </c>
      <c r="BG31" s="2">
        <v>2.301431</v>
      </c>
      <c r="BH31" s="2">
        <v>3.380843</v>
      </c>
      <c r="BI31" s="2">
        <v>10.3332</v>
      </c>
      <c r="BJ31" s="2">
        <v>30.757930000000002</v>
      </c>
      <c r="BK31" s="2">
        <v>9</v>
      </c>
      <c r="BL31" s="2">
        <v>9</v>
      </c>
      <c r="BM31" s="4">
        <v>13</v>
      </c>
      <c r="BN31" s="4">
        <v>1</v>
      </c>
      <c r="BO31" s="4">
        <v>0</v>
      </c>
      <c r="BP31" s="4">
        <v>12</v>
      </c>
      <c r="BQ31" s="2">
        <v>7.6923079999999997</v>
      </c>
      <c r="BR31" s="4">
        <v>6</v>
      </c>
      <c r="BS31" s="4">
        <v>1</v>
      </c>
      <c r="BT31" s="4">
        <v>13</v>
      </c>
      <c r="BU31" s="2">
        <v>46.153849999999998</v>
      </c>
      <c r="BV31" s="2">
        <v>11.3789</v>
      </c>
      <c r="BW31" s="2">
        <v>220.4</v>
      </c>
      <c r="BX31" s="3">
        <v>0.7948672</v>
      </c>
      <c r="BY31" s="3">
        <v>0.36064750000000001</v>
      </c>
      <c r="BZ31" s="2">
        <v>1.65798</v>
      </c>
      <c r="CA31" s="3">
        <v>0.36064750000000001</v>
      </c>
      <c r="CB31" s="3">
        <v>0.45307619999999998</v>
      </c>
      <c r="CC31" s="3">
        <v>0.4542851</v>
      </c>
      <c r="CD31" s="2">
        <v>0.26682620000000001</v>
      </c>
      <c r="CE31" s="3">
        <v>216.84100000000001</v>
      </c>
      <c r="CF31" s="3">
        <v>221.6412</v>
      </c>
      <c r="CG31" s="2">
        <v>2.2136930000000001</v>
      </c>
      <c r="CH31" s="3">
        <v>7.15</v>
      </c>
      <c r="CI31" s="2">
        <v>0</v>
      </c>
      <c r="CJ31" s="3">
        <v>1875.6959999999999</v>
      </c>
      <c r="CK31" s="3">
        <v>1868.2929999999999</v>
      </c>
      <c r="CL31" s="2">
        <v>-0.39469599999999999</v>
      </c>
      <c r="CM31" s="3">
        <v>5.9234850000000003</v>
      </c>
      <c r="CN31" s="3">
        <v>5.5588240000000004</v>
      </c>
      <c r="CO31" s="3">
        <v>5.7655760000000003</v>
      </c>
      <c r="CP31" s="2">
        <v>6.187487</v>
      </c>
      <c r="CQ31" s="2">
        <v>13.153420000000001</v>
      </c>
      <c r="CR31" s="2">
        <v>9.0957760000000007</v>
      </c>
      <c r="CS31" s="2">
        <v>-6.1561880000000002</v>
      </c>
      <c r="CT31" s="2">
        <v>3.4569290000000001</v>
      </c>
      <c r="CU31" s="3">
        <v>0.24936079999999999</v>
      </c>
      <c r="CV31" s="2" t="e">
        <v>#N/A</v>
      </c>
      <c r="CW31" s="2">
        <v>2.9592869999999998</v>
      </c>
      <c r="CX31" s="2">
        <v>5.4461769999999996</v>
      </c>
      <c r="CY31" s="2">
        <v>20.343440000000001</v>
      </c>
    </row>
    <row r="32" spans="1:103" ht="15" customHeight="1" x14ac:dyDescent="0.2">
      <c r="A32" s="1">
        <f t="shared" si="0"/>
        <v>26</v>
      </c>
      <c r="B32" s="1" t="s">
        <v>83</v>
      </c>
      <c r="C32" s="1" t="s">
        <v>82</v>
      </c>
      <c r="D32" s="1" t="s">
        <v>84</v>
      </c>
      <c r="E32" s="1" t="s">
        <v>85</v>
      </c>
      <c r="F32" s="2">
        <v>3688.8780000000002</v>
      </c>
      <c r="G32" s="2">
        <v>43.299700000000001</v>
      </c>
      <c r="H32" s="2">
        <v>1597.2729999999999</v>
      </c>
      <c r="I32" s="3">
        <v>19.2</v>
      </c>
      <c r="J32" s="3">
        <v>0</v>
      </c>
      <c r="K32" s="2">
        <v>3.6458330000000001</v>
      </c>
      <c r="L32" s="2">
        <v>2.7083330000000001</v>
      </c>
      <c r="M32" s="2">
        <v>2.9166669999999999</v>
      </c>
      <c r="N32" s="2">
        <v>3.3854169999999999</v>
      </c>
      <c r="O32" s="2">
        <v>13.95011</v>
      </c>
      <c r="P32" s="2">
        <v>18.285720000000001</v>
      </c>
      <c r="Q32" s="2">
        <v>16.991150000000001</v>
      </c>
      <c r="R32" s="2">
        <v>14.545450000000001</v>
      </c>
      <c r="S32" s="2">
        <v>8.1360039999999998</v>
      </c>
      <c r="T32" s="2">
        <v>11.37194</v>
      </c>
      <c r="U32" s="2">
        <v>10.27937</v>
      </c>
      <c r="V32" s="2">
        <v>9.2299860000000002</v>
      </c>
      <c r="W32" s="2">
        <v>2.2286709999999998</v>
      </c>
      <c r="X32" s="2">
        <v>2.25088</v>
      </c>
      <c r="Y32" s="2">
        <v>2.1670430000000001</v>
      </c>
      <c r="Z32" s="2">
        <v>2.0689660000000001</v>
      </c>
      <c r="AA32" s="2">
        <v>12.753270000000001</v>
      </c>
      <c r="AB32" s="2">
        <v>13.69952</v>
      </c>
      <c r="AC32" s="2">
        <v>13.18355</v>
      </c>
      <c r="AD32" s="2">
        <v>10.857939999999999</v>
      </c>
      <c r="AE32" s="2">
        <v>6.2607949999999999</v>
      </c>
      <c r="AF32" s="2">
        <v>5.3300039999999997</v>
      </c>
      <c r="AG32" s="2">
        <v>5.5560960000000001</v>
      </c>
      <c r="AH32" s="2">
        <v>8.270289</v>
      </c>
      <c r="AI32" s="2">
        <v>6.8618560000000004</v>
      </c>
      <c r="AJ32" s="2">
        <v>6.96211</v>
      </c>
      <c r="AK32" s="3" t="e">
        <v>#N/A</v>
      </c>
      <c r="AL32" s="3" t="e">
        <v>#N/A</v>
      </c>
      <c r="AM32" s="2">
        <v>21.431560000000001</v>
      </c>
      <c r="AN32" s="2">
        <v>20.974060000000001</v>
      </c>
      <c r="AO32" s="2">
        <v>21.843969999999999</v>
      </c>
      <c r="AP32" s="2">
        <v>22.891120000000001</v>
      </c>
      <c r="AQ32" s="2">
        <v>2.5880860000000001</v>
      </c>
      <c r="AR32" s="2">
        <v>2.7631269999999999</v>
      </c>
      <c r="AS32" s="2">
        <v>2.2947829999999998</v>
      </c>
      <c r="AT32" s="2">
        <v>1.864018</v>
      </c>
      <c r="AU32" s="1" t="s">
        <v>36</v>
      </c>
      <c r="AV32" s="3">
        <v>1.714286</v>
      </c>
      <c r="AW32" s="3">
        <v>19.95</v>
      </c>
      <c r="AX32" s="2">
        <v>3.90625</v>
      </c>
      <c r="AY32" s="2">
        <v>12.30949</v>
      </c>
      <c r="AZ32" s="2">
        <v>-0.47034189999999998</v>
      </c>
      <c r="BA32" s="2">
        <v>31.958770000000001</v>
      </c>
      <c r="BB32" s="2">
        <v>32.231400000000001</v>
      </c>
      <c r="BC32" s="3">
        <v>13.63</v>
      </c>
      <c r="BD32" s="2">
        <v>40.865740000000002</v>
      </c>
      <c r="BE32" s="3">
        <v>21.82</v>
      </c>
      <c r="BF32" s="2">
        <v>-12.00733</v>
      </c>
      <c r="BG32" s="2">
        <v>55.802410000000002</v>
      </c>
      <c r="BH32" s="2">
        <v>47.417140000000003</v>
      </c>
      <c r="BI32" s="2">
        <v>52.958109999999998</v>
      </c>
      <c r="BJ32" s="2">
        <v>46.732379999999999</v>
      </c>
      <c r="BK32" s="2">
        <v>7</v>
      </c>
      <c r="BL32" s="2">
        <v>14</v>
      </c>
      <c r="BM32" s="4">
        <v>14</v>
      </c>
      <c r="BN32" s="4">
        <v>1</v>
      </c>
      <c r="BO32" s="4">
        <v>3</v>
      </c>
      <c r="BP32" s="4">
        <v>10</v>
      </c>
      <c r="BQ32" s="2">
        <v>7.1428580000000004</v>
      </c>
      <c r="BR32" s="4">
        <v>5</v>
      </c>
      <c r="BS32" s="4">
        <v>1</v>
      </c>
      <c r="BT32" s="4">
        <v>14</v>
      </c>
      <c r="BU32" s="2">
        <v>35.714289999999998</v>
      </c>
      <c r="BV32" s="2">
        <v>9.4793599999999998</v>
      </c>
      <c r="BW32" s="2">
        <v>192.12909999999999</v>
      </c>
      <c r="BX32" s="3">
        <v>0.54123379999999999</v>
      </c>
      <c r="BY32" s="3">
        <v>0.28170319999999999</v>
      </c>
      <c r="BZ32" s="2">
        <v>1.0222800000000001</v>
      </c>
      <c r="CA32" s="3">
        <v>0.28170319999999999</v>
      </c>
      <c r="CB32" s="3">
        <v>0.96698680000000004</v>
      </c>
      <c r="CC32" s="3">
        <v>1.084578</v>
      </c>
      <c r="CD32" s="2">
        <v>12.16056</v>
      </c>
      <c r="CE32" s="3">
        <v>260.68470000000002</v>
      </c>
      <c r="CF32" s="3">
        <v>261.88159999999999</v>
      </c>
      <c r="CG32" s="2">
        <v>0.45915840000000002</v>
      </c>
      <c r="CH32" s="3">
        <v>20.662669999999999</v>
      </c>
      <c r="CI32" s="2">
        <v>-3.4490470000000002</v>
      </c>
      <c r="CJ32" s="3">
        <v>2092.069</v>
      </c>
      <c r="CK32" s="3">
        <v>2051.0619999999999</v>
      </c>
      <c r="CL32" s="2">
        <v>-1.9601230000000001</v>
      </c>
      <c r="CM32" s="3">
        <v>17.691839999999999</v>
      </c>
      <c r="CN32" s="3">
        <v>17.867059999999999</v>
      </c>
      <c r="CO32" s="3">
        <v>18.557310000000001</v>
      </c>
      <c r="CP32" s="2">
        <v>8.5246200000000005</v>
      </c>
      <c r="CQ32" s="2">
        <v>7.4603320000000002</v>
      </c>
      <c r="CR32" s="2">
        <v>3.4632800000000001</v>
      </c>
      <c r="CS32" s="2">
        <v>0.99040269999999997</v>
      </c>
      <c r="CT32" s="2">
        <v>6.9141149999999998</v>
      </c>
      <c r="CU32" s="3">
        <v>0.1874314</v>
      </c>
      <c r="CV32" s="2">
        <v>-19.441870000000002</v>
      </c>
      <c r="CW32" s="2">
        <v>-4.2084149999999996</v>
      </c>
      <c r="CX32" s="2">
        <v>-26.299790000000002</v>
      </c>
      <c r="CY32" s="2">
        <v>20.85859</v>
      </c>
    </row>
    <row r="33" spans="1:103" ht="15" customHeight="1" x14ac:dyDescent="0.2">
      <c r="A33" s="1">
        <f t="shared" si="0"/>
        <v>27</v>
      </c>
      <c r="B33" s="1" t="s">
        <v>87</v>
      </c>
      <c r="C33" s="1" t="s">
        <v>86</v>
      </c>
      <c r="D33" s="1" t="s">
        <v>34</v>
      </c>
      <c r="E33" s="1" t="s">
        <v>35</v>
      </c>
      <c r="F33" s="2">
        <v>8310.9879999999994</v>
      </c>
      <c r="G33" s="2">
        <v>69.720699999999994</v>
      </c>
      <c r="H33" s="2">
        <v>5794.4790000000003</v>
      </c>
      <c r="I33" s="3">
        <v>15.36</v>
      </c>
      <c r="J33" s="3">
        <v>0</v>
      </c>
      <c r="K33" s="2">
        <v>6.5104170000000003</v>
      </c>
      <c r="L33" s="2">
        <v>6.5104170000000003</v>
      </c>
      <c r="M33" s="2">
        <v>5.2083329999999997</v>
      </c>
      <c r="N33" s="2">
        <v>5.2083329999999997</v>
      </c>
      <c r="O33" s="2">
        <v>12.4878</v>
      </c>
      <c r="P33" s="2">
        <v>12.4878</v>
      </c>
      <c r="Q33" s="2">
        <v>16.640910000000002</v>
      </c>
      <c r="R33" s="2">
        <v>16</v>
      </c>
      <c r="S33" s="2">
        <v>9.0086929999999992</v>
      </c>
      <c r="T33" s="2">
        <v>9.0559949999999994</v>
      </c>
      <c r="U33" s="2">
        <v>10.435309999999999</v>
      </c>
      <c r="V33" s="2">
        <v>10.18427</v>
      </c>
      <c r="W33" s="2">
        <v>1.7354160000000001</v>
      </c>
      <c r="X33" s="2">
        <v>1.693495</v>
      </c>
      <c r="Y33" s="2">
        <v>1.7064870000000001</v>
      </c>
      <c r="Z33" s="2">
        <v>1.6740649999999999</v>
      </c>
      <c r="AA33" s="2">
        <v>6.8908230000000001</v>
      </c>
      <c r="AB33" s="2">
        <v>6.900461</v>
      </c>
      <c r="AC33" s="2">
        <v>8.1595099999999992</v>
      </c>
      <c r="AD33" s="2">
        <v>7.547911</v>
      </c>
      <c r="AE33" s="2">
        <v>-1.298386</v>
      </c>
      <c r="AF33" s="2">
        <v>0.30685050000000003</v>
      </c>
      <c r="AG33" s="2">
        <v>-8.6120639999999998E-2</v>
      </c>
      <c r="AH33" s="2">
        <v>-2.1493139999999999</v>
      </c>
      <c r="AI33" s="2">
        <v>0.52494320000000005</v>
      </c>
      <c r="AJ33" s="2">
        <v>-0.1504288</v>
      </c>
      <c r="AK33" s="3" t="e">
        <v>#N/A</v>
      </c>
      <c r="AL33" s="3" t="e">
        <v>#N/A</v>
      </c>
      <c r="AM33" s="2">
        <v>73.99503</v>
      </c>
      <c r="AN33" s="2">
        <v>73.568629999999999</v>
      </c>
      <c r="AO33" s="2">
        <v>71.937110000000004</v>
      </c>
      <c r="AP33" s="2">
        <v>73.249340000000004</v>
      </c>
      <c r="AQ33" s="2">
        <v>3.1079810000000001</v>
      </c>
      <c r="AR33" s="2">
        <v>3.585331</v>
      </c>
      <c r="AS33" s="2">
        <v>4.3354480000000004</v>
      </c>
      <c r="AT33" s="2">
        <v>4.3537670000000004</v>
      </c>
      <c r="AU33" s="1" t="s">
        <v>36</v>
      </c>
      <c r="AV33" s="3">
        <v>2.058824</v>
      </c>
      <c r="AW33" s="3">
        <v>15.9</v>
      </c>
      <c r="AX33" s="2">
        <v>3.515625</v>
      </c>
      <c r="AY33" s="2">
        <v>13.56119</v>
      </c>
      <c r="AZ33" s="2">
        <v>-8.3000000000000007</v>
      </c>
      <c r="BA33" s="2">
        <v>-11.87608</v>
      </c>
      <c r="BB33" s="2">
        <v>-5.5350599999999996</v>
      </c>
      <c r="BC33" s="3">
        <v>14.404999999999999</v>
      </c>
      <c r="BD33" s="2">
        <v>6.6296460000000002</v>
      </c>
      <c r="BE33" s="3">
        <v>17.57</v>
      </c>
      <c r="BF33" s="2">
        <v>-12.57826</v>
      </c>
      <c r="BG33" s="2">
        <v>81.394409999999993</v>
      </c>
      <c r="BH33" s="2">
        <v>79.778819999999996</v>
      </c>
      <c r="BI33" s="2">
        <v>87.729820000000004</v>
      </c>
      <c r="BJ33" s="2">
        <v>85.379469999999998</v>
      </c>
      <c r="BK33" s="2">
        <v>14</v>
      </c>
      <c r="BL33" s="2">
        <v>13</v>
      </c>
      <c r="BM33" s="4">
        <v>17</v>
      </c>
      <c r="BN33" s="4">
        <v>3</v>
      </c>
      <c r="BO33" s="4">
        <v>0</v>
      </c>
      <c r="BP33" s="4">
        <v>15</v>
      </c>
      <c r="BQ33" s="2">
        <v>16.66667</v>
      </c>
      <c r="BR33" s="4">
        <v>5</v>
      </c>
      <c r="BS33" s="4">
        <v>5</v>
      </c>
      <c r="BT33" s="4">
        <v>17</v>
      </c>
      <c r="BU33" s="2">
        <v>29.411770000000001</v>
      </c>
      <c r="BV33" s="2">
        <v>5.0820800000000004</v>
      </c>
      <c r="BW33" s="2">
        <v>541.08000000000004</v>
      </c>
      <c r="BX33" s="3">
        <v>1.1237710000000001</v>
      </c>
      <c r="BY33" s="3">
        <v>0.2076904</v>
      </c>
      <c r="BZ33" s="2">
        <v>0.39573900000000001</v>
      </c>
      <c r="CA33" s="3">
        <v>0.2076904</v>
      </c>
      <c r="CB33" s="3">
        <v>1.2225330000000001</v>
      </c>
      <c r="CC33" s="3">
        <v>1.2325740000000001</v>
      </c>
      <c r="CD33" s="2">
        <v>0.82139969999999995</v>
      </c>
      <c r="CE33" s="3">
        <v>990.94100000000003</v>
      </c>
      <c r="CF33" s="3">
        <v>985.2518</v>
      </c>
      <c r="CG33" s="2">
        <v>-0.57412390000000002</v>
      </c>
      <c r="CH33" s="3">
        <v>16.61647</v>
      </c>
      <c r="CI33" s="2">
        <v>-4.3118119999999998</v>
      </c>
      <c r="CJ33" s="3">
        <v>2078.817</v>
      </c>
      <c r="CK33" s="3">
        <v>2086.4560000000001</v>
      </c>
      <c r="CL33" s="2">
        <v>0.36746259999999997</v>
      </c>
      <c r="CM33" s="3">
        <v>15.477259999999999</v>
      </c>
      <c r="CN33" s="3">
        <v>15.04921</v>
      </c>
      <c r="CO33" s="3">
        <v>15.175380000000001</v>
      </c>
      <c r="CP33" s="2">
        <v>-0.75764659999999995</v>
      </c>
      <c r="CQ33" s="2">
        <v>2.0651220000000001</v>
      </c>
      <c r="CR33" s="2">
        <v>1.2165429999999999</v>
      </c>
      <c r="CS33" s="2">
        <v>-2.7656559999999999</v>
      </c>
      <c r="CT33" s="2">
        <v>16.315429999999999</v>
      </c>
      <c r="CU33" s="3">
        <v>0.1963115</v>
      </c>
      <c r="CV33" s="2">
        <v>0.20341899999999999</v>
      </c>
      <c r="CW33" s="2">
        <v>-3.5228389999999998</v>
      </c>
      <c r="CX33" s="2">
        <v>2.379343</v>
      </c>
      <c r="CY33" s="2">
        <v>21.41414</v>
      </c>
    </row>
    <row r="34" spans="1:103" ht="15" customHeight="1" x14ac:dyDescent="0.2">
      <c r="A34" s="1">
        <f t="shared" si="0"/>
        <v>28</v>
      </c>
      <c r="B34" s="1" t="s">
        <v>89</v>
      </c>
      <c r="C34" s="1" t="s">
        <v>88</v>
      </c>
      <c r="D34" s="1" t="s">
        <v>8</v>
      </c>
      <c r="E34" s="1" t="s">
        <v>56</v>
      </c>
      <c r="F34" s="2">
        <v>3591.1419999999998</v>
      </c>
      <c r="G34" s="2">
        <v>43.933100000000003</v>
      </c>
      <c r="H34" s="2">
        <v>1577.7</v>
      </c>
      <c r="I34" s="3">
        <v>6.6550000000000002</v>
      </c>
      <c r="J34" s="3">
        <v>1.192093E-5</v>
      </c>
      <c r="K34" s="2">
        <v>3.6063109999999998</v>
      </c>
      <c r="L34" s="2">
        <v>3.8692709999999999</v>
      </c>
      <c r="M34" s="2">
        <v>4.0715669999999999</v>
      </c>
      <c r="N34" s="2">
        <v>4.2824939999999998</v>
      </c>
      <c r="O34" s="2">
        <v>22.304600000000001</v>
      </c>
      <c r="P34" s="2">
        <v>21.467739999999999</v>
      </c>
      <c r="Q34" s="2">
        <v>19.93319</v>
      </c>
      <c r="R34" s="2">
        <v>19.014289999999999</v>
      </c>
      <c r="S34" s="2">
        <v>30.312380000000001</v>
      </c>
      <c r="T34" s="2">
        <v>27.984649999999998</v>
      </c>
      <c r="U34" s="2">
        <v>26.037299999999998</v>
      </c>
      <c r="V34" s="2">
        <v>24.944369999999999</v>
      </c>
      <c r="W34" s="2">
        <v>0.58326029999999995</v>
      </c>
      <c r="X34" s="2">
        <v>0.67086699999999999</v>
      </c>
      <c r="Y34" s="2">
        <v>0.72835649999999996</v>
      </c>
      <c r="Z34" s="2">
        <v>0.71410790000000002</v>
      </c>
      <c r="AA34" s="2">
        <v>31.78754</v>
      </c>
      <c r="AB34" s="2">
        <v>18.47457</v>
      </c>
      <c r="AC34" s="2">
        <v>16.165590000000002</v>
      </c>
      <c r="AD34" s="2">
        <v>15.144550000000001</v>
      </c>
      <c r="AE34" s="2">
        <v>4.0734430000000001</v>
      </c>
      <c r="AF34" s="2">
        <v>2.8789310000000001</v>
      </c>
      <c r="AG34" s="2">
        <v>2.63733</v>
      </c>
      <c r="AH34" s="2">
        <v>9.6576170000000001</v>
      </c>
      <c r="AI34" s="2">
        <v>6.7868060000000003</v>
      </c>
      <c r="AJ34" s="2">
        <v>6.2101800000000003</v>
      </c>
      <c r="AK34" s="3">
        <v>3.2335639999999999</v>
      </c>
      <c r="AL34" s="3">
        <v>2.9828389999999998</v>
      </c>
      <c r="AM34" s="2">
        <v>79.436610000000002</v>
      </c>
      <c r="AN34" s="2">
        <v>80.154039999999995</v>
      </c>
      <c r="AO34" s="2">
        <v>80.490549999999999</v>
      </c>
      <c r="AP34" s="2">
        <v>80.310779999999994</v>
      </c>
      <c r="AQ34" s="2">
        <v>18.812059999999999</v>
      </c>
      <c r="AR34" s="2">
        <v>16.18113</v>
      </c>
      <c r="AS34" s="2">
        <v>14.9924</v>
      </c>
      <c r="AT34" s="2">
        <v>14.35103</v>
      </c>
      <c r="AU34" s="1" t="s">
        <v>23</v>
      </c>
      <c r="AV34" s="3">
        <v>1.5833330000000001</v>
      </c>
      <c r="AW34" s="3">
        <v>6.95</v>
      </c>
      <c r="AX34" s="2">
        <v>4.4327500000000004</v>
      </c>
      <c r="AY34" s="2">
        <v>3.125</v>
      </c>
      <c r="AZ34" s="2">
        <v>6.6442680000000003</v>
      </c>
      <c r="BA34" s="2">
        <v>6.3099030000000003</v>
      </c>
      <c r="BB34" s="2">
        <v>10.73211</v>
      </c>
      <c r="BC34" s="3">
        <v>4.9020000000000001</v>
      </c>
      <c r="BD34" s="2">
        <v>35.760910000000003</v>
      </c>
      <c r="BE34" s="3">
        <v>7.01</v>
      </c>
      <c r="BF34" s="2">
        <v>-5.0641959999999999</v>
      </c>
      <c r="BG34" s="2">
        <v>83.793779999999998</v>
      </c>
      <c r="BH34" s="2">
        <v>83.172190000000001</v>
      </c>
      <c r="BI34" s="2">
        <v>81.987629999999996</v>
      </c>
      <c r="BJ34" s="2">
        <v>80.217380000000006</v>
      </c>
      <c r="BK34" s="2">
        <v>14</v>
      </c>
      <c r="BL34" s="2">
        <v>7</v>
      </c>
      <c r="BM34" s="4">
        <v>18</v>
      </c>
      <c r="BN34" s="4">
        <v>1</v>
      </c>
      <c r="BO34" s="4">
        <v>1</v>
      </c>
      <c r="BP34" s="4">
        <v>17</v>
      </c>
      <c r="BQ34" s="2">
        <v>5.2631579999999998</v>
      </c>
      <c r="BR34" s="4">
        <v>10</v>
      </c>
      <c r="BS34" s="4">
        <v>2</v>
      </c>
      <c r="BT34" s="4">
        <v>18</v>
      </c>
      <c r="BU34" s="2">
        <v>55.55556</v>
      </c>
      <c r="BV34" s="2">
        <v>7.5497899999999998</v>
      </c>
      <c r="BW34" s="2">
        <v>539.61559999999997</v>
      </c>
      <c r="BX34" s="3">
        <v>1.0447470000000001</v>
      </c>
      <c r="BY34" s="3">
        <v>0.19360949999999999</v>
      </c>
      <c r="BZ34" s="2">
        <v>1.21922</v>
      </c>
      <c r="CA34" s="3">
        <v>0.19360949999999999</v>
      </c>
      <c r="CB34" s="3">
        <v>0.3137336</v>
      </c>
      <c r="CC34" s="3">
        <v>0.30975580000000003</v>
      </c>
      <c r="CD34" s="2">
        <v>-1.267892</v>
      </c>
      <c r="CE34" s="3">
        <v>302.39429999999999</v>
      </c>
      <c r="CF34" s="3">
        <v>297.04079999999999</v>
      </c>
      <c r="CG34" s="2">
        <v>-1.7703949999999999</v>
      </c>
      <c r="CH34" s="3">
        <v>7.0271429999999997</v>
      </c>
      <c r="CI34" s="2">
        <v>-1.0977859999999999</v>
      </c>
      <c r="CJ34" s="3">
        <v>382.4393</v>
      </c>
      <c r="CK34" s="3">
        <v>375.40719999999999</v>
      </c>
      <c r="CL34" s="2">
        <v>-1.8387500000000001</v>
      </c>
      <c r="CM34" s="3">
        <v>5.6278920000000001</v>
      </c>
      <c r="CN34" s="3">
        <v>5.6796259999999998</v>
      </c>
      <c r="CO34" s="3">
        <v>6.026923</v>
      </c>
      <c r="CP34" s="2">
        <v>18.250319999999999</v>
      </c>
      <c r="CQ34" s="2">
        <v>17.173210000000001</v>
      </c>
      <c r="CR34" s="2">
        <v>10.421189999999999</v>
      </c>
      <c r="CS34" s="2">
        <v>0.91925860000000004</v>
      </c>
      <c r="CT34" s="2">
        <v>6.2170589999999999</v>
      </c>
      <c r="CU34" s="3">
        <v>0.173122</v>
      </c>
      <c r="CV34" s="2" t="e">
        <v>#N/A</v>
      </c>
      <c r="CW34" s="2" t="e">
        <v>#N/A</v>
      </c>
      <c r="CX34" s="2" t="e">
        <v>#N/A</v>
      </c>
      <c r="CY34" s="2">
        <v>21.737369999999999</v>
      </c>
    </row>
    <row r="35" spans="1:103" ht="15" customHeight="1" x14ac:dyDescent="0.2">
      <c r="A35" s="1">
        <f t="shared" si="0"/>
        <v>29</v>
      </c>
      <c r="B35" s="1" t="s">
        <v>91</v>
      </c>
      <c r="C35" s="1" t="s">
        <v>90</v>
      </c>
      <c r="D35" s="1" t="s">
        <v>3</v>
      </c>
      <c r="E35" s="1" t="s">
        <v>92</v>
      </c>
      <c r="F35" s="2">
        <v>4432.8720000000003</v>
      </c>
      <c r="G35" s="2">
        <v>86.550600000000003</v>
      </c>
      <c r="H35" s="2">
        <v>3836.6770000000001</v>
      </c>
      <c r="I35" s="3">
        <v>16.920000000000002</v>
      </c>
      <c r="J35" s="3">
        <v>0</v>
      </c>
      <c r="K35" s="2">
        <v>10.16549</v>
      </c>
      <c r="L35" s="2">
        <v>10.28369</v>
      </c>
      <c r="M35" s="2">
        <v>10.28369</v>
      </c>
      <c r="N35" s="2">
        <v>10.28369</v>
      </c>
      <c r="O35" s="2">
        <v>11.83217</v>
      </c>
      <c r="P35" s="2">
        <v>14.05682</v>
      </c>
      <c r="Q35" s="2">
        <v>18.454450000000001</v>
      </c>
      <c r="R35" s="2">
        <v>20.70992</v>
      </c>
      <c r="S35" s="2">
        <v>9.4850709999999996</v>
      </c>
      <c r="T35" s="2">
        <v>10.510149999999999</v>
      </c>
      <c r="U35" s="2">
        <v>11.161300000000001</v>
      </c>
      <c r="V35" s="2">
        <v>11.93295</v>
      </c>
      <c r="W35" s="2">
        <v>1.3846149999999999</v>
      </c>
      <c r="X35" s="2">
        <v>1.4425220000000001</v>
      </c>
      <c r="Y35" s="2">
        <v>1.551396</v>
      </c>
      <c r="Z35" s="2">
        <v>1.69177</v>
      </c>
      <c r="AA35" s="2">
        <v>6.4122669999999999</v>
      </c>
      <c r="AB35" s="2">
        <v>7.5594150000000004</v>
      </c>
      <c r="AC35" s="2">
        <v>8.2715770000000006</v>
      </c>
      <c r="AD35" s="2">
        <v>8.9854800000000008</v>
      </c>
      <c r="AE35" s="2">
        <v>3.4411499999999999</v>
      </c>
      <c r="AF35" s="2">
        <v>4.8611610000000001</v>
      </c>
      <c r="AG35" s="2">
        <v>3.510011</v>
      </c>
      <c r="AH35" s="2">
        <v>6.2904499999999999</v>
      </c>
      <c r="AI35" s="2">
        <v>8.8923229999999993</v>
      </c>
      <c r="AJ35" s="2">
        <v>6.5006940000000002</v>
      </c>
      <c r="AK35" s="3" t="e">
        <v>#N/A</v>
      </c>
      <c r="AL35" s="3" t="e">
        <v>#N/A</v>
      </c>
      <c r="AM35" s="2">
        <v>82.180769999999995</v>
      </c>
      <c r="AN35" s="2">
        <v>80.732990000000001</v>
      </c>
      <c r="AO35" s="2">
        <v>81.175089999999997</v>
      </c>
      <c r="AP35" s="2">
        <v>81.105649999999997</v>
      </c>
      <c r="AQ35" s="2">
        <v>4.3842489999999996</v>
      </c>
      <c r="AR35" s="2">
        <v>4.7606390000000003</v>
      </c>
      <c r="AS35" s="2">
        <v>5.0597580000000004</v>
      </c>
      <c r="AT35" s="2">
        <v>5.4898259999999999</v>
      </c>
      <c r="AU35" s="1" t="s">
        <v>93</v>
      </c>
      <c r="AV35" s="3">
        <v>2.3333330000000001</v>
      </c>
      <c r="AW35" s="3">
        <v>15.85</v>
      </c>
      <c r="AX35" s="2">
        <v>-6.323874</v>
      </c>
      <c r="AY35" s="2">
        <v>10.262079999999999</v>
      </c>
      <c r="AZ35" s="2">
        <v>-13.94215</v>
      </c>
      <c r="BA35" s="2">
        <v>-2.4783849999999998</v>
      </c>
      <c r="BB35" s="2">
        <v>8.9855079999999994</v>
      </c>
      <c r="BC35" s="3">
        <v>15.255000000000001</v>
      </c>
      <c r="BD35" s="2">
        <v>10.91446</v>
      </c>
      <c r="BE35" s="3">
        <v>18.55</v>
      </c>
      <c r="BF35" s="2">
        <v>-8.7870600000000003</v>
      </c>
      <c r="BG35" s="2">
        <v>116.815</v>
      </c>
      <c r="BH35" s="2">
        <v>143.44470000000001</v>
      </c>
      <c r="BI35" s="2">
        <v>180.8716</v>
      </c>
      <c r="BJ35" s="2">
        <v>200.80950000000001</v>
      </c>
      <c r="BK35" s="2">
        <v>17</v>
      </c>
      <c r="BL35" s="2">
        <v>15</v>
      </c>
      <c r="BM35" s="4">
        <v>21</v>
      </c>
      <c r="BN35" s="4">
        <v>0</v>
      </c>
      <c r="BO35" s="4">
        <v>0</v>
      </c>
      <c r="BP35" s="4">
        <v>21</v>
      </c>
      <c r="BQ35" s="2">
        <v>0</v>
      </c>
      <c r="BR35" s="4">
        <v>3</v>
      </c>
      <c r="BS35" s="4">
        <v>11</v>
      </c>
      <c r="BT35" s="4">
        <v>21</v>
      </c>
      <c r="BU35" s="2">
        <v>14.28572</v>
      </c>
      <c r="BV35" s="2">
        <v>5.3453900000000001</v>
      </c>
      <c r="BW35" s="2">
        <v>261.99009999999998</v>
      </c>
      <c r="BX35" s="3">
        <v>0.84689460000000005</v>
      </c>
      <c r="BY35" s="3">
        <v>0.3232544</v>
      </c>
      <c r="BZ35" s="2">
        <v>0.460922</v>
      </c>
      <c r="CA35" s="3">
        <v>0.3232544</v>
      </c>
      <c r="CB35" s="3">
        <v>1.1650879999999999</v>
      </c>
      <c r="CC35" s="3">
        <v>1.17862</v>
      </c>
      <c r="CD35" s="2">
        <v>1.1614439999999999</v>
      </c>
      <c r="CE35" s="3">
        <v>448.33460000000002</v>
      </c>
      <c r="CF35" s="3">
        <v>450.53609999999998</v>
      </c>
      <c r="CG35" s="2">
        <v>0.491035</v>
      </c>
      <c r="CH35" s="3">
        <v>16.732669999999999</v>
      </c>
      <c r="CI35" s="2">
        <v>-5.2751060000000001</v>
      </c>
      <c r="CJ35" s="3">
        <v>941.31640000000004</v>
      </c>
      <c r="CK35" s="3">
        <v>942.06539999999995</v>
      </c>
      <c r="CL35" s="2">
        <v>7.9572199999999996E-2</v>
      </c>
      <c r="CM35" s="3">
        <v>16.80716</v>
      </c>
      <c r="CN35" s="3">
        <v>16.25863</v>
      </c>
      <c r="CO35" s="3">
        <v>16.553460000000001</v>
      </c>
      <c r="CP35" s="2">
        <v>0.67136289999999998</v>
      </c>
      <c r="CQ35" s="2">
        <v>4.0678260000000002</v>
      </c>
      <c r="CR35" s="2">
        <v>2.2142650000000001</v>
      </c>
      <c r="CS35" s="2">
        <v>-3.263706</v>
      </c>
      <c r="CT35" s="2">
        <v>12.8611</v>
      </c>
      <c r="CU35" s="3">
        <v>0.2901302</v>
      </c>
      <c r="CV35" s="2">
        <v>-21.992660000000001</v>
      </c>
      <c r="CW35" s="2">
        <v>-1.0376559999999999</v>
      </c>
      <c r="CX35" s="2">
        <v>-1.431897</v>
      </c>
      <c r="CY35" s="2">
        <v>21.989899999999999</v>
      </c>
    </row>
    <row r="36" spans="1:103" ht="15" customHeight="1" x14ac:dyDescent="0.2">
      <c r="A36" s="1">
        <f t="shared" si="0"/>
        <v>30</v>
      </c>
      <c r="B36" s="1" t="s">
        <v>95</v>
      </c>
      <c r="C36" s="1" t="s">
        <v>94</v>
      </c>
      <c r="D36" s="1" t="s">
        <v>72</v>
      </c>
      <c r="E36" s="1" t="s">
        <v>73</v>
      </c>
      <c r="F36" s="2">
        <v>21055.87</v>
      </c>
      <c r="G36" s="2" t="e">
        <v>#N/A</v>
      </c>
      <c r="H36" s="2" t="e">
        <v>#N/A</v>
      </c>
      <c r="I36" s="3">
        <v>24.69</v>
      </c>
      <c r="J36" s="3">
        <v>0</v>
      </c>
      <c r="K36" s="2">
        <v>1.6559170000000001</v>
      </c>
      <c r="L36" s="2">
        <v>1.7112830000000001</v>
      </c>
      <c r="M36" s="2">
        <v>1.8429770000000001</v>
      </c>
      <c r="N36" s="2">
        <v>1.9802059999999999</v>
      </c>
      <c r="O36" s="2">
        <v>2.6101549999999998</v>
      </c>
      <c r="P36" s="2">
        <v>5.3711970000000004</v>
      </c>
      <c r="Q36" s="2">
        <v>6.2697229999999999</v>
      </c>
      <c r="R36" s="2">
        <v>4.8566190000000002</v>
      </c>
      <c r="S36" s="2">
        <v>1.7991600000000001</v>
      </c>
      <c r="T36" s="2">
        <v>3.4986739999999998</v>
      </c>
      <c r="U36" s="2">
        <v>3.6066560000000001</v>
      </c>
      <c r="V36" s="2">
        <v>3.347782</v>
      </c>
      <c r="W36" s="2">
        <v>0.44250610000000001</v>
      </c>
      <c r="X36" s="2">
        <v>0.40087630000000002</v>
      </c>
      <c r="Y36" s="2">
        <v>0.37005830000000001</v>
      </c>
      <c r="Z36" s="2">
        <v>0.3390821</v>
      </c>
      <c r="AA36" s="2">
        <v>2.2044640000000002</v>
      </c>
      <c r="AB36" s="2">
        <v>3.2653370000000002</v>
      </c>
      <c r="AC36" s="2">
        <v>3.65062</v>
      </c>
      <c r="AD36" s="2">
        <v>3.0896520000000001</v>
      </c>
      <c r="AE36" s="2">
        <v>9.9612789999999993</v>
      </c>
      <c r="AF36" s="2">
        <v>5.3929809999999998</v>
      </c>
      <c r="AG36" s="2">
        <v>7.6983800000000002</v>
      </c>
      <c r="AH36" s="2">
        <v>11.59736</v>
      </c>
      <c r="AI36" s="2">
        <v>6.260802</v>
      </c>
      <c r="AJ36" s="2">
        <v>8.8627900000000004</v>
      </c>
      <c r="AK36" s="3" t="e">
        <v>#N/A</v>
      </c>
      <c r="AL36" s="3" t="e">
        <v>#N/A</v>
      </c>
      <c r="AM36" s="2">
        <v>17.73583</v>
      </c>
      <c r="AN36" s="2">
        <v>10.840859999999999</v>
      </c>
      <c r="AO36" s="2">
        <v>11.03763</v>
      </c>
      <c r="AP36" s="2">
        <v>11.71665</v>
      </c>
      <c r="AQ36" s="2">
        <v>0.1597297</v>
      </c>
      <c r="AR36" s="2">
        <v>0.49392320000000001</v>
      </c>
      <c r="AS36" s="2">
        <v>0.5002839</v>
      </c>
      <c r="AT36" s="2">
        <v>0.4401563</v>
      </c>
      <c r="AU36" s="1" t="s">
        <v>5</v>
      </c>
      <c r="AV36" s="3">
        <v>1.2352939999999999</v>
      </c>
      <c r="AW36" s="3">
        <v>31.8</v>
      </c>
      <c r="AX36" s="2">
        <v>28.797080000000001</v>
      </c>
      <c r="AY36" s="2">
        <v>7.463444</v>
      </c>
      <c r="AZ36" s="2">
        <v>-12.61171</v>
      </c>
      <c r="BA36" s="2">
        <v>-1.3386549999999999</v>
      </c>
      <c r="BB36" s="2">
        <v>0.40667059999999999</v>
      </c>
      <c r="BC36" s="3">
        <v>19.920000000000002</v>
      </c>
      <c r="BD36" s="2">
        <v>23.945789999999999</v>
      </c>
      <c r="BE36" s="3">
        <v>30.5</v>
      </c>
      <c r="BF36" s="2">
        <v>-19.04918</v>
      </c>
      <c r="BG36" s="2">
        <v>4.3336629999999996</v>
      </c>
      <c r="BH36" s="2">
        <v>9.6549659999999999</v>
      </c>
      <c r="BI36" s="2">
        <v>12.53468</v>
      </c>
      <c r="BJ36" s="2">
        <v>10.663360000000001</v>
      </c>
      <c r="BK36" s="2">
        <v>11</v>
      </c>
      <c r="BL36" s="2">
        <v>12</v>
      </c>
      <c r="BM36" s="4">
        <v>17</v>
      </c>
      <c r="BN36" s="4">
        <v>0</v>
      </c>
      <c r="BO36" s="4">
        <v>2</v>
      </c>
      <c r="BP36" s="4">
        <v>14</v>
      </c>
      <c r="BQ36" s="2">
        <v>0</v>
      </c>
      <c r="BR36" s="4">
        <v>13</v>
      </c>
      <c r="BS36" s="4">
        <v>0</v>
      </c>
      <c r="BT36" s="4">
        <v>17</v>
      </c>
      <c r="BU36" s="2">
        <v>76.470590000000001</v>
      </c>
      <c r="BV36" s="2">
        <v>11.712400000000001</v>
      </c>
      <c r="BW36" s="2">
        <v>852.8098</v>
      </c>
      <c r="BX36" s="3">
        <v>0.2726614</v>
      </c>
      <c r="BY36" s="3">
        <v>3.197212E-2</v>
      </c>
      <c r="BZ36" s="2">
        <v>1.78302</v>
      </c>
      <c r="CA36" s="3">
        <v>3.197212E-2</v>
      </c>
      <c r="CB36" s="3">
        <v>4.7687799999999996</v>
      </c>
      <c r="CC36" s="3">
        <v>4.5956770000000002</v>
      </c>
      <c r="CD36" s="2">
        <v>-3.6299290000000002</v>
      </c>
      <c r="CE36" s="3">
        <v>4893.6930000000002</v>
      </c>
      <c r="CF36" s="3">
        <v>4587.09</v>
      </c>
      <c r="CG36" s="2">
        <v>-6.2652710000000003</v>
      </c>
      <c r="CH36" s="3">
        <v>32.634630000000001</v>
      </c>
      <c r="CI36" s="2">
        <v>-2.5575040000000002</v>
      </c>
      <c r="CJ36" s="3">
        <v>65407.05</v>
      </c>
      <c r="CK36" s="3">
        <v>64804.77</v>
      </c>
      <c r="CL36" s="2">
        <v>-0.92082620000000004</v>
      </c>
      <c r="CM36" s="3">
        <v>24.297419999999999</v>
      </c>
      <c r="CN36" s="3">
        <v>22.113330000000001</v>
      </c>
      <c r="CO36" s="3">
        <v>22.62</v>
      </c>
      <c r="CP36" s="2">
        <v>1.615739</v>
      </c>
      <c r="CQ36" s="2">
        <v>11.65212</v>
      </c>
      <c r="CR36" s="2">
        <v>9.1511840000000007</v>
      </c>
      <c r="CS36" s="2">
        <v>-8.9889709999999994</v>
      </c>
      <c r="CT36" s="2">
        <v>6.0884130000000001</v>
      </c>
      <c r="CU36" s="3">
        <v>2.8915509999999998E-2</v>
      </c>
      <c r="CV36" s="2">
        <v>8.9489610000000006</v>
      </c>
      <c r="CW36" s="2">
        <v>-2.1083029999999998</v>
      </c>
      <c r="CX36" s="2">
        <v>6.5454840000000001</v>
      </c>
      <c r="CY36" s="2">
        <v>22.294740000000001</v>
      </c>
    </row>
    <row r="37" spans="1:103" ht="15" customHeight="1" x14ac:dyDescent="0.2">
      <c r="A37" s="1">
        <f t="shared" si="0"/>
        <v>31</v>
      </c>
      <c r="B37" s="1" t="s">
        <v>97</v>
      </c>
      <c r="C37" s="1" t="s">
        <v>96</v>
      </c>
      <c r="D37" s="1" t="s">
        <v>3</v>
      </c>
      <c r="E37" s="1" t="s">
        <v>4</v>
      </c>
      <c r="F37" s="2">
        <v>9219.0169999999998</v>
      </c>
      <c r="G37" s="2">
        <v>17.325099999999999</v>
      </c>
      <c r="H37" s="2">
        <v>1597.204</v>
      </c>
      <c r="I37" s="3">
        <v>28</v>
      </c>
      <c r="J37" s="3">
        <v>0</v>
      </c>
      <c r="K37" s="2">
        <v>2.5</v>
      </c>
      <c r="L37" s="2">
        <v>2.0441750000000001</v>
      </c>
      <c r="M37" s="2">
        <v>1.803571</v>
      </c>
      <c r="N37" s="2">
        <v>1.839286</v>
      </c>
      <c r="O37" s="2">
        <v>12.173909999999999</v>
      </c>
      <c r="P37" s="2">
        <v>17.59741</v>
      </c>
      <c r="Q37" s="2">
        <v>19.5122</v>
      </c>
      <c r="R37" s="2">
        <v>20.664210000000001</v>
      </c>
      <c r="S37" s="2">
        <v>8.4211229999999997</v>
      </c>
      <c r="T37" s="2">
        <v>9.839715</v>
      </c>
      <c r="U37" s="2">
        <v>9.5705200000000001</v>
      </c>
      <c r="V37" s="2">
        <v>9.8315210000000004</v>
      </c>
      <c r="W37" s="2">
        <v>1.570387</v>
      </c>
      <c r="X37" s="2">
        <v>1.4838370000000001</v>
      </c>
      <c r="Y37" s="2">
        <v>1.4134279999999999</v>
      </c>
      <c r="Z37" s="2">
        <v>1.3559319999999999</v>
      </c>
      <c r="AA37" s="2">
        <v>8.0575539999999997</v>
      </c>
      <c r="AB37" s="2">
        <v>10.606059999999999</v>
      </c>
      <c r="AC37" s="2">
        <v>9.132002</v>
      </c>
      <c r="AD37" s="2">
        <v>9.1849159999999994</v>
      </c>
      <c r="AE37" s="2">
        <v>-11.581239999999999</v>
      </c>
      <c r="AF37" s="2">
        <v>-7.3066990000000001</v>
      </c>
      <c r="AG37" s="2">
        <v>-5.2062910000000002</v>
      </c>
      <c r="AH37" s="2">
        <v>-15.74188</v>
      </c>
      <c r="AI37" s="2">
        <v>-10.59665</v>
      </c>
      <c r="AJ37" s="2">
        <v>-8.0173670000000001</v>
      </c>
      <c r="AK37" s="3" t="e">
        <v>#N/A</v>
      </c>
      <c r="AL37" s="3" t="e">
        <v>#N/A</v>
      </c>
      <c r="AM37" s="2">
        <v>37.99127</v>
      </c>
      <c r="AN37" s="2">
        <v>38.862189999999998</v>
      </c>
      <c r="AO37" s="2">
        <v>40.399070000000002</v>
      </c>
      <c r="AP37" s="2">
        <v>40.301430000000003</v>
      </c>
      <c r="AQ37" s="2">
        <v>1.2226250000000001</v>
      </c>
      <c r="AR37" s="2">
        <v>2.6006779999999998</v>
      </c>
      <c r="AS37" s="2">
        <v>2.9713669999999999</v>
      </c>
      <c r="AT37" s="2">
        <v>3.4471609999999999</v>
      </c>
      <c r="AU37" s="1" t="s">
        <v>23</v>
      </c>
      <c r="AV37" s="3">
        <v>1.4750000000000001</v>
      </c>
      <c r="AW37" s="3">
        <v>31.75</v>
      </c>
      <c r="AX37" s="2">
        <v>13.392849999999999</v>
      </c>
      <c r="AY37" s="2">
        <v>8.4321300000000008</v>
      </c>
      <c r="AZ37" s="2">
        <v>-18.082660000000001</v>
      </c>
      <c r="BA37" s="2">
        <v>-25.1737</v>
      </c>
      <c r="BB37" s="2">
        <v>-22.523520000000001</v>
      </c>
      <c r="BC37" s="3">
        <v>22.5</v>
      </c>
      <c r="BD37" s="2">
        <v>24.44445</v>
      </c>
      <c r="BE37" s="3">
        <v>38.979999999999997</v>
      </c>
      <c r="BF37" s="2">
        <v>-28.168289999999999</v>
      </c>
      <c r="BG37" s="2">
        <v>24.33248</v>
      </c>
      <c r="BH37" s="2">
        <v>37.002160000000003</v>
      </c>
      <c r="BI37" s="2">
        <v>36.08802</v>
      </c>
      <c r="BJ37" s="2">
        <v>38.057969999999997</v>
      </c>
      <c r="BK37" s="2">
        <v>18</v>
      </c>
      <c r="BL37" s="2">
        <v>17</v>
      </c>
      <c r="BM37" s="4">
        <v>20</v>
      </c>
      <c r="BN37" s="4">
        <v>4</v>
      </c>
      <c r="BO37" s="4">
        <v>0</v>
      </c>
      <c r="BP37" s="4">
        <v>18</v>
      </c>
      <c r="BQ37" s="2">
        <v>18.181819999999998</v>
      </c>
      <c r="BR37" s="4">
        <v>11</v>
      </c>
      <c r="BS37" s="4">
        <v>0</v>
      </c>
      <c r="BT37" s="4">
        <v>20</v>
      </c>
      <c r="BU37" s="2">
        <v>55</v>
      </c>
      <c r="BV37" s="2">
        <v>7.44658</v>
      </c>
      <c r="BW37" s="2">
        <v>329.25060000000002</v>
      </c>
      <c r="BX37" s="3">
        <v>0.33243810000000001</v>
      </c>
      <c r="BY37" s="3">
        <v>0.10096810000000001</v>
      </c>
      <c r="BZ37" s="2">
        <v>0.38202399999999997</v>
      </c>
      <c r="CA37" s="3">
        <v>0.10096810000000001</v>
      </c>
      <c r="CB37" s="3">
        <v>1.5573889999999999</v>
      </c>
      <c r="CC37" s="3">
        <v>1.5524990000000001</v>
      </c>
      <c r="CD37" s="2">
        <v>-0.3140211</v>
      </c>
      <c r="CE37" s="3">
        <v>893.7002</v>
      </c>
      <c r="CF37" s="3">
        <v>879.49839999999995</v>
      </c>
      <c r="CG37" s="2">
        <v>-1.589108</v>
      </c>
      <c r="CH37" s="3">
        <v>34.533909999999999</v>
      </c>
      <c r="CI37" s="2">
        <v>-8.0613849999999996</v>
      </c>
      <c r="CJ37" s="3">
        <v>3508.6280000000002</v>
      </c>
      <c r="CK37" s="3">
        <v>3403.5929999999998</v>
      </c>
      <c r="CL37" s="2">
        <v>-2.9936250000000002</v>
      </c>
      <c r="CM37" s="3">
        <v>29.207560000000001</v>
      </c>
      <c r="CN37" s="3">
        <v>26.165880000000001</v>
      </c>
      <c r="CO37" s="3">
        <v>27.01615</v>
      </c>
      <c r="CP37" s="2">
        <v>-4.134417</v>
      </c>
      <c r="CQ37" s="2">
        <v>7.0095660000000004</v>
      </c>
      <c r="CR37" s="2">
        <v>3.6417009999999999</v>
      </c>
      <c r="CS37" s="2">
        <v>-10.414</v>
      </c>
      <c r="CT37" s="2">
        <v>9.7262830000000005</v>
      </c>
      <c r="CU37" s="3">
        <v>0.1055024</v>
      </c>
      <c r="CV37" s="2" t="e">
        <v>#N/A</v>
      </c>
      <c r="CW37" s="2" t="e">
        <v>#N/A</v>
      </c>
      <c r="CX37" s="2" t="e">
        <v>#N/A</v>
      </c>
      <c r="CY37" s="2">
        <v>22.646470000000001</v>
      </c>
    </row>
    <row r="38" spans="1:103" ht="15" customHeight="1" x14ac:dyDescent="0.2">
      <c r="A38" s="1">
        <f t="shared" si="0"/>
        <v>32</v>
      </c>
      <c r="B38" s="1" t="s">
        <v>99</v>
      </c>
      <c r="C38" s="1" t="s">
        <v>98</v>
      </c>
      <c r="D38" s="1" t="s">
        <v>3</v>
      </c>
      <c r="E38" s="1" t="s">
        <v>48</v>
      </c>
      <c r="F38" s="2">
        <v>27226.76</v>
      </c>
      <c r="G38" s="2">
        <v>12.362</v>
      </c>
      <c r="H38" s="2">
        <v>3365.7710000000002</v>
      </c>
      <c r="I38" s="3">
        <v>28.08</v>
      </c>
      <c r="J38" s="3">
        <v>0</v>
      </c>
      <c r="K38" s="2">
        <v>4.273504</v>
      </c>
      <c r="L38" s="2">
        <v>4.9857550000000002</v>
      </c>
      <c r="M38" s="2">
        <v>4.9857550000000002</v>
      </c>
      <c r="N38" s="2">
        <v>4.9857550000000002</v>
      </c>
      <c r="O38" s="2">
        <v>16.507940000000001</v>
      </c>
      <c r="P38" s="2">
        <v>13.97015</v>
      </c>
      <c r="Q38" s="2">
        <v>16.231210000000001</v>
      </c>
      <c r="R38" s="2">
        <v>16.714289999999998</v>
      </c>
      <c r="S38" s="2">
        <v>7.244008</v>
      </c>
      <c r="T38" s="2">
        <v>7.403988</v>
      </c>
      <c r="U38" s="2">
        <v>8.2820239999999998</v>
      </c>
      <c r="V38" s="2">
        <v>8.4006969999999992</v>
      </c>
      <c r="W38" s="2">
        <v>3.6</v>
      </c>
      <c r="X38" s="2">
        <v>3.2977099999999999</v>
      </c>
      <c r="Y38" s="2">
        <v>3.1446350000000001</v>
      </c>
      <c r="Z38" s="2">
        <v>3.021881</v>
      </c>
      <c r="AA38" s="2">
        <v>8.7471689999999995</v>
      </c>
      <c r="AB38" s="2">
        <v>7.1861889999999997</v>
      </c>
      <c r="AC38" s="2">
        <v>7.8832420000000001</v>
      </c>
      <c r="AD38" s="2">
        <v>7.9021080000000001</v>
      </c>
      <c r="AE38" s="2">
        <v>3.034786</v>
      </c>
      <c r="AF38" s="2">
        <v>2.0886239999999998</v>
      </c>
      <c r="AG38" s="2">
        <v>2.1229909999999999</v>
      </c>
      <c r="AH38" s="2">
        <v>4.4398939999999998</v>
      </c>
      <c r="AI38" s="2">
        <v>3.1279910000000002</v>
      </c>
      <c r="AJ38" s="2">
        <v>3.2563469999999999</v>
      </c>
      <c r="AK38" s="3" t="e">
        <v>#N/A</v>
      </c>
      <c r="AL38" s="3" t="e">
        <v>#N/A</v>
      </c>
      <c r="AM38" s="2">
        <v>14.585599999999999</v>
      </c>
      <c r="AN38" s="2">
        <v>17.053619999999999</v>
      </c>
      <c r="AO38" s="2">
        <v>19.152719999999999</v>
      </c>
      <c r="AP38" s="2">
        <v>21.184380000000001</v>
      </c>
      <c r="AQ38" s="2">
        <v>2.4859710000000002</v>
      </c>
      <c r="AR38" s="2">
        <v>2.3431639999999998</v>
      </c>
      <c r="AS38" s="2">
        <v>2.7519459999999998</v>
      </c>
      <c r="AT38" s="2">
        <v>2.9238230000000001</v>
      </c>
      <c r="AU38" s="1" t="s">
        <v>100</v>
      </c>
      <c r="AV38" s="3">
        <v>2.714286</v>
      </c>
      <c r="AW38" s="3">
        <v>24.65</v>
      </c>
      <c r="AX38" s="2">
        <v>-12.2151</v>
      </c>
      <c r="AY38" s="2">
        <v>23.605399999999999</v>
      </c>
      <c r="AZ38" s="2" t="e">
        <v>#N/A</v>
      </c>
      <c r="BA38" s="2">
        <v>4.1543010000000002</v>
      </c>
      <c r="BB38" s="2">
        <v>15.50802</v>
      </c>
      <c r="BC38" s="3">
        <v>24.09</v>
      </c>
      <c r="BD38" s="2">
        <v>16.562889999999999</v>
      </c>
      <c r="BE38" s="3">
        <v>28.88</v>
      </c>
      <c r="BF38" s="2">
        <v>-2.7700779999999998</v>
      </c>
      <c r="BG38" s="2">
        <v>70.644419999999997</v>
      </c>
      <c r="BH38" s="2">
        <v>66.945539999999994</v>
      </c>
      <c r="BI38" s="2">
        <v>76.28828</v>
      </c>
      <c r="BJ38" s="2">
        <v>80.365139999999997</v>
      </c>
      <c r="BK38" s="2">
        <v>9</v>
      </c>
      <c r="BL38" s="2">
        <v>8</v>
      </c>
      <c r="BM38" s="4">
        <v>14</v>
      </c>
      <c r="BN38" s="4">
        <v>0</v>
      </c>
      <c r="BO38" s="4">
        <v>1</v>
      </c>
      <c r="BP38" s="4">
        <v>14</v>
      </c>
      <c r="BQ38" s="2">
        <v>0</v>
      </c>
      <c r="BR38" s="4">
        <v>0</v>
      </c>
      <c r="BS38" s="4">
        <v>10</v>
      </c>
      <c r="BT38" s="4">
        <v>14</v>
      </c>
      <c r="BU38" s="2">
        <v>0</v>
      </c>
      <c r="BV38" s="2">
        <v>6.5984600000000002</v>
      </c>
      <c r="BW38" s="2">
        <v>969.61379999999997</v>
      </c>
      <c r="BX38" s="3">
        <v>0.32692909999999997</v>
      </c>
      <c r="BY38" s="3">
        <v>3.3717450000000003E-2</v>
      </c>
      <c r="BZ38" s="2">
        <v>0.42261300000000002</v>
      </c>
      <c r="CA38" s="3">
        <v>3.3717450000000003E-2</v>
      </c>
      <c r="CB38" s="3">
        <v>1.92388</v>
      </c>
      <c r="CC38" s="3">
        <v>2.0352359999999998</v>
      </c>
      <c r="CD38" s="2">
        <v>5.7880880000000001</v>
      </c>
      <c r="CE38" s="3">
        <v>3345.8629999999998</v>
      </c>
      <c r="CF38" s="3">
        <v>3450.779</v>
      </c>
      <c r="CG38" s="2">
        <v>3.1356809999999999</v>
      </c>
      <c r="CH38" s="3">
        <v>25.320589999999999</v>
      </c>
      <c r="CI38" s="2">
        <v>-2.6483949999999998</v>
      </c>
      <c r="CJ38" s="3">
        <v>31086.54</v>
      </c>
      <c r="CK38" s="3">
        <v>30015.34</v>
      </c>
      <c r="CL38" s="2">
        <v>-3.4458639999999998</v>
      </c>
      <c r="CM38" s="3">
        <v>26.959060000000001</v>
      </c>
      <c r="CN38" s="3">
        <v>26.838819999999998</v>
      </c>
      <c r="CO38" s="3">
        <v>27.33154</v>
      </c>
      <c r="CP38" s="2">
        <v>4.1579480000000002</v>
      </c>
      <c r="CQ38" s="2">
        <v>4.6245570000000003</v>
      </c>
      <c r="CR38" s="2">
        <v>2.7384400000000002</v>
      </c>
      <c r="CS38" s="2">
        <v>-0.44598579999999999</v>
      </c>
      <c r="CT38" s="2">
        <v>8.7179400000000005</v>
      </c>
      <c r="CU38" s="3">
        <v>3.2019760000000001E-2</v>
      </c>
      <c r="CV38" s="2" t="e">
        <v>#N/A</v>
      </c>
      <c r="CW38" s="2" t="e">
        <v>#N/A</v>
      </c>
      <c r="CX38" s="2" t="e">
        <v>#N/A</v>
      </c>
      <c r="CY38" s="2">
        <v>23.161619999999999</v>
      </c>
    </row>
    <row r="39" spans="1:103" ht="15" customHeight="1" x14ac:dyDescent="0.2">
      <c r="A39" s="1">
        <f t="shared" si="0"/>
        <v>33</v>
      </c>
      <c r="B39" s="1" t="s">
        <v>102</v>
      </c>
      <c r="C39" s="1" t="s">
        <v>101</v>
      </c>
      <c r="D39" s="1" t="s">
        <v>8</v>
      </c>
      <c r="E39" s="1" t="s">
        <v>9</v>
      </c>
      <c r="F39" s="2">
        <v>2463.6860000000001</v>
      </c>
      <c r="G39" s="2">
        <v>42.8322</v>
      </c>
      <c r="H39" s="2">
        <v>1055.251</v>
      </c>
      <c r="I39" s="3">
        <v>0.92800000000000005</v>
      </c>
      <c r="J39" s="3">
        <v>0</v>
      </c>
      <c r="K39" s="2">
        <v>5.387931</v>
      </c>
      <c r="L39" s="2">
        <v>7.3948270000000003</v>
      </c>
      <c r="M39" s="2">
        <v>9.1817890000000002</v>
      </c>
      <c r="N39" s="2">
        <v>9.6982769999999991</v>
      </c>
      <c r="O39" s="2">
        <v>10.11576</v>
      </c>
      <c r="P39" s="2">
        <v>7.1384619999999996</v>
      </c>
      <c r="Q39" s="2">
        <v>5.8</v>
      </c>
      <c r="R39" s="2">
        <v>5.4730270000000001</v>
      </c>
      <c r="S39" s="2" t="e">
        <v>#N/A</v>
      </c>
      <c r="T39" s="2" t="e">
        <v>#N/A</v>
      </c>
      <c r="U39" s="2" t="e">
        <v>#N/A</v>
      </c>
      <c r="V39" s="2" t="e">
        <v>#N/A</v>
      </c>
      <c r="W39" s="2">
        <v>0.38189299999999998</v>
      </c>
      <c r="X39" s="2">
        <v>0.37385800000000002</v>
      </c>
      <c r="Y39" s="2">
        <v>0.36038829999999999</v>
      </c>
      <c r="Z39" s="2">
        <v>0.34645779999999998</v>
      </c>
      <c r="AA39" s="2" t="e">
        <v>#N/A</v>
      </c>
      <c r="AB39" s="2" t="e">
        <v>#N/A</v>
      </c>
      <c r="AC39" s="2" t="e">
        <v>#N/A</v>
      </c>
      <c r="AD39" s="2" t="e">
        <v>#N/A</v>
      </c>
      <c r="AE39" s="2" t="e">
        <v>#N/A</v>
      </c>
      <c r="AF39" s="2" t="e">
        <v>#N/A</v>
      </c>
      <c r="AG39" s="2" t="e">
        <v>#N/A</v>
      </c>
      <c r="AH39" s="2" t="e">
        <v>#N/A</v>
      </c>
      <c r="AI39" s="2" t="e">
        <v>#N/A</v>
      </c>
      <c r="AJ39" s="2" t="e">
        <v>#N/A</v>
      </c>
      <c r="AK39" s="3">
        <v>0.31225199999999997</v>
      </c>
      <c r="AL39" s="3">
        <v>0.22929740000000001</v>
      </c>
      <c r="AM39" s="2" t="e">
        <v>#N/A</v>
      </c>
      <c r="AN39" s="2" t="e">
        <v>#N/A</v>
      </c>
      <c r="AO39" s="2" t="e">
        <v>#N/A</v>
      </c>
      <c r="AP39" s="2" t="e">
        <v>#N/A</v>
      </c>
      <c r="AQ39" s="2" t="e">
        <v>#N/A</v>
      </c>
      <c r="AR39" s="2" t="e">
        <v>#N/A</v>
      </c>
      <c r="AS39" s="2" t="e">
        <v>#N/A</v>
      </c>
      <c r="AT39" s="2" t="e">
        <v>#N/A</v>
      </c>
      <c r="AU39" s="1" t="s">
        <v>5</v>
      </c>
      <c r="AV39" s="3">
        <v>1.5625</v>
      </c>
      <c r="AW39" s="3">
        <v>1.33</v>
      </c>
      <c r="AX39" s="2">
        <v>43.31897</v>
      </c>
      <c r="AY39" s="2">
        <v>5.2372350000000001</v>
      </c>
      <c r="AZ39" s="2">
        <v>23.85211</v>
      </c>
      <c r="BA39" s="2">
        <v>-3.2829640000000002</v>
      </c>
      <c r="BB39" s="2">
        <v>-9.9903049999999993</v>
      </c>
      <c r="BC39" s="3">
        <v>0.879</v>
      </c>
      <c r="BD39" s="2">
        <v>5.5745120000000004</v>
      </c>
      <c r="BE39" s="3">
        <v>1.2569999999999999</v>
      </c>
      <c r="BF39" s="2">
        <v>-26.17343</v>
      </c>
      <c r="BG39" s="2">
        <v>49.803489999999996</v>
      </c>
      <c r="BH39" s="2">
        <v>50.951900000000002</v>
      </c>
      <c r="BI39" s="2">
        <v>50.320950000000003</v>
      </c>
      <c r="BJ39" s="2">
        <v>52.559829999999998</v>
      </c>
      <c r="BK39" s="2">
        <v>15</v>
      </c>
      <c r="BL39" s="2">
        <v>12</v>
      </c>
      <c r="BM39" s="4">
        <v>16</v>
      </c>
      <c r="BN39" s="4">
        <v>0</v>
      </c>
      <c r="BO39" s="4">
        <v>2</v>
      </c>
      <c r="BP39" s="4">
        <v>13</v>
      </c>
      <c r="BQ39" s="2">
        <v>0</v>
      </c>
      <c r="BR39" s="4">
        <v>9</v>
      </c>
      <c r="BS39" s="4">
        <v>2</v>
      </c>
      <c r="BT39" s="4">
        <v>16</v>
      </c>
      <c r="BU39" s="2">
        <v>56.25</v>
      </c>
      <c r="BV39" s="2">
        <v>10.221</v>
      </c>
      <c r="BW39" s="2">
        <v>2654.8330000000001</v>
      </c>
      <c r="BX39" s="3">
        <v>8.4376060000000006</v>
      </c>
      <c r="BY39" s="3">
        <v>0.31782050000000001</v>
      </c>
      <c r="BZ39" s="2">
        <v>1.0631200000000001</v>
      </c>
      <c r="CA39" s="3">
        <v>0.31782050000000001</v>
      </c>
      <c r="CB39" s="3">
        <v>0.14677870000000001</v>
      </c>
      <c r="CC39" s="3">
        <v>0.1245994</v>
      </c>
      <c r="CD39" s="2">
        <v>-15.110720000000001</v>
      </c>
      <c r="CE39" s="3">
        <v>894.00229999999999</v>
      </c>
      <c r="CF39" s="3">
        <v>881.92539999999997</v>
      </c>
      <c r="CG39" s="2">
        <v>-1.3508800000000001</v>
      </c>
      <c r="CH39" s="3">
        <v>1.3873329999999999</v>
      </c>
      <c r="CI39" s="2">
        <v>-4.1326229999999997</v>
      </c>
      <c r="CJ39" s="3">
        <v>1756.3230000000001</v>
      </c>
      <c r="CK39" s="3">
        <v>1749.6210000000001</v>
      </c>
      <c r="CL39" s="2">
        <v>-0.3815711</v>
      </c>
      <c r="CM39" s="3">
        <v>0.99011680000000002</v>
      </c>
      <c r="CN39" s="3">
        <v>1.0035590000000001</v>
      </c>
      <c r="CO39" s="3">
        <v>1.0008649999999999</v>
      </c>
      <c r="CP39" s="2">
        <v>-6.2736869999999998</v>
      </c>
      <c r="CQ39" s="2">
        <v>-7.5290860000000004</v>
      </c>
      <c r="CR39" s="2">
        <v>-7.2802249999999997</v>
      </c>
      <c r="CS39" s="2">
        <v>1.357615</v>
      </c>
      <c r="CT39" s="2">
        <v>8.8907679999999996</v>
      </c>
      <c r="CU39" s="3">
        <v>0.36087269999999999</v>
      </c>
      <c r="CV39" s="2">
        <v>-16.66667</v>
      </c>
      <c r="CW39" s="2">
        <v>1.8888940000000001</v>
      </c>
      <c r="CX39" s="2">
        <v>2.598373</v>
      </c>
      <c r="CY39" s="2">
        <v>23.58586</v>
      </c>
    </row>
    <row r="40" spans="1:103" ht="15" customHeight="1" x14ac:dyDescent="0.2">
      <c r="A40" s="1">
        <f t="shared" si="0"/>
        <v>34</v>
      </c>
      <c r="B40" s="1" t="s">
        <v>104</v>
      </c>
      <c r="C40" s="1" t="s">
        <v>103</v>
      </c>
      <c r="D40" s="1" t="s">
        <v>8</v>
      </c>
      <c r="E40" s="1" t="s">
        <v>105</v>
      </c>
      <c r="F40" s="2">
        <v>6039.0039999999999</v>
      </c>
      <c r="G40" s="2">
        <v>29.560199999999998</v>
      </c>
      <c r="H40" s="2">
        <v>1785.1420000000001</v>
      </c>
      <c r="I40" s="3">
        <v>1.9610000000000001</v>
      </c>
      <c r="J40" s="3">
        <v>0</v>
      </c>
      <c r="K40" s="2">
        <v>7.6491579999999999</v>
      </c>
      <c r="L40" s="2">
        <v>7.6491579999999999</v>
      </c>
      <c r="M40" s="2">
        <v>7.9041309999999996</v>
      </c>
      <c r="N40" s="2">
        <v>8.1591020000000007</v>
      </c>
      <c r="O40" s="2">
        <v>9.3380960000000002</v>
      </c>
      <c r="P40" s="2">
        <v>8.5260870000000004</v>
      </c>
      <c r="Q40" s="2">
        <v>7.1834619999999996</v>
      </c>
      <c r="R40" s="2">
        <v>6.7620690000000003</v>
      </c>
      <c r="S40" s="2" t="e">
        <v>#N/A</v>
      </c>
      <c r="T40" s="2" t="e">
        <v>#N/A</v>
      </c>
      <c r="U40" s="2" t="e">
        <v>#N/A</v>
      </c>
      <c r="V40" s="2" t="e">
        <v>#N/A</v>
      </c>
      <c r="W40" s="2">
        <v>0.8274262</v>
      </c>
      <c r="X40" s="2">
        <v>0.77817460000000005</v>
      </c>
      <c r="Y40" s="2">
        <v>0.72095580000000004</v>
      </c>
      <c r="Z40" s="2">
        <v>0.66700680000000001</v>
      </c>
      <c r="AA40" s="2" t="e">
        <v>#N/A</v>
      </c>
      <c r="AB40" s="2" t="e">
        <v>#N/A</v>
      </c>
      <c r="AC40" s="2" t="e">
        <v>#N/A</v>
      </c>
      <c r="AD40" s="2" t="e">
        <v>#N/A</v>
      </c>
      <c r="AE40" s="2" t="e">
        <v>#N/A</v>
      </c>
      <c r="AF40" s="2" t="e">
        <v>#N/A</v>
      </c>
      <c r="AG40" s="2" t="e">
        <v>#N/A</v>
      </c>
      <c r="AH40" s="2">
        <v>11.177339999999999</v>
      </c>
      <c r="AI40" s="2">
        <v>10.680569999999999</v>
      </c>
      <c r="AJ40" s="2">
        <v>10.862719999999999</v>
      </c>
      <c r="AK40" s="3">
        <v>0.66477600000000003</v>
      </c>
      <c r="AL40" s="3">
        <v>0.55193040000000004</v>
      </c>
      <c r="AM40" s="2" t="e">
        <v>#N/A</v>
      </c>
      <c r="AN40" s="2" t="e">
        <v>#N/A</v>
      </c>
      <c r="AO40" s="2" t="e">
        <v>#N/A</v>
      </c>
      <c r="AP40" s="2" t="e">
        <v>#N/A</v>
      </c>
      <c r="AQ40" s="2" t="e">
        <v>#N/A</v>
      </c>
      <c r="AR40" s="2" t="e">
        <v>#N/A</v>
      </c>
      <c r="AS40" s="2" t="e">
        <v>#N/A</v>
      </c>
      <c r="AT40" s="2" t="e">
        <v>#N/A</v>
      </c>
      <c r="AU40" s="1" t="s">
        <v>36</v>
      </c>
      <c r="AV40" s="3">
        <v>1.9444440000000001</v>
      </c>
      <c r="AW40" s="3">
        <v>2.2000000000000002</v>
      </c>
      <c r="AX40" s="2">
        <v>12.187659999999999</v>
      </c>
      <c r="AY40" s="2">
        <v>9.1269849999999995</v>
      </c>
      <c r="AZ40" s="2">
        <v>12.306319999999999</v>
      </c>
      <c r="BA40" s="2">
        <v>9.0049980000000005</v>
      </c>
      <c r="BB40" s="2">
        <v>8.3425410000000007</v>
      </c>
      <c r="BC40" s="3">
        <v>1.7450000000000001</v>
      </c>
      <c r="BD40" s="2">
        <v>12.378220000000001</v>
      </c>
      <c r="BE40" s="3">
        <v>2.11</v>
      </c>
      <c r="BF40" s="2">
        <v>-7.0616060000000003</v>
      </c>
      <c r="BG40" s="2">
        <v>70.238100000000003</v>
      </c>
      <c r="BH40" s="2">
        <v>61.795119999999997</v>
      </c>
      <c r="BI40" s="2">
        <v>56.717370000000003</v>
      </c>
      <c r="BJ40" s="2">
        <v>54.844180000000001</v>
      </c>
      <c r="BK40" s="2">
        <v>9</v>
      </c>
      <c r="BL40" s="2">
        <v>3</v>
      </c>
      <c r="BM40" s="4">
        <v>9</v>
      </c>
      <c r="BN40" s="4">
        <v>0</v>
      </c>
      <c r="BO40" s="4">
        <v>0</v>
      </c>
      <c r="BP40" s="4">
        <v>9</v>
      </c>
      <c r="BQ40" s="2">
        <v>0</v>
      </c>
      <c r="BR40" s="4">
        <v>4</v>
      </c>
      <c r="BS40" s="4">
        <v>3</v>
      </c>
      <c r="BT40" s="4">
        <v>9</v>
      </c>
      <c r="BU40" s="2">
        <v>44.444450000000003</v>
      </c>
      <c r="BV40" s="2">
        <v>5.1877599999999999</v>
      </c>
      <c r="BW40" s="2">
        <v>3079.5529999999999</v>
      </c>
      <c r="BX40" s="3">
        <v>2.9601549999999999</v>
      </c>
      <c r="BY40" s="3">
        <v>9.6122849999999996E-2</v>
      </c>
      <c r="BZ40" s="2">
        <v>0.45027299999999998</v>
      </c>
      <c r="CA40" s="3">
        <v>9.6122849999999996E-2</v>
      </c>
      <c r="CB40" s="3">
        <v>0.2404627</v>
      </c>
      <c r="CC40" s="3">
        <v>0.23970340000000001</v>
      </c>
      <c r="CD40" s="2">
        <v>-0.31575560000000003</v>
      </c>
      <c r="CE40" s="3">
        <v>1802.8309999999999</v>
      </c>
      <c r="CF40" s="3">
        <v>1738.5619999999999</v>
      </c>
      <c r="CG40" s="2">
        <v>-3.564918</v>
      </c>
      <c r="CH40" s="3">
        <v>2.2330000000000001</v>
      </c>
      <c r="CI40" s="2">
        <v>-1.477832</v>
      </c>
      <c r="CJ40" s="3">
        <v>26498.37</v>
      </c>
      <c r="CK40" s="3">
        <v>26066.78</v>
      </c>
      <c r="CL40" s="2">
        <v>-1.628733</v>
      </c>
      <c r="CM40" s="3">
        <v>1.9043380000000001</v>
      </c>
      <c r="CN40" s="3">
        <v>1.9936469999999999</v>
      </c>
      <c r="CO40" s="3">
        <v>2.0276149999999999</v>
      </c>
      <c r="CP40" s="2">
        <v>2.9753919999999998</v>
      </c>
      <c r="CQ40" s="2">
        <v>-1.6375599999999999</v>
      </c>
      <c r="CR40" s="2">
        <v>-3.28539</v>
      </c>
      <c r="CS40" s="2">
        <v>4.6897409999999997</v>
      </c>
      <c r="CT40" s="2">
        <v>5.0412850000000002</v>
      </c>
      <c r="CU40" s="3">
        <v>8.3478739999999996E-2</v>
      </c>
      <c r="CV40" s="2" t="e">
        <v>#N/A</v>
      </c>
      <c r="CW40" s="2">
        <v>-5.0336860000000003</v>
      </c>
      <c r="CX40" s="2" t="e">
        <v>#N/A</v>
      </c>
      <c r="CY40" s="2">
        <v>24.565660000000001</v>
      </c>
    </row>
    <row r="41" spans="1:103" ht="15" customHeight="1" x14ac:dyDescent="0.2">
      <c r="A41" s="1">
        <f t="shared" si="0"/>
        <v>35</v>
      </c>
      <c r="B41" s="1" t="s">
        <v>107</v>
      </c>
      <c r="C41" s="1" t="s">
        <v>106</v>
      </c>
      <c r="D41" s="1" t="s">
        <v>3</v>
      </c>
      <c r="E41" s="1" t="s">
        <v>48</v>
      </c>
      <c r="F41" s="2">
        <v>20645.669999999998</v>
      </c>
      <c r="G41" s="2">
        <v>29.875</v>
      </c>
      <c r="H41" s="2">
        <v>6167.893</v>
      </c>
      <c r="I41" s="3">
        <v>19.5</v>
      </c>
      <c r="J41" s="3">
        <v>0</v>
      </c>
      <c r="K41" s="2">
        <v>8.1538459999999997</v>
      </c>
      <c r="L41" s="2">
        <v>5.1282050000000003</v>
      </c>
      <c r="M41" s="2">
        <v>5.6922560000000004</v>
      </c>
      <c r="N41" s="2">
        <v>6.6666660000000002</v>
      </c>
      <c r="O41" s="2">
        <v>8.6283189999999994</v>
      </c>
      <c r="P41" s="2">
        <v>14.28571</v>
      </c>
      <c r="Q41" s="2">
        <v>12.264150000000001</v>
      </c>
      <c r="R41" s="2">
        <v>10.48387</v>
      </c>
      <c r="S41" s="2">
        <v>5.3137629999999998</v>
      </c>
      <c r="T41" s="2">
        <v>7.7946960000000001</v>
      </c>
      <c r="U41" s="2">
        <v>6.5758979999999996</v>
      </c>
      <c r="V41" s="2">
        <v>6.1854760000000004</v>
      </c>
      <c r="W41" s="2">
        <v>3.7132489999999998</v>
      </c>
      <c r="X41" s="2">
        <v>4.0756509999999997</v>
      </c>
      <c r="Y41" s="2">
        <v>3.6672319999999998</v>
      </c>
      <c r="Z41" s="2">
        <v>3.203754</v>
      </c>
      <c r="AA41" s="2">
        <v>4.728008</v>
      </c>
      <c r="AB41" s="2">
        <v>6.7152399999999997</v>
      </c>
      <c r="AC41" s="2">
        <v>5.7104929999999996</v>
      </c>
      <c r="AD41" s="2">
        <v>5.4175990000000001</v>
      </c>
      <c r="AE41" s="2">
        <v>4.2722389999999999</v>
      </c>
      <c r="AF41" s="2">
        <v>4.0964109999999998</v>
      </c>
      <c r="AG41" s="2">
        <v>4.2797320000000001</v>
      </c>
      <c r="AH41" s="2">
        <v>6.6099430000000003</v>
      </c>
      <c r="AI41" s="2">
        <v>6.4494160000000003</v>
      </c>
      <c r="AJ41" s="2">
        <v>6.7707899999999999</v>
      </c>
      <c r="AK41" s="3">
        <v>2.4759310000000001</v>
      </c>
      <c r="AL41" s="3">
        <v>2.0287649999999999</v>
      </c>
      <c r="AM41" s="2">
        <v>16.91695</v>
      </c>
      <c r="AN41" s="2">
        <v>17.06362</v>
      </c>
      <c r="AO41" s="2">
        <v>21.362950000000001</v>
      </c>
      <c r="AP41" s="2">
        <v>23.631869999999999</v>
      </c>
      <c r="AQ41" s="2">
        <v>1.9586699999999999</v>
      </c>
      <c r="AR41" s="2">
        <v>2.7567110000000001</v>
      </c>
      <c r="AS41" s="2">
        <v>2.3991500000000001</v>
      </c>
      <c r="AT41" s="2">
        <v>2.2757130000000001</v>
      </c>
      <c r="AU41" s="1" t="s">
        <v>36</v>
      </c>
      <c r="AV41" s="3">
        <v>1.6666669999999999</v>
      </c>
      <c r="AW41" s="3">
        <v>21.35</v>
      </c>
      <c r="AX41" s="2">
        <v>9.4871759999999998</v>
      </c>
      <c r="AY41" s="2">
        <v>28.52955</v>
      </c>
      <c r="AZ41" s="2">
        <v>6.0620960000000004</v>
      </c>
      <c r="BA41" s="2">
        <v>8.0931189999999997</v>
      </c>
      <c r="BB41" s="2">
        <v>10.575559999999999</v>
      </c>
      <c r="BC41" s="3">
        <v>17.274999999999999</v>
      </c>
      <c r="BD41" s="2">
        <v>12.87988</v>
      </c>
      <c r="BE41" s="3">
        <v>21.51</v>
      </c>
      <c r="BF41" s="2">
        <v>-9.3444939999999992</v>
      </c>
      <c r="BG41" s="2">
        <v>68.862390000000005</v>
      </c>
      <c r="BH41" s="2">
        <v>84.106080000000006</v>
      </c>
      <c r="BI41" s="2">
        <v>69.464820000000003</v>
      </c>
      <c r="BJ41" s="2">
        <v>70.230879999999999</v>
      </c>
      <c r="BK41" s="2">
        <v>20</v>
      </c>
      <c r="BL41" s="2">
        <v>19</v>
      </c>
      <c r="BM41" s="4">
        <v>21</v>
      </c>
      <c r="BN41" s="4">
        <v>0</v>
      </c>
      <c r="BO41" s="4">
        <v>0</v>
      </c>
      <c r="BP41" s="4">
        <v>18</v>
      </c>
      <c r="BQ41" s="2">
        <v>0</v>
      </c>
      <c r="BR41" s="4">
        <v>9</v>
      </c>
      <c r="BS41" s="4">
        <v>1</v>
      </c>
      <c r="BT41" s="4">
        <v>21</v>
      </c>
      <c r="BU41" s="2">
        <v>42.857140000000001</v>
      </c>
      <c r="BV41" s="2">
        <v>6.5005199999999999</v>
      </c>
      <c r="BW41" s="2">
        <v>1058.752</v>
      </c>
      <c r="BX41" s="3">
        <v>1.284273</v>
      </c>
      <c r="BY41" s="3">
        <v>0.1213007</v>
      </c>
      <c r="BZ41" s="2">
        <v>0.86740499999999998</v>
      </c>
      <c r="CA41" s="3">
        <v>0.1213007</v>
      </c>
      <c r="CB41" s="3">
        <v>1.530305</v>
      </c>
      <c r="CC41" s="3">
        <v>1.2991919999999999</v>
      </c>
      <c r="CD41" s="2">
        <v>-15.10243</v>
      </c>
      <c r="CE41" s="3">
        <v>2741.4720000000002</v>
      </c>
      <c r="CF41" s="3">
        <v>2373.0819999999999</v>
      </c>
      <c r="CG41" s="2">
        <v>-13.43769</v>
      </c>
      <c r="CH41" s="3">
        <v>22.808890000000002</v>
      </c>
      <c r="CI41" s="2">
        <v>-6.3961449999999997</v>
      </c>
      <c r="CJ41" s="3">
        <v>25288.13</v>
      </c>
      <c r="CK41" s="3">
        <v>23998.21</v>
      </c>
      <c r="CL41" s="2">
        <v>-5.1009060000000002</v>
      </c>
      <c r="CM41" s="3">
        <v>19.513649999999998</v>
      </c>
      <c r="CN41" s="3">
        <v>18.928329999999999</v>
      </c>
      <c r="CO41" s="3">
        <v>19.240770000000001</v>
      </c>
      <c r="CP41" s="2">
        <v>-6.9963929999999994E-2</v>
      </c>
      <c r="CQ41" s="2">
        <v>3.0201669999999998</v>
      </c>
      <c r="CR41" s="2">
        <v>1.3473029999999999</v>
      </c>
      <c r="CS41" s="2">
        <v>-2.9995379999999998</v>
      </c>
      <c r="CT41" s="2">
        <v>24.127890000000001</v>
      </c>
      <c r="CU41" s="3">
        <v>0.1168666</v>
      </c>
      <c r="CV41" s="2">
        <v>-59.516910000000003</v>
      </c>
      <c r="CW41" s="2">
        <v>-37.186280000000004</v>
      </c>
      <c r="CX41" s="2">
        <v>-6.0655739999999998</v>
      </c>
      <c r="CY41" s="2">
        <v>25.85859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2023-12-15T05:56:24Z</dcterms:created>
  <dcterms:modified xsi:type="dcterms:W3CDTF">2023-12-15T05:56:49Z</dcterms:modified>
  <cp:category/>
</cp:coreProperties>
</file>