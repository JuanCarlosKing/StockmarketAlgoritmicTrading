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/>
  <mc:AlternateContent xmlns:mc="http://schemas.openxmlformats.org/markup-compatibility/2006">
    <mc:Choice Requires="x15">
      <x15ac:absPath xmlns:x15ac="http://schemas.microsoft.com/office/spreadsheetml/2010/11/ac" url="C:\Users\figar\Documents\Trabajo\FAXES\"/>
    </mc:Choice>
  </mc:AlternateContent>
  <xr:revisionPtr revIDLastSave="0" documentId="8_{5CBF009D-6062-4B64-8953-E1299A9AB5C5}" xr6:coauthVersionLast="47" xr6:coauthVersionMax="47" xr10:uidLastSave="{00000000-0000-0000-0000-000000000000}"/>
  <bookViews>
    <workbookView xWindow="-120" yWindow="-120" windowWidth="20730" windowHeight="11280" xr2:uid="{00000000-000D-0000-FFFF-FFFF00000000}"/>
  </bookViews>
  <sheets>
    <sheet name="Tab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</calcChain>
</file>

<file path=xl/sharedStrings.xml><?xml version="1.0" encoding="utf-8"?>
<sst xmlns="http://schemas.openxmlformats.org/spreadsheetml/2006/main" count="507" uniqueCount="364">
  <si>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</si>
  <si>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</si>
  <si>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</si>
  <si>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</si>
  <si>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</si>
  <si>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</si>
  <si>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</si>
  <si>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CRG-IE</t>
  </si>
  <si>
    <t>CRH public limited company</t>
  </si>
  <si>
    <t>UNITED KINGDOM</t>
  </si>
  <si>
    <t>Non-Energy Minerals</t>
  </si>
  <si>
    <t>Construction Materials</t>
  </si>
  <si>
    <t>ISP-IT</t>
  </si>
  <si>
    <t>Intesa Sanpaolo S.p.A.</t>
  </si>
  <si>
    <t>IFX-DE</t>
  </si>
  <si>
    <t>Infineon Technologies AG</t>
  </si>
  <si>
    <t>GERMANY</t>
  </si>
  <si>
    <t>Electronic Technology</t>
  </si>
  <si>
    <t>Semiconductors</t>
  </si>
  <si>
    <t>SIE-DE</t>
  </si>
  <si>
    <t>Siemens Aktiengesellschaft</t>
  </si>
  <si>
    <t>Producer Manufacturing</t>
  </si>
  <si>
    <t>Industrial Machinery</t>
  </si>
  <si>
    <t>SAN-ES</t>
  </si>
  <si>
    <t>Banco Santander, S.A.</t>
  </si>
  <si>
    <t>SPAIN</t>
  </si>
  <si>
    <t>MBG-DE</t>
  </si>
  <si>
    <t>Mercedes-Benz Group AG</t>
  </si>
  <si>
    <t>Consumer Durables</t>
  </si>
  <si>
    <t>Motor Vehicles</t>
  </si>
  <si>
    <t>BBVA-ES</t>
  </si>
  <si>
    <t>Banco Bilbao Vizcaya Argentaria, S.A.</t>
  </si>
  <si>
    <t>Overweight (1.50)</t>
  </si>
  <si>
    <t>SU-FR</t>
  </si>
  <si>
    <t>Schneider Electric SE</t>
  </si>
  <si>
    <t>FRANCE</t>
  </si>
  <si>
    <t>Electrical Products</t>
  </si>
  <si>
    <t>Overweight (1.25)</t>
  </si>
  <si>
    <t>STLAM-IT</t>
  </si>
  <si>
    <t>Stellantis N.V.</t>
  </si>
  <si>
    <t>DG-FR</t>
  </si>
  <si>
    <t>VINCI SA</t>
  </si>
  <si>
    <t>Industrial Services</t>
  </si>
  <si>
    <t>Engineering &amp; Construction</t>
  </si>
  <si>
    <t>ASML-NL</t>
  </si>
  <si>
    <t>ASML Holding NV</t>
  </si>
  <si>
    <t>NETHERLANDS</t>
  </si>
  <si>
    <t>BNP-FR</t>
  </si>
  <si>
    <t>BNP Paribas S.A. Class A</t>
  </si>
  <si>
    <t>MC-FR</t>
  </si>
  <si>
    <t>LVMH Moet Hennessy Louis Vuitton SE</t>
  </si>
  <si>
    <t>Consumer Non-Durables</t>
  </si>
  <si>
    <t>Apparel/Footwear</t>
  </si>
  <si>
    <t>MUV2-DE</t>
  </si>
  <si>
    <t>Munich Reinsurance Company</t>
  </si>
  <si>
    <t>Multi-Line Insurance</t>
  </si>
  <si>
    <t>ITX-ES</t>
  </si>
  <si>
    <t>Industria de Diseno Textil, S.A.</t>
  </si>
  <si>
    <t>INGA-NL</t>
  </si>
  <si>
    <t>ING Groep NV</t>
  </si>
  <si>
    <t>RMS-FR</t>
  </si>
  <si>
    <t>Hermes International SCA</t>
  </si>
  <si>
    <t>Hold (2.00)</t>
  </si>
  <si>
    <t>SAF-FR</t>
  </si>
  <si>
    <t>Safran S.A.</t>
  </si>
  <si>
    <t>Aerospace &amp; Defense</t>
  </si>
  <si>
    <t>NDA.FI-FI</t>
  </si>
  <si>
    <t>Nordea Bank Abp</t>
  </si>
  <si>
    <t>SWEDEN</t>
  </si>
  <si>
    <t>ALV-DE</t>
  </si>
  <si>
    <t>Allianz SE</t>
  </si>
  <si>
    <t>ENEL-IT</t>
  </si>
  <si>
    <t>Enel SpA</t>
  </si>
  <si>
    <t>Utilities</t>
  </si>
  <si>
    <t>Electric Utilities</t>
  </si>
  <si>
    <t>AD-NL</t>
  </si>
  <si>
    <t>Koninklijke Ahold Delhaize N.V.</t>
  </si>
  <si>
    <t>Retail Trade</t>
  </si>
  <si>
    <t>Food Retail</t>
  </si>
  <si>
    <t>DTE-DE</t>
  </si>
  <si>
    <t>Deutsche Telekom AG</t>
  </si>
  <si>
    <t>Communications</t>
  </si>
  <si>
    <t>Major Telecommunications</t>
  </si>
  <si>
    <t>FLTR-IE</t>
  </si>
  <si>
    <t>Flutter Entertainment Plc</t>
  </si>
  <si>
    <t>Consumer Services</t>
  </si>
  <si>
    <t>Casinos/Gaming</t>
  </si>
  <si>
    <t>AI-FR</t>
  </si>
  <si>
    <t>Air Liquide SA</t>
  </si>
  <si>
    <t>Process Industries</t>
  </si>
  <si>
    <t>Chemicals: Specialty</t>
  </si>
  <si>
    <t>BMW-DE</t>
  </si>
  <si>
    <t>Bayerische Motoren Werke AG</t>
  </si>
  <si>
    <t>PRX-NL</t>
  </si>
  <si>
    <t>Prosus N.V. Class N</t>
  </si>
  <si>
    <t>Technology Services</t>
  </si>
  <si>
    <t>Packaged Software</t>
  </si>
  <si>
    <t>DB1-DE</t>
  </si>
  <si>
    <t>Deutsche Boerse AG</t>
  </si>
  <si>
    <t>Investment Banks/Brokers</t>
  </si>
  <si>
    <t>Hold (1.75)</t>
  </si>
  <si>
    <t>IBE-ES</t>
  </si>
  <si>
    <t>Iberdrola SA</t>
  </si>
  <si>
    <t>VOW3-DE</t>
  </si>
  <si>
    <t>Volkswagen AG Pref</t>
  </si>
  <si>
    <t>RI-FR</t>
  </si>
  <si>
    <t>Pernod Ricard SA</t>
  </si>
  <si>
    <t>Beverages: Alcoholic</t>
  </si>
  <si>
    <t>CS-FR</t>
  </si>
  <si>
    <t>AXA SA</t>
  </si>
  <si>
    <t>SAP-DE</t>
  </si>
  <si>
    <t>SAP SE</t>
  </si>
  <si>
    <t>SAN-FR</t>
  </si>
  <si>
    <t>Sanofi</t>
  </si>
  <si>
    <t>Health Technology</t>
  </si>
  <si>
    <t>Pharmaceuticals: Major</t>
  </si>
  <si>
    <t>NOKIA-FI</t>
  </si>
  <si>
    <t>Nokia Oyj</t>
  </si>
  <si>
    <t>FINLAND</t>
  </si>
  <si>
    <t>Telecommunications Equipment</t>
  </si>
  <si>
    <t>ABI-BE</t>
  </si>
  <si>
    <t>Anheuser-Busch InBev SA/NV</t>
  </si>
  <si>
    <t>BELGIUM</t>
  </si>
  <si>
    <t>VNA-DE</t>
  </si>
  <si>
    <t>Vonovia SE</t>
  </si>
  <si>
    <t>Real Estate Development</t>
  </si>
  <si>
    <t>BAYN-DE</t>
  </si>
  <si>
    <t>Bayer AG</t>
  </si>
  <si>
    <t>OR-FR</t>
  </si>
  <si>
    <t>L'Oreal S.A.</t>
  </si>
  <si>
    <t>Household/Personal Care</t>
  </si>
  <si>
    <t>TTE-FR</t>
  </si>
  <si>
    <t>TotalEnergies SE</t>
  </si>
  <si>
    <t>Energy Minerals</t>
  </si>
  <si>
    <t>Integrated Oil</t>
  </si>
  <si>
    <t>BN-FR</t>
  </si>
  <si>
    <t>Danone SA</t>
  </si>
  <si>
    <t>Food: Meat/Fish/Dairy</t>
  </si>
  <si>
    <t>AIR-FR</t>
  </si>
  <si>
    <t>Airbus SE</t>
  </si>
  <si>
    <t>DPW-DE</t>
  </si>
  <si>
    <t>Deutsche Post AG</t>
  </si>
  <si>
    <t>Transportation</t>
  </si>
  <si>
    <t>Air Freight/Couriers</t>
  </si>
  <si>
    <t>ADS-DE</t>
  </si>
  <si>
    <t>adidas AG</t>
  </si>
  <si>
    <t>KER-FR</t>
  </si>
  <si>
    <t>Kering SA</t>
  </si>
  <si>
    <t>Consumer Sundries</t>
  </si>
  <si>
    <t>BAS-DE</t>
  </si>
  <si>
    <t>BASF SE</t>
  </si>
  <si>
    <t>Chemicals: Major Diversified</t>
  </si>
  <si>
    <t>ENI-IT</t>
  </si>
  <si>
    <t>Eni S.p.A.</t>
  </si>
  <si>
    <t>EL-FR</t>
  </si>
  <si>
    <t>EssilorLuxottica SA</t>
  </si>
  <si>
    <t>Medical Specialties</t>
  </si>
  <si>
    <t>ADYEN-NL</t>
  </si>
  <si>
    <t>Adyen NV</t>
  </si>
  <si>
    <t>Company Symbol</t>
  </si>
  <si>
    <t>Company Name</t>
  </si>
  <si>
    <t>FE Ticker</t>
  </si>
  <si>
    <t>País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</si>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</sst>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4FC9D-E530-4987-9905-1CAD9C24571C}">
  <sheetPr>
    <outlinePr summaryBelow="0" summaryRight="0"/>
    <pageSetUpPr fitToPage="1"/>
  </sheetPr>
  <dimension ref="A1:CZ56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0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14.28515625" customWidth="1"/>
  </cols>
  <sheetData>
    <row r="1" spans="1:104" ht="15" customHeight="1" x14ac:dyDescent="0.2">
      <c r="A1" t="s">
        <v>0</v>
      </c>
    </row>
    <row r="4" spans="1:104" ht="42" customHeight="1" x14ac:dyDescent="0.2">
      <c r="A4" s="5" t="s">
        <v>159</v>
      </c>
      <c r="B4" s="5" t="s">
        <v>160</v>
      </c>
      <c r="C4" s="5" t="s">
        <v>161</v>
      </c>
      <c r="D4" s="5" t="s">
        <v>162</v>
      </c>
      <c r="E4" s="5" t="s">
        <v>163</v>
      </c>
      <c r="F4" s="5" t="s">
        <v>164</v>
      </c>
      <c r="G4" s="6" t="s">
        <v>165</v>
      </c>
      <c r="H4" s="6" t="s">
        <v>166</v>
      </c>
      <c r="I4" s="6" t="s">
        <v>167</v>
      </c>
      <c r="J4" s="6" t="s">
        <v>168</v>
      </c>
      <c r="K4" s="6" t="s">
        <v>169</v>
      </c>
      <c r="L4" s="6" t="s">
        <v>170</v>
      </c>
      <c r="M4" s="6" t="s">
        <v>171</v>
      </c>
      <c r="N4" s="6" t="s">
        <v>172</v>
      </c>
      <c r="O4" s="6" t="s">
        <v>173</v>
      </c>
      <c r="P4" s="6" t="s">
        <v>174</v>
      </c>
      <c r="Q4" s="6" t="s">
        <v>175</v>
      </c>
      <c r="R4" s="6" t="s">
        <v>176</v>
      </c>
      <c r="S4" s="6" t="s">
        <v>177</v>
      </c>
      <c r="T4" s="6" t="s">
        <v>178</v>
      </c>
      <c r="U4" s="6" t="s">
        <v>179</v>
      </c>
      <c r="V4" s="6" t="s">
        <v>180</v>
      </c>
      <c r="W4" s="6" t="s">
        <v>181</v>
      </c>
      <c r="X4" s="6" t="s">
        <v>182</v>
      </c>
      <c r="Y4" s="6" t="s">
        <v>183</v>
      </c>
      <c r="Z4" s="6" t="s">
        <v>184</v>
      </c>
      <c r="AA4" s="6" t="s">
        <v>185</v>
      </c>
      <c r="AB4" s="6" t="s">
        <v>186</v>
      </c>
      <c r="AC4" s="6" t="s">
        <v>187</v>
      </c>
      <c r="AD4" s="6" t="s">
        <v>188</v>
      </c>
      <c r="AE4" s="6" t="s">
        <v>189</v>
      </c>
      <c r="AF4" s="6" t="s">
        <v>190</v>
      </c>
      <c r="AG4" s="6" t="s">
        <v>191</v>
      </c>
      <c r="AH4" s="6" t="s">
        <v>192</v>
      </c>
      <c r="AI4" s="6" t="s">
        <v>193</v>
      </c>
      <c r="AJ4" s="6" t="s">
        <v>194</v>
      </c>
      <c r="AK4" s="6" t="s">
        <v>195</v>
      </c>
      <c r="AL4" s="6" t="s">
        <v>196</v>
      </c>
      <c r="AM4" s="6" t="s">
        <v>197</v>
      </c>
      <c r="AN4" s="6" t="s">
        <v>198</v>
      </c>
      <c r="AO4" s="6" t="s">
        <v>199</v>
      </c>
      <c r="AP4" s="6" t="s">
        <v>200</v>
      </c>
      <c r="AQ4" s="6" t="s">
        <v>201</v>
      </c>
      <c r="AR4" s="6" t="s">
        <v>202</v>
      </c>
      <c r="AS4" s="6" t="s">
        <v>203</v>
      </c>
      <c r="AT4" s="6" t="s">
        <v>204</v>
      </c>
      <c r="AU4" s="6" t="s">
        <v>205</v>
      </c>
      <c r="AV4" s="5" t="s">
        <v>206</v>
      </c>
      <c r="AW4" s="6" t="s">
        <v>207</v>
      </c>
      <c r="AX4" s="6" t="s">
        <v>208</v>
      </c>
      <c r="AY4" s="6" t="s">
        <v>209</v>
      </c>
      <c r="AZ4" s="6" t="s">
        <v>210</v>
      </c>
      <c r="BA4" s="6" t="s">
        <v>211</v>
      </c>
      <c r="BB4" s="6" t="s">
        <v>212</v>
      </c>
      <c r="BC4" s="6" t="s">
        <v>213</v>
      </c>
      <c r="BD4" s="6" t="s">
        <v>214</v>
      </c>
      <c r="BE4" s="6" t="s">
        <v>215</v>
      </c>
      <c r="BF4" s="6" t="s">
        <v>216</v>
      </c>
      <c r="BG4" s="6" t="s">
        <v>217</v>
      </c>
      <c r="BH4" s="6" t="s">
        <v>218</v>
      </c>
      <c r="BI4" s="6" t="s">
        <v>219</v>
      </c>
      <c r="BJ4" s="6" t="s">
        <v>220</v>
      </c>
      <c r="BK4" s="6" t="s">
        <v>221</v>
      </c>
      <c r="BL4" s="6" t="s">
        <v>222</v>
      </c>
      <c r="BM4" s="6" t="s">
        <v>223</v>
      </c>
      <c r="BN4" s="6" t="s">
        <v>224</v>
      </c>
      <c r="BO4" s="6" t="s">
        <v>225</v>
      </c>
      <c r="BP4" s="6" t="s">
        <v>226</v>
      </c>
      <c r="BQ4" s="6" t="s">
        <v>227</v>
      </c>
      <c r="BR4" s="6" t="s">
        <v>228</v>
      </c>
      <c r="BS4" s="6" t="s">
        <v>229</v>
      </c>
      <c r="BT4" s="6" t="s">
        <v>230</v>
      </c>
      <c r="BU4" s="6" t="s">
        <v>224</v>
      </c>
      <c r="BV4" s="6" t="s">
        <v>231</v>
      </c>
      <c r="BW4" s="6" t="s">
        <v>232</v>
      </c>
      <c r="BX4" s="6" t="s">
        <v>233</v>
      </c>
      <c r="BY4" s="6" t="s">
        <v>234</v>
      </c>
      <c r="BZ4" s="6" t="s">
        <v>235</v>
      </c>
      <c r="CA4" s="6" t="s">
        <v>236</v>
      </c>
      <c r="CB4" s="6" t="s">
        <v>237</v>
      </c>
      <c r="CC4" s="6" t="s">
        <v>238</v>
      </c>
      <c r="CD4" s="6" t="s">
        <v>239</v>
      </c>
      <c r="CE4" s="6" t="s">
        <v>240</v>
      </c>
      <c r="CF4" s="6" t="s">
        <v>241</v>
      </c>
      <c r="CG4" s="6" t="s">
        <v>242</v>
      </c>
      <c r="CH4" s="6" t="s">
        <v>243</v>
      </c>
      <c r="CI4" s="6" t="s">
        <v>244</v>
      </c>
      <c r="CJ4" s="6" t="s">
        <v>245</v>
      </c>
      <c r="CK4" s="6" t="s">
        <v>246</v>
      </c>
      <c r="CL4" s="6" t="s">
        <v>247</v>
      </c>
      <c r="CM4" s="6" t="s">
        <v>248</v>
      </c>
      <c r="CN4" s="6" t="s">
        <v>249</v>
      </c>
      <c r="CO4" s="6" t="s">
        <v>250</v>
      </c>
      <c r="CP4" s="6" t="s">
        <v>251</v>
      </c>
      <c r="CQ4" s="6" t="s">
        <v>252</v>
      </c>
      <c r="CR4" s="6" t="s">
        <v>253</v>
      </c>
      <c r="CS4" s="6" t="s">
        <v>254</v>
      </c>
      <c r="CT4" s="6" t="s">
        <v>255</v>
      </c>
      <c r="CU4" s="6" t="s">
        <v>256</v>
      </c>
      <c r="CV4" s="6" t="s">
        <v>257</v>
      </c>
      <c r="CW4" s="6" t="s">
        <v>258</v>
      </c>
      <c r="CX4" s="6" t="s">
        <v>259</v>
      </c>
      <c r="CY4" s="6" t="s">
        <v>260</v>
      </c>
      <c r="CZ4" s="6" t="s">
        <v>261</v>
      </c>
    </row>
    <row r="5" spans="1:104" ht="12.75" x14ac:dyDescent="0.2">
      <c r="A5" s="5"/>
      <c r="B5" s="5"/>
      <c r="C5" s="5" t="s">
        <v>262</v>
      </c>
      <c r="D5" s="5" t="s">
        <v>263</v>
      </c>
      <c r="E5" s="5" t="s">
        <v>264</v>
      </c>
      <c r="F5" s="5" t="s">
        <v>265</v>
      </c>
      <c r="G5" s="6" t="s">
        <v>266</v>
      </c>
      <c r="H5" s="6" t="s">
        <v>267</v>
      </c>
      <c r="I5" s="6" t="s">
        <v>268</v>
      </c>
      <c r="J5" s="6" t="s">
        <v>269</v>
      </c>
      <c r="K5" s="6" t="s">
        <v>270</v>
      </c>
      <c r="L5" s="6" t="s">
        <v>271</v>
      </c>
      <c r="M5" s="6" t="s">
        <v>272</v>
      </c>
      <c r="N5" s="6" t="s">
        <v>273</v>
      </c>
      <c r="O5" s="6" t="s">
        <v>274</v>
      </c>
      <c r="P5" s="6" t="s">
        <v>275</v>
      </c>
      <c r="Q5" s="6" t="s">
        <v>276</v>
      </c>
      <c r="R5" s="6" t="s">
        <v>277</v>
      </c>
      <c r="S5" s="6" t="s">
        <v>278</v>
      </c>
      <c r="T5" s="6" t="s">
        <v>279</v>
      </c>
      <c r="U5" s="6" t="s">
        <v>280</v>
      </c>
      <c r="V5" s="6" t="s">
        <v>281</v>
      </c>
      <c r="W5" s="6" t="s">
        <v>282</v>
      </c>
      <c r="X5" s="6" t="s">
        <v>283</v>
      </c>
      <c r="Y5" s="6" t="s">
        <v>284</v>
      </c>
      <c r="Z5" s="6" t="s">
        <v>285</v>
      </c>
      <c r="AA5" s="6" t="s">
        <v>286</v>
      </c>
      <c r="AB5" s="6" t="s">
        <v>287</v>
      </c>
      <c r="AC5" s="6" t="s">
        <v>288</v>
      </c>
      <c r="AD5" s="6" t="s">
        <v>289</v>
      </c>
      <c r="AE5" s="6" t="s">
        <v>290</v>
      </c>
      <c r="AF5" s="6" t="s">
        <v>291</v>
      </c>
      <c r="AG5" s="6" t="s">
        <v>292</v>
      </c>
      <c r="AH5" s="6" t="s">
        <v>293</v>
      </c>
      <c r="AI5" s="6" t="s">
        <v>294</v>
      </c>
      <c r="AJ5" s="6" t="s">
        <v>295</v>
      </c>
      <c r="AK5" s="6" t="s">
        <v>296</v>
      </c>
      <c r="AL5" s="6" t="s">
        <v>297</v>
      </c>
      <c r="AM5" s="6" t="s">
        <v>298</v>
      </c>
      <c r="AN5" s="6" t="s">
        <v>299</v>
      </c>
      <c r="AO5" s="6" t="s">
        <v>300</v>
      </c>
      <c r="AP5" s="6" t="s">
        <v>301</v>
      </c>
      <c r="AQ5" s="6" t="s">
        <v>302</v>
      </c>
      <c r="AR5" s="6" t="s">
        <v>303</v>
      </c>
      <c r="AS5" s="6" t="s">
        <v>304</v>
      </c>
      <c r="AT5" s="6" t="s">
        <v>305</v>
      </c>
      <c r="AU5" s="6" t="s">
        <v>306</v>
      </c>
      <c r="AV5" s="5" t="s">
        <v>307</v>
      </c>
      <c r="AW5" s="6" t="s">
        <v>308</v>
      </c>
      <c r="AX5" s="6" t="s">
        <v>309</v>
      </c>
      <c r="AY5" s="6" t="s">
        <v>310</v>
      </c>
      <c r="AZ5" s="6" t="s">
        <v>311</v>
      </c>
      <c r="BA5" s="6" t="s">
        <v>312</v>
      </c>
      <c r="BB5" s="6" t="s">
        <v>313</v>
      </c>
      <c r="BC5" s="6" t="s">
        <v>314</v>
      </c>
      <c r="BD5" s="6" t="s">
        <v>315</v>
      </c>
      <c r="BE5" s="6" t="s">
        <v>316</v>
      </c>
      <c r="BF5" s="6" t="s">
        <v>317</v>
      </c>
      <c r="BG5" s="6" t="s">
        <v>318</v>
      </c>
      <c r="BH5" s="6" t="s">
        <v>319</v>
      </c>
      <c r="BI5" s="6" t="s">
        <v>320</v>
      </c>
      <c r="BJ5" s="6" t="s">
        <v>321</v>
      </c>
      <c r="BK5" s="6" t="s">
        <v>322</v>
      </c>
      <c r="BL5" s="6" t="s">
        <v>323</v>
      </c>
      <c r="BM5" s="6" t="s">
        <v>324</v>
      </c>
      <c r="BN5" s="6" t="s">
        <v>325</v>
      </c>
      <c r="BO5" s="6" t="s">
        <v>326</v>
      </c>
      <c r="BP5" s="6" t="s">
        <v>327</v>
      </c>
      <c r="BQ5" s="6" t="s">
        <v>328</v>
      </c>
      <c r="BR5" s="6" t="s">
        <v>329</v>
      </c>
      <c r="BS5" s="6" t="s">
        <v>330</v>
      </c>
      <c r="BT5" s="6" t="s">
        <v>331</v>
      </c>
      <c r="BU5" s="6" t="s">
        <v>332</v>
      </c>
      <c r="BV5" s="6" t="s">
        <v>333</v>
      </c>
      <c r="BW5" s="6" t="s">
        <v>334</v>
      </c>
      <c r="BX5" s="6" t="s">
        <v>335</v>
      </c>
      <c r="BY5" s="6" t="s">
        <v>336</v>
      </c>
      <c r="BZ5" s="6" t="s">
        <v>337</v>
      </c>
      <c r="CA5" s="6" t="s">
        <v>338</v>
      </c>
      <c r="CB5" s="6" t="s">
        <v>339</v>
      </c>
      <c r="CC5" s="6" t="s">
        <v>340</v>
      </c>
      <c r="CD5" s="6" t="s">
        <v>341</v>
      </c>
      <c r="CE5" s="6" t="s">
        <v>342</v>
      </c>
      <c r="CF5" s="6" t="s">
        <v>343</v>
      </c>
      <c r="CG5" s="6" t="s">
        <v>344</v>
      </c>
      <c r="CH5" s="6" t="s">
        <v>345</v>
      </c>
      <c r="CI5" s="6" t="s">
        <v>346</v>
      </c>
      <c r="CJ5" s="6" t="s">
        <v>347</v>
      </c>
      <c r="CK5" s="6" t="s">
        <v>348</v>
      </c>
      <c r="CL5" s="6" t="s">
        <v>349</v>
      </c>
      <c r="CM5" s="6" t="s">
        <v>350</v>
      </c>
      <c r="CN5" s="6" t="s">
        <v>351</v>
      </c>
      <c r="CO5" s="6" t="s">
        <v>352</v>
      </c>
      <c r="CP5" s="6" t="s">
        <v>353</v>
      </c>
      <c r="CQ5" s="6" t="s">
        <v>354</v>
      </c>
      <c r="CR5" s="6" t="s">
        <v>355</v>
      </c>
      <c r="CS5" s="6" t="s">
        <v>356</v>
      </c>
      <c r="CT5" s="6" t="s">
        <v>357</v>
      </c>
      <c r="CU5" s="6" t="s">
        <v>358</v>
      </c>
      <c r="CV5" s="6" t="s">
        <v>359</v>
      </c>
      <c r="CW5" s="6" t="s">
        <v>360</v>
      </c>
      <c r="CX5" s="6" t="s">
        <v>361</v>
      </c>
      <c r="CY5" s="6" t="s">
        <v>362</v>
      </c>
      <c r="CZ5" s="6" t="s">
        <v>363</v>
      </c>
    </row>
    <row r="6" spans="1:104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</row>
    <row r="7" spans="1:104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34262.49</v>
      </c>
      <c r="H7" s="2">
        <v>92.938999999999993</v>
      </c>
      <c r="I7" s="2">
        <v>31843.22</v>
      </c>
      <c r="J7" s="3">
        <v>17.654</v>
      </c>
      <c r="K7" s="3">
        <v>0</v>
      </c>
      <c r="L7" s="2">
        <v>5.6077950000000003</v>
      </c>
      <c r="M7" s="2">
        <v>5.9193379999999998</v>
      </c>
      <c r="N7" s="2">
        <v>6.5343910000000003</v>
      </c>
      <c r="O7" s="2">
        <v>7.7061830000000002</v>
      </c>
      <c r="P7" s="2">
        <v>7.0616000000000003</v>
      </c>
      <c r="Q7" s="2">
        <v>6.4548439999999996</v>
      </c>
      <c r="R7" s="2">
        <v>5.3396970000000001</v>
      </c>
      <c r="S7" s="2">
        <v>4.6214659999999999</v>
      </c>
      <c r="T7" s="2" t="e">
        <v>#N/A</v>
      </c>
      <c r="U7" s="2" t="e">
        <v>#N/A</v>
      </c>
      <c r="V7" s="2" t="e">
        <v>#N/A</v>
      </c>
      <c r="W7" s="2" t="e">
        <v>#N/A</v>
      </c>
      <c r="X7" s="2">
        <v>0.59682210000000002</v>
      </c>
      <c r="Y7" s="2">
        <v>0.53797289999999998</v>
      </c>
      <c r="Z7" s="2">
        <v>0.48768919999999999</v>
      </c>
      <c r="AA7" s="2">
        <v>0.4357992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3">
        <v>0.14909339999999999</v>
      </c>
      <c r="AM7" s="3">
        <v>0.12968640000000001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1" t="s">
        <v>6</v>
      </c>
      <c r="AW7" s="3">
        <v>1.1200000000000001</v>
      </c>
      <c r="AX7" s="3">
        <v>22.5</v>
      </c>
      <c r="AY7" s="2">
        <v>27.449870000000001</v>
      </c>
      <c r="AZ7" s="2">
        <v>8.3344039999999993</v>
      </c>
      <c r="BA7" s="2">
        <v>24.778020000000001</v>
      </c>
      <c r="BB7" s="2">
        <v>84.80059</v>
      </c>
      <c r="BC7" s="2">
        <v>33.016869999999997</v>
      </c>
      <c r="BD7" s="3">
        <v>7.8680000000000003</v>
      </c>
      <c r="BE7" s="2">
        <v>124.3772</v>
      </c>
      <c r="BF7" s="3">
        <v>19.77</v>
      </c>
      <c r="BG7" s="2">
        <v>-10.70309</v>
      </c>
      <c r="BH7" s="2">
        <v>38.923900000000003</v>
      </c>
      <c r="BI7" s="2">
        <v>36.919939999999997</v>
      </c>
      <c r="BJ7" s="2">
        <v>36.704470000000001</v>
      </c>
      <c r="BK7" s="2">
        <v>39.267359999999996</v>
      </c>
      <c r="BL7" s="2">
        <v>24</v>
      </c>
      <c r="BM7" s="2">
        <v>13</v>
      </c>
      <c r="BN7" s="4">
        <v>25</v>
      </c>
      <c r="BO7" s="4">
        <v>4</v>
      </c>
      <c r="BP7" s="4">
        <v>0</v>
      </c>
      <c r="BQ7" s="4">
        <v>21</v>
      </c>
      <c r="BR7" s="2">
        <v>16</v>
      </c>
      <c r="BS7" s="4">
        <v>23</v>
      </c>
      <c r="BT7" s="4">
        <v>0</v>
      </c>
      <c r="BU7" s="4">
        <v>25</v>
      </c>
      <c r="BV7" s="2">
        <v>92</v>
      </c>
      <c r="BW7" s="2">
        <v>15.014099999999999</v>
      </c>
      <c r="BX7" s="2">
        <v>1940.778</v>
      </c>
      <c r="BY7" s="3">
        <v>18.86063</v>
      </c>
      <c r="BZ7" s="3">
        <v>0.9718078</v>
      </c>
      <c r="CA7" s="2">
        <v>1.6550499999999999</v>
      </c>
      <c r="CB7" s="3">
        <v>0.9718078</v>
      </c>
      <c r="CC7" s="3">
        <v>2.1671269999999998</v>
      </c>
      <c r="CD7" s="3">
        <v>2.7354759999999998</v>
      </c>
      <c r="CE7" s="2">
        <v>26.225909999999999</v>
      </c>
      <c r="CF7" s="3">
        <v>9586.4619999999995</v>
      </c>
      <c r="CG7" s="3">
        <v>10478.719999999999</v>
      </c>
      <c r="CH7" s="2">
        <v>9.3074320000000004</v>
      </c>
      <c r="CI7" s="3">
        <v>16.539169999999999</v>
      </c>
      <c r="CJ7" s="2">
        <v>36.040700000000001</v>
      </c>
      <c r="CK7" s="3">
        <v>19361.39</v>
      </c>
      <c r="CL7" s="3">
        <v>20117.8</v>
      </c>
      <c r="CM7" s="2">
        <v>3.9067750000000001</v>
      </c>
      <c r="CN7" s="3">
        <v>12.513719999999999</v>
      </c>
      <c r="CO7" s="3">
        <v>17.149290000000001</v>
      </c>
      <c r="CP7" s="3">
        <v>18.726379999999999</v>
      </c>
      <c r="CQ7" s="2">
        <v>41.077170000000002</v>
      </c>
      <c r="CR7" s="2">
        <v>2.9430149999999999</v>
      </c>
      <c r="CS7" s="2">
        <v>-5.7265940000000004</v>
      </c>
      <c r="CT7" s="2">
        <v>37.043950000000002</v>
      </c>
      <c r="CU7" s="2">
        <v>260.93599999999998</v>
      </c>
      <c r="CV7" s="3">
        <v>0.76157909999999995</v>
      </c>
      <c r="CW7" s="2">
        <v>44.819339999999997</v>
      </c>
      <c r="CX7" s="2">
        <v>-4.1447020000000001E-2</v>
      </c>
      <c r="CY7" s="2">
        <v>52.773290000000003</v>
      </c>
      <c r="CZ7" s="2">
        <v>10.69697</v>
      </c>
    </row>
    <row r="8" spans="1:104" ht="15" customHeight="1" x14ac:dyDescent="0.2">
      <c r="A8" s="1">
        <f>1+A7</f>
        <v>2</v>
      </c>
      <c r="B8" s="1" t="s">
        <v>8</v>
      </c>
      <c r="C8" s="1" t="s">
        <v>7</v>
      </c>
      <c r="D8" s="1" t="s">
        <v>9</v>
      </c>
      <c r="E8" s="1" t="s">
        <v>10</v>
      </c>
      <c r="F8" s="1" t="s">
        <v>11</v>
      </c>
      <c r="G8" s="2">
        <v>34771.43</v>
      </c>
      <c r="H8" s="2" t="e">
        <v>#N/A</v>
      </c>
      <c r="I8" s="2" t="e">
        <v>#N/A</v>
      </c>
      <c r="J8" s="3">
        <v>46.69</v>
      </c>
      <c r="K8" s="3">
        <v>0</v>
      </c>
      <c r="L8" s="2">
        <v>2.5635629999999998</v>
      </c>
      <c r="M8" s="2">
        <v>2.6597119999999999</v>
      </c>
      <c r="N8" s="2">
        <v>2.7963710000000002</v>
      </c>
      <c r="O8" s="2">
        <v>2.9727060000000001</v>
      </c>
      <c r="P8" s="2">
        <v>14.235749999999999</v>
      </c>
      <c r="Q8" s="2">
        <v>13.27556</v>
      </c>
      <c r="R8" s="2">
        <v>12.05007</v>
      </c>
      <c r="S8" s="2">
        <v>10.40915</v>
      </c>
      <c r="T8" s="2">
        <v>6.1424139999999996</v>
      </c>
      <c r="U8" s="2">
        <v>7.576587</v>
      </c>
      <c r="V8" s="2">
        <v>6.9388589999999999</v>
      </c>
      <c r="W8" s="2">
        <v>6.4545810000000001</v>
      </c>
      <c r="X8" s="2">
        <v>1.7318929999999999</v>
      </c>
      <c r="Y8" s="2">
        <v>1.677195</v>
      </c>
      <c r="Z8" s="2">
        <v>1.5481799999999999</v>
      </c>
      <c r="AA8" s="2">
        <v>1.4362600000000001</v>
      </c>
      <c r="AB8" s="2">
        <v>9.3506730000000005</v>
      </c>
      <c r="AC8" s="2">
        <v>8.1269580000000001</v>
      </c>
      <c r="AD8" s="2">
        <v>7.7643110000000002</v>
      </c>
      <c r="AE8" s="2">
        <v>7.0267460000000002</v>
      </c>
      <c r="AF8" s="2">
        <v>6.351451</v>
      </c>
      <c r="AG8" s="2">
        <v>6.9412529999999997</v>
      </c>
      <c r="AH8" s="2">
        <v>7.6384990000000004</v>
      </c>
      <c r="AI8" s="2">
        <v>7.335159</v>
      </c>
      <c r="AJ8" s="2">
        <v>7.7400510000000002</v>
      </c>
      <c r="AK8" s="2">
        <v>8.4542640000000002</v>
      </c>
      <c r="AL8" s="3">
        <v>2.3176779999999999</v>
      </c>
      <c r="AM8" s="3">
        <v>2.0835270000000001</v>
      </c>
      <c r="AN8" s="2">
        <v>17.159179999999999</v>
      </c>
      <c r="AO8" s="2">
        <v>17.1709</v>
      </c>
      <c r="AP8" s="2">
        <v>17.367429999999999</v>
      </c>
      <c r="AQ8" s="2">
        <v>17.361000000000001</v>
      </c>
      <c r="AR8" s="2">
        <v>0.90917190000000003</v>
      </c>
      <c r="AS8" s="2">
        <v>1.013158</v>
      </c>
      <c r="AT8" s="2">
        <v>0.71397670000000002</v>
      </c>
      <c r="AU8" s="2">
        <v>0.62094119999999997</v>
      </c>
      <c r="AV8" s="1" t="s">
        <v>6</v>
      </c>
      <c r="AW8" s="3">
        <v>1.1499999999999999</v>
      </c>
      <c r="AX8" s="3">
        <v>54.563160000000003</v>
      </c>
      <c r="AY8" s="2">
        <v>16.86262</v>
      </c>
      <c r="AZ8" s="2">
        <v>12.633710000000001</v>
      </c>
      <c r="BA8" s="2">
        <v>6.25</v>
      </c>
      <c r="BB8" s="2">
        <v>21.084019999999999</v>
      </c>
      <c r="BC8" s="2">
        <v>26.155090000000001</v>
      </c>
      <c r="BD8" s="3">
        <v>31.8</v>
      </c>
      <c r="BE8" s="2">
        <v>46.823889999999999</v>
      </c>
      <c r="BF8" s="3">
        <v>49.734999999999999</v>
      </c>
      <c r="BG8" s="2">
        <v>-6.122452</v>
      </c>
      <c r="BH8" s="2">
        <v>36.042000000000002</v>
      </c>
      <c r="BI8" s="2">
        <v>35.827249999999999</v>
      </c>
      <c r="BJ8" s="2">
        <v>34.131369999999997</v>
      </c>
      <c r="BK8" s="2">
        <v>31.491409999999998</v>
      </c>
      <c r="BL8" s="2">
        <v>19</v>
      </c>
      <c r="BM8" s="2">
        <v>17</v>
      </c>
      <c r="BN8" s="4">
        <v>20</v>
      </c>
      <c r="BO8" s="4">
        <v>1</v>
      </c>
      <c r="BP8" s="4">
        <v>0</v>
      </c>
      <c r="BQ8" s="4">
        <v>19</v>
      </c>
      <c r="BR8" s="2">
        <v>5</v>
      </c>
      <c r="BS8" s="4">
        <v>18</v>
      </c>
      <c r="BT8" s="4">
        <v>0</v>
      </c>
      <c r="BU8" s="4">
        <v>20</v>
      </c>
      <c r="BV8" s="2">
        <v>90</v>
      </c>
      <c r="BW8" s="2">
        <v>7.7887300000000002</v>
      </c>
      <c r="BX8" s="2">
        <v>744.7296</v>
      </c>
      <c r="BY8" s="3">
        <v>1.617127</v>
      </c>
      <c r="BZ8" s="3">
        <v>0.2171429</v>
      </c>
      <c r="CA8" s="2">
        <v>1.00204</v>
      </c>
      <c r="CB8" s="3">
        <v>0.2171429</v>
      </c>
      <c r="CC8" s="3">
        <v>3.1718850000000001</v>
      </c>
      <c r="CD8" s="3">
        <v>3.4793790000000002</v>
      </c>
      <c r="CE8" s="2">
        <v>9.6943739999999998</v>
      </c>
      <c r="CF8" s="3">
        <v>3369.04</v>
      </c>
      <c r="CG8" s="3">
        <v>3681.9059999999999</v>
      </c>
      <c r="CH8" s="2">
        <v>9.2865099999999998</v>
      </c>
      <c r="CI8" s="3">
        <v>45.305349999999997</v>
      </c>
      <c r="CJ8" s="2">
        <v>20.434239999999999</v>
      </c>
      <c r="CK8" s="3">
        <v>30695.38</v>
      </c>
      <c r="CL8" s="3">
        <v>31114.99</v>
      </c>
      <c r="CM8" s="2">
        <v>1.3670089999999999</v>
      </c>
      <c r="CN8" s="3">
        <v>37.835819999999998</v>
      </c>
      <c r="CO8" s="3">
        <v>43.500979999999998</v>
      </c>
      <c r="CP8" s="3">
        <v>45.291539999999998</v>
      </c>
      <c r="CQ8" s="2">
        <v>23.401589999999999</v>
      </c>
      <c r="CR8" s="2">
        <v>7.3309179999999996</v>
      </c>
      <c r="CS8" s="2">
        <v>3.0876869999999998</v>
      </c>
      <c r="CT8" s="2">
        <v>14.97301</v>
      </c>
      <c r="CU8" s="2">
        <v>60.679969999999997</v>
      </c>
      <c r="CV8" s="3">
        <v>0.174511</v>
      </c>
      <c r="CW8" s="2" t="e">
        <v>#N/A</v>
      </c>
      <c r="CX8" s="2" t="e">
        <v>#N/A</v>
      </c>
      <c r="CY8" s="2" t="e">
        <v>#N/A</v>
      </c>
      <c r="CZ8" s="2">
        <v>13.136839999999999</v>
      </c>
    </row>
    <row r="9" spans="1:104" ht="15" customHeight="1" x14ac:dyDescent="0.2">
      <c r="A9" s="1">
        <f t="shared" ref="A9:A56" si="0">1+A8</f>
        <v>3</v>
      </c>
      <c r="B9" s="1" t="s">
        <v>13</v>
      </c>
      <c r="C9" s="1" t="s">
        <v>12</v>
      </c>
      <c r="D9" s="1" t="s">
        <v>3</v>
      </c>
      <c r="E9" s="1" t="s">
        <v>4</v>
      </c>
      <c r="F9" s="1" t="s">
        <v>5</v>
      </c>
      <c r="G9" s="2">
        <v>45734.53</v>
      </c>
      <c r="H9" s="2">
        <v>81.541499999999999</v>
      </c>
      <c r="I9" s="2">
        <v>37292.620000000003</v>
      </c>
      <c r="J9" s="3">
        <v>2.4085000000000001</v>
      </c>
      <c r="K9" s="3">
        <v>0</v>
      </c>
      <c r="L9" s="2">
        <v>6.6431389999999997</v>
      </c>
      <c r="M9" s="2">
        <v>10.250030000000001</v>
      </c>
      <c r="N9" s="2">
        <v>10.699109999999999</v>
      </c>
      <c r="O9" s="2">
        <v>11.636340000000001</v>
      </c>
      <c r="P9" s="2">
        <v>10.47174</v>
      </c>
      <c r="Q9" s="2">
        <v>7.0326769999999996</v>
      </c>
      <c r="R9" s="2">
        <v>6.6398700000000002</v>
      </c>
      <c r="S9" s="2">
        <v>6.2468060000000003</v>
      </c>
      <c r="T9" s="2" t="e">
        <v>#N/A</v>
      </c>
      <c r="U9" s="2" t="e">
        <v>#N/A</v>
      </c>
      <c r="V9" s="2" t="e">
        <v>#N/A</v>
      </c>
      <c r="W9" s="2" t="e">
        <v>#N/A</v>
      </c>
      <c r="X9" s="2">
        <v>0.82942570000000004</v>
      </c>
      <c r="Y9" s="2">
        <v>0.80283329999999997</v>
      </c>
      <c r="Z9" s="2">
        <v>0.76178889999999999</v>
      </c>
      <c r="AA9" s="2">
        <v>0.73991390000000001</v>
      </c>
      <c r="AB9" s="2" t="e">
        <v>#N/A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2" t="e">
        <v>#N/A</v>
      </c>
      <c r="AL9" s="3">
        <v>0.35677629999999999</v>
      </c>
      <c r="AM9" s="3">
        <v>0.334345</v>
      </c>
      <c r="AN9" s="2" t="e">
        <v>#N/A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2" t="e">
        <v>#N/A</v>
      </c>
      <c r="AV9" s="1" t="s">
        <v>6</v>
      </c>
      <c r="AW9" s="3">
        <v>1.2916669999999999</v>
      </c>
      <c r="AX9" s="3">
        <v>3</v>
      </c>
      <c r="AY9" s="2">
        <v>24.55885</v>
      </c>
      <c r="AZ9" s="2">
        <v>11.415760000000001</v>
      </c>
      <c r="BA9" s="2">
        <v>20.275400000000001</v>
      </c>
      <c r="BB9" s="2">
        <v>21.030149999999999</v>
      </c>
      <c r="BC9" s="2">
        <v>15.90471</v>
      </c>
      <c r="BD9" s="3">
        <v>1.5842000000000001</v>
      </c>
      <c r="BE9" s="2">
        <v>52.03257</v>
      </c>
      <c r="BF9" s="3">
        <v>2.6030000000000002</v>
      </c>
      <c r="BG9" s="2">
        <v>-7.4721460000000004</v>
      </c>
      <c r="BH9" s="2">
        <v>68.814639999999997</v>
      </c>
      <c r="BI9" s="2">
        <v>70.567310000000006</v>
      </c>
      <c r="BJ9" s="2">
        <v>70.118319999999997</v>
      </c>
      <c r="BK9" s="2">
        <v>72.380269999999996</v>
      </c>
      <c r="BL9" s="2">
        <v>22</v>
      </c>
      <c r="BM9" s="2">
        <v>11</v>
      </c>
      <c r="BN9" s="4">
        <v>24</v>
      </c>
      <c r="BO9" s="4">
        <v>1</v>
      </c>
      <c r="BP9" s="4">
        <v>2</v>
      </c>
      <c r="BQ9" s="4">
        <v>20</v>
      </c>
      <c r="BR9" s="2">
        <v>4.3478260000000004</v>
      </c>
      <c r="BS9" s="4">
        <v>20</v>
      </c>
      <c r="BT9" s="4">
        <v>1</v>
      </c>
      <c r="BU9" s="4">
        <v>24</v>
      </c>
      <c r="BV9" s="2">
        <v>83.333330000000004</v>
      </c>
      <c r="BW9" s="2">
        <v>11.6342</v>
      </c>
      <c r="BX9" s="2">
        <v>18988.8</v>
      </c>
      <c r="BY9" s="3">
        <v>111.77809999999999</v>
      </c>
      <c r="BZ9" s="3">
        <v>0.58865259999999997</v>
      </c>
      <c r="CA9" s="2">
        <v>1.37243</v>
      </c>
      <c r="CB9" s="3">
        <v>0.58865259999999997</v>
      </c>
      <c r="CC9" s="3">
        <v>0.30310819999999999</v>
      </c>
      <c r="CD9" s="3">
        <v>0.34231929999999999</v>
      </c>
      <c r="CE9" s="2">
        <v>12.93634</v>
      </c>
      <c r="CF9" s="3">
        <v>11846.62</v>
      </c>
      <c r="CG9" s="3">
        <v>12501.37</v>
      </c>
      <c r="CH9" s="2">
        <v>5.5269719999999998</v>
      </c>
      <c r="CI9" s="3">
        <v>2.6704349999999999</v>
      </c>
      <c r="CJ9" s="2">
        <v>12.34126</v>
      </c>
      <c r="CK9" s="3">
        <v>22785.14</v>
      </c>
      <c r="CL9" s="3">
        <v>23696.78</v>
      </c>
      <c r="CM9" s="2">
        <v>4.0010209999999997</v>
      </c>
      <c r="CN9" s="3">
        <v>2.011806</v>
      </c>
      <c r="CO9" s="3">
        <v>2.4062359999999998</v>
      </c>
      <c r="CP9" s="3">
        <v>2.5135960000000002</v>
      </c>
      <c r="CQ9" s="2">
        <v>19.718309999999999</v>
      </c>
      <c r="CR9" s="2">
        <v>9.4103809999999996E-2</v>
      </c>
      <c r="CS9" s="2">
        <v>-4.1811049999999996</v>
      </c>
      <c r="CT9" s="2">
        <v>19.60577</v>
      </c>
      <c r="CU9" s="2">
        <v>262.08949999999999</v>
      </c>
      <c r="CV9" s="3">
        <v>0.57306699999999999</v>
      </c>
      <c r="CW9" s="2">
        <v>53.005519999999997</v>
      </c>
      <c r="CX9" s="2">
        <v>4.5353960000000004</v>
      </c>
      <c r="CY9" s="2">
        <v>6.4689699999999997</v>
      </c>
      <c r="CZ9" s="2">
        <v>14.9697</v>
      </c>
    </row>
    <row r="10" spans="1:104" ht="15" customHeight="1" x14ac:dyDescent="0.2">
      <c r="A10" s="1">
        <f t="shared" si="0"/>
        <v>4</v>
      </c>
      <c r="B10" s="1" t="s">
        <v>15</v>
      </c>
      <c r="C10" s="1" t="s">
        <v>14</v>
      </c>
      <c r="D10" s="1" t="s">
        <v>16</v>
      </c>
      <c r="E10" s="1" t="s">
        <v>17</v>
      </c>
      <c r="F10" s="1" t="s">
        <v>18</v>
      </c>
      <c r="G10" s="2">
        <v>45602.77</v>
      </c>
      <c r="H10" s="2">
        <v>99.527000000000001</v>
      </c>
      <c r="I10" s="2">
        <v>45387.07</v>
      </c>
      <c r="J10" s="3">
        <v>34.92</v>
      </c>
      <c r="K10" s="3">
        <v>0</v>
      </c>
      <c r="L10" s="2">
        <v>0.91638030000000004</v>
      </c>
      <c r="M10" s="2">
        <v>1.002291</v>
      </c>
      <c r="N10" s="2">
        <v>1.0882019999999999</v>
      </c>
      <c r="O10" s="2">
        <v>1.159794</v>
      </c>
      <c r="P10" s="2">
        <v>17.72589</v>
      </c>
      <c r="Q10" s="2">
        <v>15.50511</v>
      </c>
      <c r="R10" s="2">
        <v>14.672269999999999</v>
      </c>
      <c r="S10" s="2">
        <v>13.277570000000001</v>
      </c>
      <c r="T10" s="2">
        <v>8.0478550000000002</v>
      </c>
      <c r="U10" s="2">
        <v>8.5911600000000004</v>
      </c>
      <c r="V10" s="2">
        <v>7.8137040000000004</v>
      </c>
      <c r="W10" s="2">
        <v>6.7842349999999998</v>
      </c>
      <c r="X10" s="2">
        <v>3.0471200000000001</v>
      </c>
      <c r="Y10" s="2">
        <v>2.7582939999999998</v>
      </c>
      <c r="Z10" s="2">
        <v>2.4283730000000001</v>
      </c>
      <c r="AA10" s="2">
        <v>2.1343770000000002</v>
      </c>
      <c r="AB10" s="2">
        <v>11.444000000000001</v>
      </c>
      <c r="AC10" s="2">
        <v>11.074299999999999</v>
      </c>
      <c r="AD10" s="2">
        <v>9.4634140000000002</v>
      </c>
      <c r="AE10" s="2">
        <v>8.7378309999999999</v>
      </c>
      <c r="AF10" s="2">
        <v>2.1411370000000001</v>
      </c>
      <c r="AG10" s="2">
        <v>3.1017380000000001</v>
      </c>
      <c r="AH10" s="2">
        <v>4.0410370000000002</v>
      </c>
      <c r="AI10" s="2">
        <v>2.2105779999999999</v>
      </c>
      <c r="AJ10" s="2">
        <v>3.1400920000000001</v>
      </c>
      <c r="AK10" s="2">
        <v>3.9918170000000002</v>
      </c>
      <c r="AL10" s="3">
        <v>1.534597</v>
      </c>
      <c r="AM10" s="3">
        <v>1.4532959999999999</v>
      </c>
      <c r="AN10" s="2">
        <v>34.146859999999997</v>
      </c>
      <c r="AO10" s="2">
        <v>35.353070000000002</v>
      </c>
      <c r="AP10" s="2">
        <v>35.137790000000003</v>
      </c>
      <c r="AQ10" s="2">
        <v>36.036700000000003</v>
      </c>
      <c r="AR10" s="2">
        <v>0.40061790000000003</v>
      </c>
      <c r="AS10" s="2">
        <v>0.26987670000000002</v>
      </c>
      <c r="AT10" s="2">
        <v>9.5438289999999995E-2</v>
      </c>
      <c r="AU10" s="2">
        <v>-8.3651030000000001E-2</v>
      </c>
      <c r="AV10" s="1" t="s">
        <v>6</v>
      </c>
      <c r="AW10" s="3">
        <v>1.3</v>
      </c>
      <c r="AX10" s="3">
        <v>45</v>
      </c>
      <c r="AY10" s="2">
        <v>28.86598</v>
      </c>
      <c r="AZ10" s="2">
        <v>17.789570000000001</v>
      </c>
      <c r="BA10" s="2">
        <v>9.9</v>
      </c>
      <c r="BB10" s="2">
        <v>24.64751</v>
      </c>
      <c r="BC10" s="2">
        <v>22.827999999999999</v>
      </c>
      <c r="BD10" s="3">
        <v>20.675000000000001</v>
      </c>
      <c r="BE10" s="2">
        <v>68.899630000000002</v>
      </c>
      <c r="BF10" s="3">
        <v>36.93</v>
      </c>
      <c r="BG10" s="2">
        <v>-5.4427329999999996</v>
      </c>
      <c r="BH10" s="2">
        <v>16.243649999999999</v>
      </c>
      <c r="BI10" s="2">
        <v>17.778110000000002</v>
      </c>
      <c r="BJ10" s="2">
        <v>17.634270000000001</v>
      </c>
      <c r="BK10" s="2">
        <v>17.051760000000002</v>
      </c>
      <c r="BL10" s="2">
        <v>23</v>
      </c>
      <c r="BM10" s="2">
        <v>22</v>
      </c>
      <c r="BN10" s="4">
        <v>25</v>
      </c>
      <c r="BO10" s="4">
        <v>0</v>
      </c>
      <c r="BP10" s="4">
        <v>0</v>
      </c>
      <c r="BQ10" s="4">
        <v>25</v>
      </c>
      <c r="BR10" s="2">
        <v>0</v>
      </c>
      <c r="BS10" s="4">
        <v>20</v>
      </c>
      <c r="BT10" s="4">
        <v>1</v>
      </c>
      <c r="BU10" s="4">
        <v>25</v>
      </c>
      <c r="BV10" s="2">
        <v>80</v>
      </c>
      <c r="BW10" s="2">
        <v>12.239000000000001</v>
      </c>
      <c r="BX10" s="2">
        <v>1305.921</v>
      </c>
      <c r="BY10" s="3">
        <v>4.2253059999999998</v>
      </c>
      <c r="BZ10" s="3">
        <v>0.3235499</v>
      </c>
      <c r="CA10" s="2">
        <v>1.6148400000000001</v>
      </c>
      <c r="CB10" s="3">
        <v>0.3235499</v>
      </c>
      <c r="CC10" s="3">
        <v>2.1168079999999998</v>
      </c>
      <c r="CD10" s="3">
        <v>2.2290700000000001</v>
      </c>
      <c r="CE10" s="2">
        <v>5.3033229999999998</v>
      </c>
      <c r="CF10" s="3">
        <v>3484.011</v>
      </c>
      <c r="CG10" s="3">
        <v>3680.4690000000001</v>
      </c>
      <c r="CH10" s="2">
        <v>5.6388379999999998</v>
      </c>
      <c r="CI10" s="3">
        <v>40.998049999999999</v>
      </c>
      <c r="CJ10" s="2">
        <v>9.7613219999999998</v>
      </c>
      <c r="CK10" s="3">
        <v>15403.19</v>
      </c>
      <c r="CL10" s="3">
        <v>15503.97</v>
      </c>
      <c r="CM10" s="2">
        <v>0.65426830000000002</v>
      </c>
      <c r="CN10" s="3">
        <v>28.171209999999999</v>
      </c>
      <c r="CO10" s="3">
        <v>33.626370000000001</v>
      </c>
      <c r="CP10" s="3">
        <v>34.957120000000003</v>
      </c>
      <c r="CQ10" s="2">
        <v>23.956320000000002</v>
      </c>
      <c r="CR10" s="2">
        <v>3.847051</v>
      </c>
      <c r="CS10" s="2">
        <v>-0.1061797</v>
      </c>
      <c r="CT10" s="2">
        <v>19.36431</v>
      </c>
      <c r="CU10" s="2">
        <v>113.88809999999999</v>
      </c>
      <c r="CV10" s="3">
        <v>0.2497394</v>
      </c>
      <c r="CW10" s="2">
        <v>13.6028</v>
      </c>
      <c r="CX10" s="2">
        <v>-0.8885653</v>
      </c>
      <c r="CY10" s="2">
        <v>18.085930000000001</v>
      </c>
      <c r="CZ10" s="2">
        <v>16.616160000000001</v>
      </c>
    </row>
    <row r="11" spans="1:104" ht="15" customHeight="1" x14ac:dyDescent="0.2">
      <c r="A11" s="1">
        <f t="shared" si="0"/>
        <v>5</v>
      </c>
      <c r="B11" s="1" t="s">
        <v>20</v>
      </c>
      <c r="C11" s="1" t="s">
        <v>19</v>
      </c>
      <c r="D11" s="1" t="s">
        <v>16</v>
      </c>
      <c r="E11" s="1" t="s">
        <v>21</v>
      </c>
      <c r="F11" s="1" t="s">
        <v>22</v>
      </c>
      <c r="G11" s="2">
        <v>116464</v>
      </c>
      <c r="H11" s="2">
        <v>85.940799999999996</v>
      </c>
      <c r="I11" s="2">
        <v>100090.1</v>
      </c>
      <c r="J11" s="3">
        <v>145.58000000000001</v>
      </c>
      <c r="K11" s="3">
        <v>0</v>
      </c>
      <c r="L11" s="2">
        <v>2.9193570000000002</v>
      </c>
      <c r="M11" s="2">
        <v>3.0636079999999999</v>
      </c>
      <c r="N11" s="2">
        <v>3.2628110000000001</v>
      </c>
      <c r="O11" s="2">
        <v>3.467095</v>
      </c>
      <c r="P11" s="2">
        <v>31.510819999999999</v>
      </c>
      <c r="Q11" s="2">
        <v>16.195900000000002</v>
      </c>
      <c r="R11" s="2">
        <v>14.133979999999999</v>
      </c>
      <c r="S11" s="2">
        <v>13.016439999999999</v>
      </c>
      <c r="T11" s="2">
        <v>13.590479999999999</v>
      </c>
      <c r="U11" s="2">
        <v>11.60393</v>
      </c>
      <c r="V11" s="2">
        <v>9.8390649999999997</v>
      </c>
      <c r="W11" s="2">
        <v>8.8604920000000007</v>
      </c>
      <c r="X11" s="2">
        <v>2.3857750000000002</v>
      </c>
      <c r="Y11" s="2">
        <v>2.252281</v>
      </c>
      <c r="Z11" s="2">
        <v>2.0955810000000001</v>
      </c>
      <c r="AA11" s="2">
        <v>1.942075</v>
      </c>
      <c r="AB11" s="2">
        <v>12.866350000000001</v>
      </c>
      <c r="AC11" s="2">
        <v>12.28768</v>
      </c>
      <c r="AD11" s="2">
        <v>10.45552</v>
      </c>
      <c r="AE11" s="2">
        <v>9.6328619999999994</v>
      </c>
      <c r="AF11" s="2">
        <v>4.58636</v>
      </c>
      <c r="AG11" s="2">
        <v>5.9599729999999997</v>
      </c>
      <c r="AH11" s="2">
        <v>6.496613</v>
      </c>
      <c r="AI11" s="2">
        <v>6.0023090000000003</v>
      </c>
      <c r="AJ11" s="2">
        <v>7.5547709999999997</v>
      </c>
      <c r="AK11" s="2">
        <v>7.9380189999999997</v>
      </c>
      <c r="AL11" s="3">
        <v>0.58764280000000002</v>
      </c>
      <c r="AM11" s="3">
        <v>0.50293650000000001</v>
      </c>
      <c r="AN11" s="2">
        <v>15.37158</v>
      </c>
      <c r="AO11" s="2">
        <v>17.07921</v>
      </c>
      <c r="AP11" s="2">
        <v>18.577919999999999</v>
      </c>
      <c r="AQ11" s="2">
        <v>19.017759999999999</v>
      </c>
      <c r="AR11" s="2">
        <v>3.6307849999999999</v>
      </c>
      <c r="AS11" s="2">
        <v>2.7373769999999999</v>
      </c>
      <c r="AT11" s="2">
        <v>2.0770080000000002</v>
      </c>
      <c r="AU11" s="2">
        <v>1.6089119999999999</v>
      </c>
      <c r="AV11" s="1" t="s">
        <v>6</v>
      </c>
      <c r="AW11" s="3">
        <v>1.3125</v>
      </c>
      <c r="AX11" s="3">
        <v>170.5</v>
      </c>
      <c r="AY11" s="2">
        <v>17.117740000000001</v>
      </c>
      <c r="AZ11" s="2">
        <v>13.90649</v>
      </c>
      <c r="BA11" s="2">
        <v>24.919889999999999</v>
      </c>
      <c r="BB11" s="2">
        <v>12.712910000000001</v>
      </c>
      <c r="BC11" s="2">
        <v>12.295590000000001</v>
      </c>
      <c r="BD11" s="3">
        <v>93.67</v>
      </c>
      <c r="BE11" s="2">
        <v>55.417969999999997</v>
      </c>
      <c r="BF11" s="3">
        <v>152.19999999999999</v>
      </c>
      <c r="BG11" s="2">
        <v>-4.3495359999999996</v>
      </c>
      <c r="BH11" s="2">
        <v>91.102519999999998</v>
      </c>
      <c r="BI11" s="2">
        <v>50.322719999999997</v>
      </c>
      <c r="BJ11" s="2">
        <v>46.721519999999998</v>
      </c>
      <c r="BK11" s="2">
        <v>45.942570000000003</v>
      </c>
      <c r="BL11" s="2">
        <v>20</v>
      </c>
      <c r="BM11" s="2">
        <v>19</v>
      </c>
      <c r="BN11" s="4">
        <v>24</v>
      </c>
      <c r="BO11" s="4">
        <v>1</v>
      </c>
      <c r="BP11" s="4">
        <v>1</v>
      </c>
      <c r="BQ11" s="4">
        <v>23</v>
      </c>
      <c r="BR11" s="2">
        <v>4</v>
      </c>
      <c r="BS11" s="4">
        <v>18</v>
      </c>
      <c r="BT11" s="4">
        <v>1</v>
      </c>
      <c r="BU11" s="4">
        <v>24</v>
      </c>
      <c r="BV11" s="2">
        <v>75</v>
      </c>
      <c r="BW11" s="2">
        <v>8.4233100000000007</v>
      </c>
      <c r="BX11" s="2">
        <v>800</v>
      </c>
      <c r="BY11" s="3">
        <v>1.55342</v>
      </c>
      <c r="BZ11" s="3">
        <v>0.19417760000000001</v>
      </c>
      <c r="CA11" s="2">
        <v>1.1126199999999999</v>
      </c>
      <c r="CB11" s="3">
        <v>0.19417760000000001</v>
      </c>
      <c r="CC11" s="3">
        <v>8.6136710000000001</v>
      </c>
      <c r="CD11" s="3">
        <v>8.8151849999999996</v>
      </c>
      <c r="CE11" s="2">
        <v>2.339458</v>
      </c>
      <c r="CF11" s="3">
        <v>9852.0480000000007</v>
      </c>
      <c r="CG11" s="3">
        <v>10052.57</v>
      </c>
      <c r="CH11" s="2">
        <v>2.03532</v>
      </c>
      <c r="CI11" s="3">
        <v>150.52629999999999</v>
      </c>
      <c r="CJ11" s="2">
        <v>13.269220000000001</v>
      </c>
      <c r="CK11" s="3">
        <v>75555.16</v>
      </c>
      <c r="CL11" s="3">
        <v>76817.89</v>
      </c>
      <c r="CM11" s="2">
        <v>1.6712670000000001</v>
      </c>
      <c r="CN11" s="3">
        <v>119.6104</v>
      </c>
      <c r="CO11" s="3">
        <v>143.47569999999999</v>
      </c>
      <c r="CP11" s="3">
        <v>145.56540000000001</v>
      </c>
      <c r="CQ11" s="2">
        <v>21.711829999999999</v>
      </c>
      <c r="CR11" s="2">
        <v>1.4666680000000001</v>
      </c>
      <c r="CS11" s="2">
        <v>1.003742E-2</v>
      </c>
      <c r="CT11" s="2">
        <v>19.95252</v>
      </c>
      <c r="CU11" s="2">
        <v>176.7724</v>
      </c>
      <c r="CV11" s="3">
        <v>0.1517829</v>
      </c>
      <c r="CW11" s="2">
        <v>-4.4136300000000004</v>
      </c>
      <c r="CX11" s="2">
        <v>-0.17464180000000001</v>
      </c>
      <c r="CY11" s="2">
        <v>1.161413</v>
      </c>
      <c r="CZ11" s="2">
        <v>17.44444</v>
      </c>
    </row>
    <row r="12" spans="1:104" ht="15" customHeight="1" x14ac:dyDescent="0.2">
      <c r="A12" s="1">
        <f t="shared" si="0"/>
        <v>6</v>
      </c>
      <c r="B12" s="1" t="s">
        <v>24</v>
      </c>
      <c r="C12" s="1" t="s">
        <v>23</v>
      </c>
      <c r="D12" s="1" t="s">
        <v>25</v>
      </c>
      <c r="E12" s="1" t="s">
        <v>4</v>
      </c>
      <c r="F12" s="1" t="s">
        <v>5</v>
      </c>
      <c r="G12" s="2">
        <v>57865.11</v>
      </c>
      <c r="H12" s="2">
        <v>97.4482</v>
      </c>
      <c r="I12" s="2">
        <v>56388.51</v>
      </c>
      <c r="J12" s="3">
        <v>3.4455</v>
      </c>
      <c r="K12" s="3">
        <v>0</v>
      </c>
      <c r="L12" s="2">
        <v>3.1925699999999999</v>
      </c>
      <c r="M12" s="2">
        <v>4.3535050000000002</v>
      </c>
      <c r="N12" s="2">
        <v>4.9339719999999998</v>
      </c>
      <c r="O12" s="2">
        <v>6.3684529999999997</v>
      </c>
      <c r="P12" s="2">
        <v>6.3923940000000004</v>
      </c>
      <c r="Q12" s="2">
        <v>6.0447369999999996</v>
      </c>
      <c r="R12" s="2">
        <v>5.6483600000000003</v>
      </c>
      <c r="S12" s="2">
        <v>5.0910339999999996</v>
      </c>
      <c r="T12" s="2" t="e">
        <v>#N/A</v>
      </c>
      <c r="U12" s="2" t="e">
        <v>#N/A</v>
      </c>
      <c r="V12" s="2" t="e">
        <v>#N/A</v>
      </c>
      <c r="W12" s="2" t="e">
        <v>#N/A</v>
      </c>
      <c r="X12" s="2">
        <v>0.64042750000000004</v>
      </c>
      <c r="Y12" s="2">
        <v>0.59354010000000001</v>
      </c>
      <c r="Z12" s="2">
        <v>0.54908369999999995</v>
      </c>
      <c r="AA12" s="2">
        <v>0.50893650000000001</v>
      </c>
      <c r="AB12" s="2" t="e">
        <v>#N/A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2" t="e">
        <v>#N/A</v>
      </c>
      <c r="AL12" s="3">
        <v>0.90916710000000001</v>
      </c>
      <c r="AM12" s="3">
        <v>0.81791309999999995</v>
      </c>
      <c r="AN12" s="2" t="e">
        <v>#N/A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2" t="e">
        <v>#N/A</v>
      </c>
      <c r="AV12" s="1" t="s">
        <v>6</v>
      </c>
      <c r="AW12" s="3">
        <v>1.375</v>
      </c>
      <c r="AX12" s="3">
        <v>4.5250000000000004</v>
      </c>
      <c r="AY12" s="2">
        <v>31.330729999999999</v>
      </c>
      <c r="AZ12" s="2">
        <v>9.8191210000000009</v>
      </c>
      <c r="BA12" s="2">
        <v>6.796443</v>
      </c>
      <c r="BB12" s="2">
        <v>16.598990000000001</v>
      </c>
      <c r="BC12" s="2">
        <v>22.94379</v>
      </c>
      <c r="BD12" s="3">
        <v>2.3239999999999998</v>
      </c>
      <c r="BE12" s="2">
        <v>48.25732</v>
      </c>
      <c r="BF12" s="3">
        <v>3.8725000000000001</v>
      </c>
      <c r="BG12" s="2">
        <v>-11.02647</v>
      </c>
      <c r="BH12" s="2">
        <v>24.03341</v>
      </c>
      <c r="BI12" s="2">
        <v>31.303249999999998</v>
      </c>
      <c r="BJ12" s="2">
        <v>33.541060000000002</v>
      </c>
      <c r="BK12" s="2">
        <v>35.265129999999999</v>
      </c>
      <c r="BL12" s="2">
        <v>22</v>
      </c>
      <c r="BM12" s="2">
        <v>16</v>
      </c>
      <c r="BN12" s="4">
        <v>24</v>
      </c>
      <c r="BO12" s="4">
        <v>2</v>
      </c>
      <c r="BP12" s="4">
        <v>0</v>
      </c>
      <c r="BQ12" s="4">
        <v>22</v>
      </c>
      <c r="BR12" s="2">
        <v>8.3333340000000007</v>
      </c>
      <c r="BS12" s="4">
        <v>16</v>
      </c>
      <c r="BT12" s="4">
        <v>1</v>
      </c>
      <c r="BU12" s="4">
        <v>24</v>
      </c>
      <c r="BV12" s="2">
        <v>66.666669999999996</v>
      </c>
      <c r="BW12" s="2">
        <v>13.0884</v>
      </c>
      <c r="BX12" s="2">
        <v>16794.400000000001</v>
      </c>
      <c r="BY12" s="3">
        <v>51.333100000000002</v>
      </c>
      <c r="BZ12" s="3">
        <v>0.30565599999999998</v>
      </c>
      <c r="CA12" s="2">
        <v>1.62683</v>
      </c>
      <c r="CB12" s="3">
        <v>0.30565599999999998</v>
      </c>
      <c r="CC12" s="3">
        <v>0.51440419999999998</v>
      </c>
      <c r="CD12" s="3">
        <v>0.55760520000000002</v>
      </c>
      <c r="CE12" s="2">
        <v>8.3982580000000002</v>
      </c>
      <c r="CF12" s="3">
        <v>30136.44</v>
      </c>
      <c r="CG12" s="3">
        <v>30377.23</v>
      </c>
      <c r="CH12" s="2">
        <v>0.7990003</v>
      </c>
      <c r="CI12" s="3">
        <v>3.9981819999999999</v>
      </c>
      <c r="CJ12" s="2">
        <v>13.176439999999999</v>
      </c>
      <c r="CK12" s="3">
        <v>55291.35</v>
      </c>
      <c r="CL12" s="3">
        <v>55562.82</v>
      </c>
      <c r="CM12" s="2">
        <v>0.49097540000000001</v>
      </c>
      <c r="CN12" s="3">
        <v>2.805507</v>
      </c>
      <c r="CO12" s="3">
        <v>3.36049</v>
      </c>
      <c r="CP12" s="3">
        <v>3.5802309999999999</v>
      </c>
      <c r="CQ12" s="2">
        <v>22.81203</v>
      </c>
      <c r="CR12" s="2">
        <v>2.5296810000000001</v>
      </c>
      <c r="CS12" s="2">
        <v>-3.7631929999999998</v>
      </c>
      <c r="CT12" s="2">
        <v>19.781929999999999</v>
      </c>
      <c r="CU12" s="2">
        <v>156.49549999999999</v>
      </c>
      <c r="CV12" s="3">
        <v>0.27044889999999999</v>
      </c>
      <c r="CW12" s="2">
        <v>4.2870819999999998</v>
      </c>
      <c r="CX12" s="2">
        <v>1.058457</v>
      </c>
      <c r="CY12" s="2">
        <v>2.0212509999999999</v>
      </c>
      <c r="CZ12" s="2">
        <v>17.47475</v>
      </c>
    </row>
    <row r="13" spans="1:104" ht="15" customHeight="1" x14ac:dyDescent="0.2">
      <c r="A13" s="1">
        <f t="shared" si="0"/>
        <v>7</v>
      </c>
      <c r="B13" s="1" t="s">
        <v>27</v>
      </c>
      <c r="C13" s="1" t="s">
        <v>26</v>
      </c>
      <c r="D13" s="1" t="s">
        <v>16</v>
      </c>
      <c r="E13" s="1" t="s">
        <v>28</v>
      </c>
      <c r="F13" s="1" t="s">
        <v>29</v>
      </c>
      <c r="G13" s="2">
        <v>77905.56</v>
      </c>
      <c r="H13" s="2">
        <v>80.316699999999997</v>
      </c>
      <c r="I13" s="2">
        <v>62571.18</v>
      </c>
      <c r="J13" s="3">
        <v>72.819999999999993</v>
      </c>
      <c r="K13" s="3">
        <v>0</v>
      </c>
      <c r="L13" s="2">
        <v>7.1408950000000004</v>
      </c>
      <c r="M13" s="2">
        <v>7.0065179999999998</v>
      </c>
      <c r="N13" s="2">
        <v>7.0042650000000002</v>
      </c>
      <c r="O13" s="2">
        <v>7.2782200000000001</v>
      </c>
      <c r="P13" s="2">
        <v>5.3741700000000003</v>
      </c>
      <c r="Q13" s="2">
        <v>6.0313140000000001</v>
      </c>
      <c r="R13" s="2">
        <v>5.981109</v>
      </c>
      <c r="S13" s="2">
        <v>5.5891469999999996</v>
      </c>
      <c r="T13" s="2">
        <v>1.445519</v>
      </c>
      <c r="U13" s="2">
        <v>2.0190049999999999</v>
      </c>
      <c r="V13" s="2">
        <v>1.913886</v>
      </c>
      <c r="W13" s="2">
        <v>1.56307</v>
      </c>
      <c r="X13" s="2">
        <v>0.9605593</v>
      </c>
      <c r="Y13" s="2">
        <v>0.88438190000000005</v>
      </c>
      <c r="Z13" s="2">
        <v>0.80996610000000002</v>
      </c>
      <c r="AA13" s="2">
        <v>0.73518430000000001</v>
      </c>
      <c r="AB13" s="2">
        <v>4.3949660000000002</v>
      </c>
      <c r="AC13" s="2">
        <v>4.1024260000000004</v>
      </c>
      <c r="AD13" s="2">
        <v>4.0641360000000004</v>
      </c>
      <c r="AE13" s="2">
        <v>3.7791039999999998</v>
      </c>
      <c r="AF13" s="2">
        <v>19.291319999999999</v>
      </c>
      <c r="AG13" s="2">
        <v>21.21707</v>
      </c>
      <c r="AH13" s="2">
        <v>24.365950000000002</v>
      </c>
      <c r="AI13" s="2">
        <v>12.693619999999999</v>
      </c>
      <c r="AJ13" s="2">
        <v>13.237539999999999</v>
      </c>
      <c r="AK13" s="2">
        <v>12.91596</v>
      </c>
      <c r="AL13" s="3">
        <v>7.0925000000000002</v>
      </c>
      <c r="AM13" s="3">
        <v>6.9488089999999998</v>
      </c>
      <c r="AN13" s="2">
        <v>18.01662</v>
      </c>
      <c r="AO13" s="2">
        <v>16.65333</v>
      </c>
      <c r="AP13" s="2">
        <v>16.124559999999999</v>
      </c>
      <c r="AQ13" s="2">
        <v>16.103570000000001</v>
      </c>
      <c r="AR13" s="2">
        <v>-0.98484899999999997</v>
      </c>
      <c r="AS13" s="2">
        <v>-1.04941</v>
      </c>
      <c r="AT13" s="2">
        <v>-1.153683</v>
      </c>
      <c r="AU13" s="2">
        <v>-1.3856630000000001</v>
      </c>
      <c r="AV13" s="1" t="s">
        <v>6</v>
      </c>
      <c r="AW13" s="3">
        <v>1.2391300000000001</v>
      </c>
      <c r="AX13" s="3">
        <v>90</v>
      </c>
      <c r="AY13" s="2">
        <v>23.592420000000001</v>
      </c>
      <c r="AZ13" s="2">
        <v>14.663169999999999</v>
      </c>
      <c r="BA13" s="2">
        <v>0.84677480000000005</v>
      </c>
      <c r="BB13" s="2">
        <v>19.848590000000002</v>
      </c>
      <c r="BC13" s="2">
        <v>18.599340000000002</v>
      </c>
      <c r="BD13" s="3">
        <v>50.19</v>
      </c>
      <c r="BE13" s="2">
        <v>45.088659999999997</v>
      </c>
      <c r="BF13" s="3">
        <v>75.92</v>
      </c>
      <c r="BG13" s="2">
        <v>-4.0832459999999999</v>
      </c>
      <c r="BH13" s="2">
        <v>37.963099999999997</v>
      </c>
      <c r="BI13" s="2">
        <v>41.226759999999999</v>
      </c>
      <c r="BJ13" s="2">
        <v>41.079599999999999</v>
      </c>
      <c r="BK13" s="2">
        <v>41.120399999999997</v>
      </c>
      <c r="BL13" s="2">
        <v>20</v>
      </c>
      <c r="BM13" s="2">
        <v>19</v>
      </c>
      <c r="BN13" s="4">
        <v>23</v>
      </c>
      <c r="BO13" s="4">
        <v>0</v>
      </c>
      <c r="BP13" s="4">
        <v>0</v>
      </c>
      <c r="BQ13" s="4">
        <v>22</v>
      </c>
      <c r="BR13" s="2">
        <v>0</v>
      </c>
      <c r="BS13" s="4">
        <v>19</v>
      </c>
      <c r="BT13" s="4">
        <v>0</v>
      </c>
      <c r="BU13" s="4">
        <v>23</v>
      </c>
      <c r="BV13" s="2">
        <v>82.608699999999999</v>
      </c>
      <c r="BW13" s="2">
        <v>9.7489000000000008</v>
      </c>
      <c r="BX13" s="2">
        <v>1069.837</v>
      </c>
      <c r="BY13" s="3">
        <v>2.6958700000000002</v>
      </c>
      <c r="BZ13" s="3">
        <v>0.25198880000000001</v>
      </c>
      <c r="CA13" s="2">
        <v>1.2431700000000001</v>
      </c>
      <c r="CB13" s="3">
        <v>0.25198880000000001</v>
      </c>
      <c r="CC13" s="3">
        <v>11.3537</v>
      </c>
      <c r="CD13" s="3">
        <v>12.12505</v>
      </c>
      <c r="CE13" s="2">
        <v>6.7938330000000002</v>
      </c>
      <c r="CF13" s="3">
        <v>17052.34</v>
      </c>
      <c r="CG13" s="3">
        <v>18217.48</v>
      </c>
      <c r="CH13" s="2">
        <v>6.8327429999999998</v>
      </c>
      <c r="CI13" s="3">
        <v>82.948779999999999</v>
      </c>
      <c r="CJ13" s="2">
        <v>8.5006950000000003</v>
      </c>
      <c r="CK13" s="3">
        <v>149835.5</v>
      </c>
      <c r="CL13" s="3">
        <v>152079.5</v>
      </c>
      <c r="CM13" s="2">
        <v>1.4976259999999999</v>
      </c>
      <c r="CN13" s="3">
        <v>61.69717</v>
      </c>
      <c r="CO13" s="3">
        <v>70.671779999999998</v>
      </c>
      <c r="CP13" s="3">
        <v>73.385379999999998</v>
      </c>
      <c r="CQ13" s="2">
        <v>18.028099999999998</v>
      </c>
      <c r="CR13" s="2">
        <v>3.0397180000000001</v>
      </c>
      <c r="CS13" s="2">
        <v>-0.7704318</v>
      </c>
      <c r="CT13" s="2">
        <v>14.54622</v>
      </c>
      <c r="CU13" s="2">
        <v>147.12780000000001</v>
      </c>
      <c r="CV13" s="3">
        <v>0.18885399999999999</v>
      </c>
      <c r="CW13" s="2">
        <v>13.602510000000001</v>
      </c>
      <c r="CX13" s="2">
        <v>7.9765600000000001</v>
      </c>
      <c r="CY13" s="2">
        <v>3.7313339999999999</v>
      </c>
      <c r="CZ13" s="2">
        <v>17.828279999999999</v>
      </c>
    </row>
    <row r="14" spans="1:104" ht="15" customHeight="1" x14ac:dyDescent="0.2">
      <c r="A14" s="1">
        <f t="shared" si="0"/>
        <v>8</v>
      </c>
      <c r="B14" s="1" t="s">
        <v>31</v>
      </c>
      <c r="C14" s="1" t="s">
        <v>30</v>
      </c>
      <c r="D14" s="1" t="s">
        <v>25</v>
      </c>
      <c r="E14" s="1" t="s">
        <v>4</v>
      </c>
      <c r="F14" s="1" t="s">
        <v>5</v>
      </c>
      <c r="G14" s="2">
        <v>40341.480000000003</v>
      </c>
      <c r="H14" s="2">
        <v>99.734899999999996</v>
      </c>
      <c r="I14" s="2">
        <v>40234.53</v>
      </c>
      <c r="J14" s="3">
        <v>6.69</v>
      </c>
      <c r="K14" s="3">
        <v>0</v>
      </c>
      <c r="L14" s="2">
        <v>6.4275039999999999</v>
      </c>
      <c r="M14" s="2">
        <v>7.6017939999999999</v>
      </c>
      <c r="N14" s="2">
        <v>7.6233180000000003</v>
      </c>
      <c r="O14" s="2">
        <v>7.7727950000000003</v>
      </c>
      <c r="P14" s="2">
        <v>6.371429</v>
      </c>
      <c r="Q14" s="2">
        <v>6.1966919999999996</v>
      </c>
      <c r="R14" s="2">
        <v>6.330711</v>
      </c>
      <c r="S14" s="2">
        <v>6.3232869999999997</v>
      </c>
      <c r="T14" s="2" t="e">
        <v>#N/A</v>
      </c>
      <c r="U14" s="2" t="e">
        <v>#N/A</v>
      </c>
      <c r="V14" s="2" t="e">
        <v>#N/A</v>
      </c>
      <c r="W14" s="2" t="e">
        <v>#N/A</v>
      </c>
      <c r="X14" s="2">
        <v>0.85879329999999998</v>
      </c>
      <c r="Y14" s="2">
        <v>0.81189319999999998</v>
      </c>
      <c r="Z14" s="2">
        <v>0.76896549999999997</v>
      </c>
      <c r="AA14" s="2">
        <v>0.71317169999999996</v>
      </c>
      <c r="AB14" s="2" t="e">
        <v>#N/A</v>
      </c>
      <c r="AC14" s="2" t="e">
        <v>#N/A</v>
      </c>
      <c r="AD14" s="2" t="e">
        <v>#N/A</v>
      </c>
      <c r="AE14" s="2" t="e">
        <v>#N/A</v>
      </c>
      <c r="AF14" s="2" t="e">
        <v>#N/A</v>
      </c>
      <c r="AG14" s="2" t="e">
        <v>#N/A</v>
      </c>
      <c r="AH14" s="2" t="e">
        <v>#N/A</v>
      </c>
      <c r="AI14" s="2" t="e">
        <v>#N/A</v>
      </c>
      <c r="AJ14" s="2" t="e">
        <v>#N/A</v>
      </c>
      <c r="AK14" s="2" t="e">
        <v>#N/A</v>
      </c>
      <c r="AL14" s="3">
        <v>0.83379749999999997</v>
      </c>
      <c r="AM14" s="3">
        <v>0.83962919999999996</v>
      </c>
      <c r="AN14" s="2" t="e">
        <v>#N/A</v>
      </c>
      <c r="AO14" s="2" t="e">
        <v>#N/A</v>
      </c>
      <c r="AP14" s="2" t="e">
        <v>#N/A</v>
      </c>
      <c r="AQ14" s="2" t="e">
        <v>#N/A</v>
      </c>
      <c r="AR14" s="2" t="e">
        <v>#N/A</v>
      </c>
      <c r="AS14" s="2" t="e">
        <v>#N/A</v>
      </c>
      <c r="AT14" s="2" t="e">
        <v>#N/A</v>
      </c>
      <c r="AU14" s="2" t="e">
        <v>#N/A</v>
      </c>
      <c r="AV14" s="1" t="s">
        <v>32</v>
      </c>
      <c r="AW14" s="3">
        <v>1.518519</v>
      </c>
      <c r="AX14" s="3">
        <v>8</v>
      </c>
      <c r="AY14" s="2">
        <v>19.58146</v>
      </c>
      <c r="AZ14" s="2">
        <v>13.102040000000001</v>
      </c>
      <c r="BA14" s="2">
        <v>8</v>
      </c>
      <c r="BB14" s="2">
        <v>31.047989999999999</v>
      </c>
      <c r="BC14" s="2">
        <v>18.74335</v>
      </c>
      <c r="BD14" s="3">
        <v>3.972</v>
      </c>
      <c r="BE14" s="2">
        <v>68.429010000000005</v>
      </c>
      <c r="BF14" s="3">
        <v>7.5549999999999997</v>
      </c>
      <c r="BG14" s="2">
        <v>-11.44937</v>
      </c>
      <c r="BH14" s="2">
        <v>42.534759999999999</v>
      </c>
      <c r="BI14" s="2">
        <v>47.550109999999997</v>
      </c>
      <c r="BJ14" s="2">
        <v>48.069429999999997</v>
      </c>
      <c r="BK14" s="2">
        <v>49.461680000000001</v>
      </c>
      <c r="BL14" s="2">
        <v>24</v>
      </c>
      <c r="BM14" s="2">
        <v>17</v>
      </c>
      <c r="BN14" s="4">
        <v>27</v>
      </c>
      <c r="BO14" s="4">
        <v>0</v>
      </c>
      <c r="BP14" s="4">
        <v>1</v>
      </c>
      <c r="BQ14" s="4">
        <v>26</v>
      </c>
      <c r="BR14" s="2">
        <v>0</v>
      </c>
      <c r="BS14" s="4">
        <v>15</v>
      </c>
      <c r="BT14" s="4">
        <v>1</v>
      </c>
      <c r="BU14" s="4">
        <v>27</v>
      </c>
      <c r="BV14" s="2">
        <v>55.55556</v>
      </c>
      <c r="BW14" s="2">
        <v>14.3331</v>
      </c>
      <c r="BX14" s="2">
        <v>6030.116</v>
      </c>
      <c r="BY14" s="3">
        <v>20.04617</v>
      </c>
      <c r="BZ14" s="3">
        <v>0.33243410000000001</v>
      </c>
      <c r="CA14" s="2">
        <v>1.7843199999999999</v>
      </c>
      <c r="CB14" s="3">
        <v>0.33243410000000001</v>
      </c>
      <c r="CC14" s="3">
        <v>0.94028219999999996</v>
      </c>
      <c r="CD14" s="3">
        <v>1.06978</v>
      </c>
      <c r="CE14" s="2">
        <v>13.772209999999999</v>
      </c>
      <c r="CF14" s="3">
        <v>14486.16</v>
      </c>
      <c r="CG14" s="3">
        <v>15246.64</v>
      </c>
      <c r="CH14" s="2">
        <v>5.2496669999999996</v>
      </c>
      <c r="CI14" s="3">
        <v>6.8854170000000003</v>
      </c>
      <c r="CJ14" s="2">
        <v>16.1876</v>
      </c>
      <c r="CK14" s="3">
        <v>25949.97</v>
      </c>
      <c r="CL14" s="3">
        <v>27124.720000000001</v>
      </c>
      <c r="CM14" s="2">
        <v>4.5269849999999998</v>
      </c>
      <c r="CN14" s="3">
        <v>5.3286819999999997</v>
      </c>
      <c r="CO14" s="3">
        <v>6.7171570000000003</v>
      </c>
      <c r="CP14" s="3">
        <v>7.0222300000000004</v>
      </c>
      <c r="CQ14" s="2">
        <v>25.546980000000001</v>
      </c>
      <c r="CR14" s="2">
        <v>-0.40429229999999999</v>
      </c>
      <c r="CS14" s="2">
        <v>-4.7311189999999996</v>
      </c>
      <c r="CT14" s="2">
        <v>26.056619999999999</v>
      </c>
      <c r="CU14" s="2">
        <v>93.094840000000005</v>
      </c>
      <c r="CV14" s="3">
        <v>0.2307671</v>
      </c>
      <c r="CW14" s="2">
        <v>4.8323299999999998</v>
      </c>
      <c r="CX14" s="2">
        <v>-0.28612910000000003</v>
      </c>
      <c r="CY14" s="2">
        <v>-1.0890390000000001</v>
      </c>
      <c r="CZ14" s="2">
        <v>18.33333</v>
      </c>
    </row>
    <row r="15" spans="1:104" ht="15" customHeight="1" x14ac:dyDescent="0.2">
      <c r="A15" s="1">
        <f t="shared" si="0"/>
        <v>9</v>
      </c>
      <c r="B15" s="1" t="s">
        <v>34</v>
      </c>
      <c r="C15" s="1" t="s">
        <v>33</v>
      </c>
      <c r="D15" s="1" t="s">
        <v>35</v>
      </c>
      <c r="E15" s="1" t="s">
        <v>21</v>
      </c>
      <c r="F15" s="1" t="s">
        <v>36</v>
      </c>
      <c r="G15" s="2">
        <v>87125.94</v>
      </c>
      <c r="H15" s="2">
        <v>92.366399999999999</v>
      </c>
      <c r="I15" s="2">
        <v>80475.09</v>
      </c>
      <c r="J15" s="3">
        <v>152.56</v>
      </c>
      <c r="K15" s="3">
        <v>0</v>
      </c>
      <c r="L15" s="2">
        <v>2.064762</v>
      </c>
      <c r="M15" s="2">
        <v>2.2089669999999999</v>
      </c>
      <c r="N15" s="2">
        <v>2.4056109999999999</v>
      </c>
      <c r="O15" s="2">
        <v>2.6219190000000001</v>
      </c>
      <c r="P15" s="2">
        <v>21.457100000000001</v>
      </c>
      <c r="Q15" s="2">
        <v>19.417870000000001</v>
      </c>
      <c r="R15" s="2">
        <v>17.864170000000001</v>
      </c>
      <c r="S15" s="2">
        <v>16.814609999999998</v>
      </c>
      <c r="T15" s="2">
        <v>12.23631</v>
      </c>
      <c r="U15" s="2">
        <v>13.06643</v>
      </c>
      <c r="V15" s="2">
        <v>11.91513</v>
      </c>
      <c r="W15" s="2">
        <v>10.966329999999999</v>
      </c>
      <c r="X15" s="2">
        <v>3.3501029999999998</v>
      </c>
      <c r="Y15" s="2">
        <v>3.1279889999999999</v>
      </c>
      <c r="Z15" s="2">
        <v>2.8871280000000001</v>
      </c>
      <c r="AA15" s="2">
        <v>2.646773</v>
      </c>
      <c r="AB15" s="2">
        <v>19.39733</v>
      </c>
      <c r="AC15" s="2">
        <v>15.436920000000001</v>
      </c>
      <c r="AD15" s="2">
        <v>14.54341</v>
      </c>
      <c r="AE15" s="2">
        <v>13.70224</v>
      </c>
      <c r="AF15" s="2">
        <v>3.7609900000000001</v>
      </c>
      <c r="AG15" s="2">
        <v>4.6554200000000003</v>
      </c>
      <c r="AH15" s="2">
        <v>4.8131180000000002</v>
      </c>
      <c r="AI15" s="2">
        <v>4.1511810000000002</v>
      </c>
      <c r="AJ15" s="2">
        <v>4.9969380000000001</v>
      </c>
      <c r="AK15" s="2">
        <v>5.0418229999999999</v>
      </c>
      <c r="AL15" s="3">
        <v>2.7192219999999998</v>
      </c>
      <c r="AM15" s="3">
        <v>2.4951449999999999</v>
      </c>
      <c r="AN15" s="2">
        <v>19.562190000000001</v>
      </c>
      <c r="AO15" s="2">
        <v>20.440770000000001</v>
      </c>
      <c r="AP15" s="2">
        <v>20.842210000000001</v>
      </c>
      <c r="AQ15" s="2">
        <v>21.121210000000001</v>
      </c>
      <c r="AR15" s="2">
        <v>1.06999</v>
      </c>
      <c r="AS15" s="2">
        <v>1.2281820000000001</v>
      </c>
      <c r="AT15" s="2">
        <v>0.81434640000000003</v>
      </c>
      <c r="AU15" s="2">
        <v>0.49745020000000001</v>
      </c>
      <c r="AV15" s="1" t="s">
        <v>37</v>
      </c>
      <c r="AW15" s="3">
        <v>1.5625</v>
      </c>
      <c r="AX15" s="3">
        <v>170</v>
      </c>
      <c r="AY15" s="2">
        <v>11.431570000000001</v>
      </c>
      <c r="AZ15" s="2">
        <v>16.108820000000001</v>
      </c>
      <c r="BA15" s="2">
        <v>6.2168049999999999</v>
      </c>
      <c r="BB15" s="2">
        <v>4.5647739999999999</v>
      </c>
      <c r="BC15" s="2">
        <v>16.707470000000001</v>
      </c>
      <c r="BD15" s="3">
        <v>110.02</v>
      </c>
      <c r="BE15" s="2">
        <v>38.665700000000001</v>
      </c>
      <c r="BF15" s="3">
        <v>159.62</v>
      </c>
      <c r="BG15" s="2">
        <v>-4.4230039999999997</v>
      </c>
      <c r="BH15" s="2">
        <v>43.755209999999998</v>
      </c>
      <c r="BI15" s="2">
        <v>43.965580000000003</v>
      </c>
      <c r="BJ15" s="2">
        <v>43.578879999999998</v>
      </c>
      <c r="BK15" s="2">
        <v>43.614400000000003</v>
      </c>
      <c r="BL15" s="2">
        <v>22</v>
      </c>
      <c r="BM15" s="2">
        <v>21</v>
      </c>
      <c r="BN15" s="4">
        <v>24</v>
      </c>
      <c r="BO15" s="4">
        <v>1</v>
      </c>
      <c r="BP15" s="4">
        <v>0</v>
      </c>
      <c r="BQ15" s="4">
        <v>22</v>
      </c>
      <c r="BR15" s="2">
        <v>4.3478260000000004</v>
      </c>
      <c r="BS15" s="4">
        <v>15</v>
      </c>
      <c r="BT15" s="4">
        <v>3</v>
      </c>
      <c r="BU15" s="4">
        <v>24</v>
      </c>
      <c r="BV15" s="2">
        <v>62.5</v>
      </c>
      <c r="BW15" s="2">
        <v>8.0026799999999998</v>
      </c>
      <c r="BX15" s="2">
        <v>571.09299999999996</v>
      </c>
      <c r="BY15" s="3">
        <v>0.90237650000000003</v>
      </c>
      <c r="BZ15" s="3">
        <v>0.1580087</v>
      </c>
      <c r="CA15" s="2">
        <v>0.98338899999999996</v>
      </c>
      <c r="CB15" s="3">
        <v>0.1580087</v>
      </c>
      <c r="CC15" s="3">
        <v>7.571739</v>
      </c>
      <c r="CD15" s="3">
        <v>7.8102669999999996</v>
      </c>
      <c r="CE15" s="2">
        <v>3.1502370000000002</v>
      </c>
      <c r="CF15" s="3">
        <v>5672.9690000000001</v>
      </c>
      <c r="CG15" s="3">
        <v>6004.723</v>
      </c>
      <c r="CH15" s="2">
        <v>5.8479669999999997</v>
      </c>
      <c r="CI15" s="3">
        <v>149.5</v>
      </c>
      <c r="CJ15" s="2">
        <v>13.71237</v>
      </c>
      <c r="CK15" s="3">
        <v>34295.300000000003</v>
      </c>
      <c r="CL15" s="3">
        <v>35950.82</v>
      </c>
      <c r="CM15" s="2">
        <v>4.827261</v>
      </c>
      <c r="CN15" s="3">
        <v>132.7193</v>
      </c>
      <c r="CO15" s="3">
        <v>149.70240000000001</v>
      </c>
      <c r="CP15" s="3">
        <v>153.1362</v>
      </c>
      <c r="CQ15" s="2">
        <v>14.949350000000001</v>
      </c>
      <c r="CR15" s="2">
        <v>1.9088750000000001</v>
      </c>
      <c r="CS15" s="2">
        <v>-0.37624839999999998</v>
      </c>
      <c r="CT15" s="2">
        <v>12.796200000000001</v>
      </c>
      <c r="CU15" s="2">
        <v>120.5027</v>
      </c>
      <c r="CV15" s="3">
        <v>0.1383086</v>
      </c>
      <c r="CW15" s="2" t="e">
        <v>#N/A</v>
      </c>
      <c r="CX15" s="2">
        <v>6.7535280000000002</v>
      </c>
      <c r="CY15" s="2" t="e">
        <v>#N/A</v>
      </c>
      <c r="CZ15" s="2">
        <v>19.262630000000001</v>
      </c>
    </row>
    <row r="16" spans="1:104" ht="15" customHeight="1" x14ac:dyDescent="0.2">
      <c r="A16" s="1">
        <f t="shared" si="0"/>
        <v>10</v>
      </c>
      <c r="B16" s="1" t="s">
        <v>39</v>
      </c>
      <c r="C16" s="1" t="s">
        <v>38</v>
      </c>
      <c r="D16" s="1" t="s">
        <v>3</v>
      </c>
      <c r="E16" s="1" t="s">
        <v>28</v>
      </c>
      <c r="F16" s="1" t="s">
        <v>29</v>
      </c>
      <c r="G16" s="2">
        <v>51540.73</v>
      </c>
      <c r="H16" s="2">
        <v>69.104900000000001</v>
      </c>
      <c r="I16" s="2">
        <v>35617.17</v>
      </c>
      <c r="J16" s="3">
        <v>16.393999999999998</v>
      </c>
      <c r="K16" s="3">
        <v>0</v>
      </c>
      <c r="L16" s="2">
        <v>8.1737230000000007</v>
      </c>
      <c r="M16" s="2">
        <v>7.8992310000000003</v>
      </c>
      <c r="N16" s="2">
        <v>7.7467370000000004</v>
      </c>
      <c r="O16" s="2">
        <v>8.6556060000000006</v>
      </c>
      <c r="P16" s="2">
        <v>3.0804209999999999</v>
      </c>
      <c r="Q16" s="2">
        <v>3.587701</v>
      </c>
      <c r="R16" s="2">
        <v>3.3253550000000001</v>
      </c>
      <c r="S16" s="2">
        <v>3.066592</v>
      </c>
      <c r="T16" s="2">
        <v>0.5737025</v>
      </c>
      <c r="U16" s="2">
        <v>0.95306380000000002</v>
      </c>
      <c r="V16" s="2">
        <v>0.8139594</v>
      </c>
      <c r="W16" s="2">
        <v>0.64975450000000001</v>
      </c>
      <c r="X16" s="2">
        <v>0.73634429999999995</v>
      </c>
      <c r="Y16" s="2">
        <v>0.64668060000000005</v>
      </c>
      <c r="Z16" s="2">
        <v>0.5610541</v>
      </c>
      <c r="AA16" s="2">
        <v>0.48769479999999998</v>
      </c>
      <c r="AB16" s="2">
        <v>2.5235460000000001</v>
      </c>
      <c r="AC16" s="2">
        <v>2.4439950000000001</v>
      </c>
      <c r="AD16" s="2">
        <v>2.4340130000000002</v>
      </c>
      <c r="AE16" s="2">
        <v>2.152863</v>
      </c>
      <c r="AF16" s="2">
        <v>34.398119999999999</v>
      </c>
      <c r="AG16" s="2">
        <v>40.246519999999997</v>
      </c>
      <c r="AH16" s="2">
        <v>49.511099999999999</v>
      </c>
      <c r="AI16" s="2">
        <v>16.449149999999999</v>
      </c>
      <c r="AJ16" s="2">
        <v>17.18045</v>
      </c>
      <c r="AK16" s="2">
        <v>18.48535</v>
      </c>
      <c r="AL16" s="3">
        <v>1.746575</v>
      </c>
      <c r="AM16" s="3">
        <v>1.6817820000000001</v>
      </c>
      <c r="AN16" s="2">
        <v>15.52463</v>
      </c>
      <c r="AO16" s="2">
        <v>14.15456</v>
      </c>
      <c r="AP16" s="2">
        <v>14.326000000000001</v>
      </c>
      <c r="AQ16" s="2">
        <v>14.835660000000001</v>
      </c>
      <c r="AR16" s="2">
        <v>-0.92195400000000005</v>
      </c>
      <c r="AS16" s="2">
        <v>-1.039963</v>
      </c>
      <c r="AT16" s="2">
        <v>-1.092803</v>
      </c>
      <c r="AU16" s="2">
        <v>-1.090546</v>
      </c>
      <c r="AV16" s="1" t="s">
        <v>6</v>
      </c>
      <c r="AW16" s="3">
        <v>1.1923079999999999</v>
      </c>
      <c r="AX16" s="3">
        <v>21</v>
      </c>
      <c r="AY16" s="2">
        <v>28.095649999999999</v>
      </c>
      <c r="AZ16" s="2">
        <v>18.024930000000001</v>
      </c>
      <c r="BA16" s="2">
        <v>2.008718</v>
      </c>
      <c r="BB16" s="2">
        <v>17.099989999999998</v>
      </c>
      <c r="BC16" s="2">
        <v>23.597709999999999</v>
      </c>
      <c r="BD16" s="3">
        <v>11.157999999999999</v>
      </c>
      <c r="BE16" s="2">
        <v>46.925960000000003</v>
      </c>
      <c r="BF16" s="3">
        <v>17.786000000000001</v>
      </c>
      <c r="BG16" s="2">
        <v>-7.8263819999999997</v>
      </c>
      <c r="BH16" s="2">
        <v>24.285710000000002</v>
      </c>
      <c r="BI16" s="2">
        <v>26.977989999999998</v>
      </c>
      <c r="BJ16" s="2">
        <v>26.606760000000001</v>
      </c>
      <c r="BK16" s="2">
        <v>26.833269999999999</v>
      </c>
      <c r="BL16" s="2">
        <v>22</v>
      </c>
      <c r="BM16" s="2">
        <v>23</v>
      </c>
      <c r="BN16" s="4">
        <v>26</v>
      </c>
      <c r="BO16" s="4">
        <v>1</v>
      </c>
      <c r="BP16" s="4">
        <v>1</v>
      </c>
      <c r="BQ16" s="4">
        <v>22</v>
      </c>
      <c r="BR16" s="2">
        <v>4.1666670000000003</v>
      </c>
      <c r="BS16" s="4">
        <v>22</v>
      </c>
      <c r="BT16" s="4">
        <v>0</v>
      </c>
      <c r="BU16" s="4">
        <v>26</v>
      </c>
      <c r="BV16" s="2">
        <v>84.615390000000005</v>
      </c>
      <c r="BW16" s="2">
        <v>12.840999999999999</v>
      </c>
      <c r="BX16" s="2">
        <v>3143.8780000000002</v>
      </c>
      <c r="BY16" s="3">
        <v>11.437939999999999</v>
      </c>
      <c r="BZ16" s="3">
        <v>0.36381639999999998</v>
      </c>
      <c r="CA16" s="2">
        <v>1.4295100000000001</v>
      </c>
      <c r="CB16" s="3">
        <v>0.36381639999999998</v>
      </c>
      <c r="CC16" s="3">
        <v>4.43689</v>
      </c>
      <c r="CD16" s="3">
        <v>4.6728139999999998</v>
      </c>
      <c r="CE16" s="2">
        <v>5.317342</v>
      </c>
      <c r="CF16" s="3">
        <v>18900.669999999998</v>
      </c>
      <c r="CG16" s="3">
        <v>19230.96</v>
      </c>
      <c r="CH16" s="2">
        <v>1.747525</v>
      </c>
      <c r="CI16" s="3">
        <v>20.91818</v>
      </c>
      <c r="CJ16" s="2">
        <v>0.39112570000000002</v>
      </c>
      <c r="CK16" s="3">
        <v>181715.5</v>
      </c>
      <c r="CL16" s="3">
        <v>182325.7</v>
      </c>
      <c r="CM16" s="2">
        <v>0.3357887</v>
      </c>
      <c r="CN16" s="3">
        <v>13.87697</v>
      </c>
      <c r="CO16" s="3">
        <v>15.39377</v>
      </c>
      <c r="CP16" s="3">
        <v>16.382770000000001</v>
      </c>
      <c r="CQ16" s="2">
        <v>18.13813</v>
      </c>
      <c r="CR16" s="2">
        <v>6.4976450000000003</v>
      </c>
      <c r="CS16" s="2">
        <v>6.8545339999999996E-2</v>
      </c>
      <c r="CT16" s="2">
        <v>10.93028</v>
      </c>
      <c r="CU16" s="2">
        <v>170.56720000000001</v>
      </c>
      <c r="CV16" s="3">
        <v>0.33093679999999998</v>
      </c>
      <c r="CW16" s="2">
        <v>11.93843</v>
      </c>
      <c r="CX16" s="2">
        <v>6.4366969999999997</v>
      </c>
      <c r="CY16" s="2" t="e">
        <v>#N/A</v>
      </c>
      <c r="CZ16" s="2">
        <v>19.33333</v>
      </c>
    </row>
    <row r="17" spans="1:104" ht="15" customHeight="1" x14ac:dyDescent="0.2">
      <c r="A17" s="1">
        <f t="shared" si="0"/>
        <v>11</v>
      </c>
      <c r="B17" s="1" t="s">
        <v>41</v>
      </c>
      <c r="C17" s="1" t="s">
        <v>40</v>
      </c>
      <c r="D17" s="1" t="s">
        <v>35</v>
      </c>
      <c r="E17" s="1" t="s">
        <v>42</v>
      </c>
      <c r="F17" s="1" t="s">
        <v>43</v>
      </c>
      <c r="G17" s="2">
        <v>63099.8</v>
      </c>
      <c r="H17" s="2">
        <v>82.023499999999999</v>
      </c>
      <c r="I17" s="2">
        <v>51756.66</v>
      </c>
      <c r="J17" s="3">
        <v>107.06</v>
      </c>
      <c r="K17" s="3">
        <v>0</v>
      </c>
      <c r="L17" s="2">
        <v>3.7362229999999998</v>
      </c>
      <c r="M17" s="2">
        <v>3.9323739999999998</v>
      </c>
      <c r="N17" s="2">
        <v>4.2873159999999997</v>
      </c>
      <c r="O17" s="2">
        <v>4.5068190000000001</v>
      </c>
      <c r="P17" s="2">
        <v>14.332000000000001</v>
      </c>
      <c r="Q17" s="2">
        <v>13.625069999999999</v>
      </c>
      <c r="R17" s="2">
        <v>12.56573</v>
      </c>
      <c r="S17" s="2">
        <v>11.87875</v>
      </c>
      <c r="T17" s="2">
        <v>7.1990160000000003</v>
      </c>
      <c r="U17" s="2">
        <v>7.4353720000000001</v>
      </c>
      <c r="V17" s="2">
        <v>6.8368089999999997</v>
      </c>
      <c r="W17" s="2">
        <v>6.3479929999999998</v>
      </c>
      <c r="X17" s="2">
        <v>2.3277000000000001</v>
      </c>
      <c r="Y17" s="2">
        <v>2.1756139999999999</v>
      </c>
      <c r="Z17" s="2">
        <v>1.979735</v>
      </c>
      <c r="AA17" s="2">
        <v>1.835898</v>
      </c>
      <c r="AB17" s="2">
        <v>7.1401820000000003</v>
      </c>
      <c r="AC17" s="2">
        <v>7.5394360000000002</v>
      </c>
      <c r="AD17" s="2">
        <v>6.8925429999999999</v>
      </c>
      <c r="AE17" s="2">
        <v>6.6116140000000003</v>
      </c>
      <c r="AF17" s="2">
        <v>5.6467869999999998</v>
      </c>
      <c r="AG17" s="2">
        <v>6.32667</v>
      </c>
      <c r="AH17" s="2">
        <v>6.7300740000000001</v>
      </c>
      <c r="AI17" s="2">
        <v>7.2154860000000003</v>
      </c>
      <c r="AJ17" s="2">
        <v>7.8831249999999997</v>
      </c>
      <c r="AK17" s="2">
        <v>8.1187939999999994</v>
      </c>
      <c r="AL17" s="3">
        <v>1.0783160000000001</v>
      </c>
      <c r="AM17" s="3">
        <v>1.0018180000000001</v>
      </c>
      <c r="AN17" s="2">
        <v>16.562629999999999</v>
      </c>
      <c r="AO17" s="2">
        <v>16.850809999999999</v>
      </c>
      <c r="AP17" s="2">
        <v>17.512869999999999</v>
      </c>
      <c r="AQ17" s="2">
        <v>17.739260000000002</v>
      </c>
      <c r="AR17" s="2">
        <v>1.816349</v>
      </c>
      <c r="AS17" s="2">
        <v>1.6165039999999999</v>
      </c>
      <c r="AT17" s="2">
        <v>1.3498699999999999</v>
      </c>
      <c r="AU17" s="2">
        <v>1.085825</v>
      </c>
      <c r="AV17" s="1" t="s">
        <v>6</v>
      </c>
      <c r="AW17" s="3">
        <v>1.152174</v>
      </c>
      <c r="AX17" s="3">
        <v>124</v>
      </c>
      <c r="AY17" s="2">
        <v>15.82291</v>
      </c>
      <c r="AZ17" s="2">
        <v>15.96773</v>
      </c>
      <c r="BA17" s="2">
        <v>5.728288</v>
      </c>
      <c r="BB17" s="2">
        <v>17.043839999999999</v>
      </c>
      <c r="BC17" s="2">
        <v>14.76042</v>
      </c>
      <c r="BD17" s="3">
        <v>80.84</v>
      </c>
      <c r="BE17" s="2">
        <v>32.434440000000002</v>
      </c>
      <c r="BF17" s="3">
        <v>109.92</v>
      </c>
      <c r="BG17" s="2">
        <v>-2.6018919999999999</v>
      </c>
      <c r="BH17" s="2">
        <v>53.711590000000001</v>
      </c>
      <c r="BI17" s="2">
        <v>54.055759999999999</v>
      </c>
      <c r="BJ17" s="2">
        <v>54.588230000000003</v>
      </c>
      <c r="BK17" s="2">
        <v>54.977150000000002</v>
      </c>
      <c r="BL17" s="2">
        <v>20</v>
      </c>
      <c r="BM17" s="2">
        <v>18</v>
      </c>
      <c r="BN17" s="4">
        <v>23</v>
      </c>
      <c r="BO17" s="4">
        <v>0</v>
      </c>
      <c r="BP17" s="4">
        <v>0</v>
      </c>
      <c r="BQ17" s="4">
        <v>23</v>
      </c>
      <c r="BR17" s="2">
        <v>0</v>
      </c>
      <c r="BS17" s="4">
        <v>20</v>
      </c>
      <c r="BT17" s="4">
        <v>0</v>
      </c>
      <c r="BU17" s="4">
        <v>23</v>
      </c>
      <c r="BV17" s="2">
        <v>86.956519999999998</v>
      </c>
      <c r="BW17" s="2">
        <v>8.3109099999999998</v>
      </c>
      <c r="BX17" s="2">
        <v>589.38729999999998</v>
      </c>
      <c r="BY17" s="3">
        <v>1.001603</v>
      </c>
      <c r="BZ17" s="3">
        <v>0.1699397</v>
      </c>
      <c r="CA17" s="2">
        <v>1.1217200000000001</v>
      </c>
      <c r="CB17" s="3">
        <v>0.1699397</v>
      </c>
      <c r="CC17" s="3">
        <v>7.7788469999999998</v>
      </c>
      <c r="CD17" s="3">
        <v>7.8944340000000004</v>
      </c>
      <c r="CE17" s="2">
        <v>1.4859199999999999</v>
      </c>
      <c r="CF17" s="3">
        <v>7086.88</v>
      </c>
      <c r="CG17" s="3">
        <v>7498.2169999999996</v>
      </c>
      <c r="CH17" s="2">
        <v>5.8042049999999996</v>
      </c>
      <c r="CI17" s="3">
        <v>114.4248</v>
      </c>
      <c r="CJ17" s="2">
        <v>8.3681219999999996</v>
      </c>
      <c r="CK17" s="3">
        <v>61767.32</v>
      </c>
      <c r="CL17" s="3">
        <v>64042.73</v>
      </c>
      <c r="CM17" s="2">
        <v>3.6838410000000001</v>
      </c>
      <c r="CN17" s="3">
        <v>94.493610000000004</v>
      </c>
      <c r="CO17" s="3">
        <v>104.88</v>
      </c>
      <c r="CP17" s="3">
        <v>107.6146</v>
      </c>
      <c r="CQ17" s="2">
        <v>13.29865</v>
      </c>
      <c r="CR17" s="2">
        <v>2.078557</v>
      </c>
      <c r="CS17" s="2">
        <v>-0.51538349999999999</v>
      </c>
      <c r="CT17" s="2">
        <v>10.991630000000001</v>
      </c>
      <c r="CU17" s="2">
        <v>94.096209999999999</v>
      </c>
      <c r="CV17" s="3">
        <v>0.1491228</v>
      </c>
      <c r="CW17" s="2" t="e">
        <v>#N/A</v>
      </c>
      <c r="CX17" s="2">
        <v>0.54995419999999995</v>
      </c>
      <c r="CY17" s="2" t="e">
        <v>#N/A</v>
      </c>
      <c r="CZ17" s="2">
        <v>20.020199999999999</v>
      </c>
    </row>
    <row r="18" spans="1:104" ht="15" customHeight="1" x14ac:dyDescent="0.2">
      <c r="A18" s="1">
        <f t="shared" si="0"/>
        <v>12</v>
      </c>
      <c r="B18" s="1" t="s">
        <v>45</v>
      </c>
      <c r="C18" s="1" t="s">
        <v>44</v>
      </c>
      <c r="D18" s="1" t="s">
        <v>46</v>
      </c>
      <c r="E18" s="1" t="s">
        <v>17</v>
      </c>
      <c r="F18" s="1" t="s">
        <v>18</v>
      </c>
      <c r="G18" s="2">
        <v>232247.9</v>
      </c>
      <c r="H18" s="2">
        <v>99.002600000000001</v>
      </c>
      <c r="I18" s="2">
        <v>229931.5</v>
      </c>
      <c r="J18" s="3">
        <v>576.1</v>
      </c>
      <c r="K18" s="3">
        <v>0</v>
      </c>
      <c r="L18" s="2">
        <v>1.0067699999999999</v>
      </c>
      <c r="M18" s="2">
        <v>1.116126</v>
      </c>
      <c r="N18" s="2">
        <v>1.301857</v>
      </c>
      <c r="O18" s="2">
        <v>1.5149060000000001</v>
      </c>
      <c r="P18" s="2">
        <v>40.742570000000001</v>
      </c>
      <c r="Q18" s="2">
        <v>30.823969999999999</v>
      </c>
      <c r="R18" s="2">
        <v>25.004339999999999</v>
      </c>
      <c r="S18" s="2">
        <v>19.55639</v>
      </c>
      <c r="T18" s="2">
        <v>28.13916</v>
      </c>
      <c r="U18" s="2">
        <v>24.66189</v>
      </c>
      <c r="V18" s="2">
        <v>20.383469999999999</v>
      </c>
      <c r="W18" s="2">
        <v>16.226759999999999</v>
      </c>
      <c r="X18" s="2">
        <v>26.032540000000001</v>
      </c>
      <c r="Y18" s="2">
        <v>22.952190000000002</v>
      </c>
      <c r="Z18" s="2">
        <v>18.728870000000001</v>
      </c>
      <c r="AA18" s="2">
        <v>15.23671</v>
      </c>
      <c r="AB18" s="2">
        <v>27.02158</v>
      </c>
      <c r="AC18" s="2">
        <v>27.485690000000002</v>
      </c>
      <c r="AD18" s="2">
        <v>23.220469999999999</v>
      </c>
      <c r="AE18" s="2">
        <v>19.209299999999999</v>
      </c>
      <c r="AF18" s="2">
        <v>2.3365800000000001</v>
      </c>
      <c r="AG18" s="2">
        <v>3.1439360000000001</v>
      </c>
      <c r="AH18" s="2">
        <v>4.1078830000000002</v>
      </c>
      <c r="AI18" s="2">
        <v>2.3102049999999998</v>
      </c>
      <c r="AJ18" s="2">
        <v>3.0844939999999998</v>
      </c>
      <c r="AK18" s="2">
        <v>4.0172879999999997</v>
      </c>
      <c r="AL18" s="3">
        <v>1.179532</v>
      </c>
      <c r="AM18" s="3">
        <v>0.94883779999999995</v>
      </c>
      <c r="AN18" s="2">
        <v>33.459119999999999</v>
      </c>
      <c r="AO18" s="2">
        <v>35.005920000000003</v>
      </c>
      <c r="AP18" s="2">
        <v>37.714260000000003</v>
      </c>
      <c r="AQ18" s="2">
        <v>40.138570000000001</v>
      </c>
      <c r="AR18" s="2">
        <v>-0.52990420000000005</v>
      </c>
      <c r="AS18" s="2">
        <v>-0.28156019999999998</v>
      </c>
      <c r="AT18" s="2">
        <v>-0.3928159</v>
      </c>
      <c r="AU18" s="2">
        <v>-0.36593560000000003</v>
      </c>
      <c r="AV18" s="1" t="s">
        <v>6</v>
      </c>
      <c r="AW18" s="3">
        <v>1.191176</v>
      </c>
      <c r="AX18" s="3">
        <v>750</v>
      </c>
      <c r="AY18" s="2">
        <v>30.185739999999999</v>
      </c>
      <c r="AZ18" s="2">
        <v>74.462149999999994</v>
      </c>
      <c r="BA18" s="2">
        <v>25.4</v>
      </c>
      <c r="BB18" s="2">
        <v>7.782972</v>
      </c>
      <c r="BC18" s="2">
        <v>14.35093</v>
      </c>
      <c r="BD18" s="3">
        <v>375.75</v>
      </c>
      <c r="BE18" s="2">
        <v>53.320010000000003</v>
      </c>
      <c r="BF18" s="3">
        <v>642</v>
      </c>
      <c r="BG18" s="2">
        <v>-10.264799999999999</v>
      </c>
      <c r="BH18" s="2">
        <v>40.247520000000002</v>
      </c>
      <c r="BI18" s="2">
        <v>33.725769999999997</v>
      </c>
      <c r="BJ18" s="2">
        <v>32.592739999999999</v>
      </c>
      <c r="BK18" s="2">
        <v>30.709869999999999</v>
      </c>
      <c r="BL18" s="2">
        <v>31</v>
      </c>
      <c r="BM18" s="2">
        <v>28</v>
      </c>
      <c r="BN18" s="4">
        <v>34</v>
      </c>
      <c r="BO18" s="4">
        <v>0</v>
      </c>
      <c r="BP18" s="4">
        <v>0</v>
      </c>
      <c r="BQ18" s="4">
        <v>34</v>
      </c>
      <c r="BR18" s="2">
        <v>0</v>
      </c>
      <c r="BS18" s="4">
        <v>29</v>
      </c>
      <c r="BT18" s="4">
        <v>1</v>
      </c>
      <c r="BU18" s="4">
        <v>34</v>
      </c>
      <c r="BV18" s="2">
        <v>85.294110000000003</v>
      </c>
      <c r="BW18" s="2">
        <v>9.8809699999999996</v>
      </c>
      <c r="BX18" s="2">
        <v>403.13819999999998</v>
      </c>
      <c r="BY18" s="3">
        <v>0.76010880000000003</v>
      </c>
      <c r="BZ18" s="3">
        <v>0.18854789999999999</v>
      </c>
      <c r="CA18" s="2">
        <v>1.6558600000000001</v>
      </c>
      <c r="CB18" s="3">
        <v>0.18854789999999999</v>
      </c>
      <c r="CC18" s="3">
        <v>18.707909999999998</v>
      </c>
      <c r="CD18" s="3">
        <v>18.597439999999999</v>
      </c>
      <c r="CE18" s="2">
        <v>-0.59047939999999999</v>
      </c>
      <c r="CF18" s="3">
        <v>8580.2579999999998</v>
      </c>
      <c r="CG18" s="3">
        <v>8476.6239999999998</v>
      </c>
      <c r="CH18" s="2">
        <v>-1.2078169999999999</v>
      </c>
      <c r="CI18" s="3">
        <v>681.42859999999996</v>
      </c>
      <c r="CJ18" s="2">
        <v>10.062889999999999</v>
      </c>
      <c r="CK18" s="3">
        <v>25306.18</v>
      </c>
      <c r="CL18" s="3">
        <v>26307.26</v>
      </c>
      <c r="CM18" s="2">
        <v>3.9558650000000002</v>
      </c>
      <c r="CN18" s="3">
        <v>525.26800000000003</v>
      </c>
      <c r="CO18" s="3">
        <v>596.80579999999998</v>
      </c>
      <c r="CP18" s="3">
        <v>596.86919999999998</v>
      </c>
      <c r="CQ18" s="2">
        <v>9.6773389999999999</v>
      </c>
      <c r="CR18" s="2">
        <v>-3.469449</v>
      </c>
      <c r="CS18" s="2">
        <v>-3.479695</v>
      </c>
      <c r="CT18" s="2">
        <v>13.619300000000001</v>
      </c>
      <c r="CU18" s="2">
        <v>399.2869</v>
      </c>
      <c r="CV18" s="3">
        <v>0.17192270000000001</v>
      </c>
      <c r="CW18" s="2">
        <v>6.0476789999999996</v>
      </c>
      <c r="CX18" s="2">
        <v>0.85061140000000002</v>
      </c>
      <c r="CY18" s="2">
        <v>5.2267960000000002</v>
      </c>
      <c r="CZ18" s="2">
        <v>20.14141</v>
      </c>
    </row>
    <row r="19" spans="1:104" ht="15" customHeight="1" x14ac:dyDescent="0.2">
      <c r="A19" s="1">
        <f t="shared" si="0"/>
        <v>13</v>
      </c>
      <c r="B19" s="1" t="s">
        <v>48</v>
      </c>
      <c r="C19" s="1" t="s">
        <v>47</v>
      </c>
      <c r="D19" s="1" t="s">
        <v>35</v>
      </c>
      <c r="E19" s="1" t="s">
        <v>4</v>
      </c>
      <c r="F19" s="1" t="s">
        <v>5</v>
      </c>
      <c r="G19" s="2">
        <v>71443.11</v>
      </c>
      <c r="H19" s="2">
        <v>86.850999999999999</v>
      </c>
      <c r="I19" s="2">
        <v>62049.05</v>
      </c>
      <c r="J19" s="3">
        <v>57.88</v>
      </c>
      <c r="K19" s="3">
        <v>0</v>
      </c>
      <c r="L19" s="2">
        <v>6.7380789999999999</v>
      </c>
      <c r="M19" s="2">
        <v>7.6537660000000001</v>
      </c>
      <c r="N19" s="2">
        <v>8.2930200000000003</v>
      </c>
      <c r="O19" s="2">
        <v>9.3987560000000006</v>
      </c>
      <c r="P19" s="2">
        <v>7.3266629999999999</v>
      </c>
      <c r="Q19" s="2">
        <v>7.4395889999999998</v>
      </c>
      <c r="R19" s="2">
        <v>6.0702680000000004</v>
      </c>
      <c r="S19" s="2">
        <v>5.4039239999999999</v>
      </c>
      <c r="T19" s="2" t="e">
        <v>#N/A</v>
      </c>
      <c r="U19" s="2" t="e">
        <v>#N/A</v>
      </c>
      <c r="V19" s="2" t="e">
        <v>#N/A</v>
      </c>
      <c r="W19" s="2" t="e">
        <v>#N/A</v>
      </c>
      <c r="X19" s="2">
        <v>0.6488294</v>
      </c>
      <c r="Y19" s="2">
        <v>0.59907880000000002</v>
      </c>
      <c r="Z19" s="2">
        <v>0.56756229999999996</v>
      </c>
      <c r="AA19" s="2">
        <v>0.53547259999999997</v>
      </c>
      <c r="AB19" s="2" t="e">
        <v>#N/A</v>
      </c>
      <c r="AC19" s="2" t="e">
        <v>#N/A</v>
      </c>
      <c r="AD19" s="2" t="e">
        <v>#N/A</v>
      </c>
      <c r="AE19" s="2" t="e">
        <v>#N/A</v>
      </c>
      <c r="AF19" s="2" t="e">
        <v>#N/A</v>
      </c>
      <c r="AG19" s="2" t="e">
        <v>#N/A</v>
      </c>
      <c r="AH19" s="2" t="e">
        <v>#N/A</v>
      </c>
      <c r="AI19" s="2" t="e">
        <v>#N/A</v>
      </c>
      <c r="AJ19" s="2" t="e">
        <v>#N/A</v>
      </c>
      <c r="AK19" s="2" t="e">
        <v>#N/A</v>
      </c>
      <c r="AL19" s="3">
        <v>0.63221280000000002</v>
      </c>
      <c r="AM19" s="3">
        <v>0.55771729999999997</v>
      </c>
      <c r="AN19" s="2" t="e">
        <v>#N/A</v>
      </c>
      <c r="AO19" s="2" t="e">
        <v>#N/A</v>
      </c>
      <c r="AP19" s="2" t="e">
        <v>#N/A</v>
      </c>
      <c r="AQ19" s="2" t="e">
        <v>#N/A</v>
      </c>
      <c r="AR19" s="2" t="e">
        <v>#N/A</v>
      </c>
      <c r="AS19" s="2" t="e">
        <v>#N/A</v>
      </c>
      <c r="AT19" s="2" t="e">
        <v>#N/A</v>
      </c>
      <c r="AU19" s="2" t="e">
        <v>#N/A</v>
      </c>
      <c r="AV19" s="1" t="s">
        <v>6</v>
      </c>
      <c r="AW19" s="3">
        <v>1.2</v>
      </c>
      <c r="AX19" s="3">
        <v>74</v>
      </c>
      <c r="AY19" s="2">
        <v>27.850719999999999</v>
      </c>
      <c r="AZ19" s="2">
        <v>8.0525800000000007</v>
      </c>
      <c r="BA19" s="2">
        <v>12</v>
      </c>
      <c r="BB19" s="2">
        <v>13.46796</v>
      </c>
      <c r="BC19" s="2">
        <v>8.694839</v>
      </c>
      <c r="BD19" s="3">
        <v>40.664999999999999</v>
      </c>
      <c r="BE19" s="2">
        <v>42.3337</v>
      </c>
      <c r="BF19" s="3">
        <v>67.02</v>
      </c>
      <c r="BG19" s="2">
        <v>-13.63772</v>
      </c>
      <c r="BH19" s="2">
        <v>49.725090000000002</v>
      </c>
      <c r="BI19" s="2">
        <v>53.52666</v>
      </c>
      <c r="BJ19" s="2">
        <v>51.140079999999998</v>
      </c>
      <c r="BK19" s="2">
        <v>50.757620000000003</v>
      </c>
      <c r="BL19" s="2">
        <v>19</v>
      </c>
      <c r="BM19" s="2">
        <v>11</v>
      </c>
      <c r="BN19" s="4">
        <v>20</v>
      </c>
      <c r="BO19" s="4">
        <v>0</v>
      </c>
      <c r="BP19" s="4">
        <v>0</v>
      </c>
      <c r="BQ19" s="4">
        <v>20</v>
      </c>
      <c r="BR19" s="2">
        <v>0</v>
      </c>
      <c r="BS19" s="4">
        <v>17</v>
      </c>
      <c r="BT19" s="4">
        <v>0</v>
      </c>
      <c r="BU19" s="4">
        <v>20</v>
      </c>
      <c r="BV19" s="2">
        <v>85</v>
      </c>
      <c r="BW19" s="2">
        <v>12.9574</v>
      </c>
      <c r="BX19" s="2">
        <v>1234.3320000000001</v>
      </c>
      <c r="BY19" s="3">
        <v>3.142455</v>
      </c>
      <c r="BZ19" s="3">
        <v>0.25458760000000002</v>
      </c>
      <c r="CA19" s="2">
        <v>1.78776</v>
      </c>
      <c r="CB19" s="3">
        <v>0.25458760000000002</v>
      </c>
      <c r="CC19" s="3">
        <v>7.3542079999999999</v>
      </c>
      <c r="CD19" s="3">
        <v>8.1971869999999996</v>
      </c>
      <c r="CE19" s="2">
        <v>11.46255</v>
      </c>
      <c r="CF19" s="3">
        <v>15890.73</v>
      </c>
      <c r="CG19" s="3">
        <v>16196.11</v>
      </c>
      <c r="CH19" s="2">
        <v>1.9217249999999999</v>
      </c>
      <c r="CI19" s="3">
        <v>67.651049999999998</v>
      </c>
      <c r="CJ19" s="2">
        <v>9.3848470000000006</v>
      </c>
      <c r="CK19" s="3">
        <v>48572.1</v>
      </c>
      <c r="CL19" s="3">
        <v>48959.39</v>
      </c>
      <c r="CM19" s="2">
        <v>0.79734329999999998</v>
      </c>
      <c r="CN19" s="3">
        <v>51.755200000000002</v>
      </c>
      <c r="CO19" s="3">
        <v>61.883119999999998</v>
      </c>
      <c r="CP19" s="3">
        <v>63.587699999999998</v>
      </c>
      <c r="CQ19" s="2">
        <v>11.83417</v>
      </c>
      <c r="CR19" s="2">
        <v>-6.4688319999999999</v>
      </c>
      <c r="CS19" s="2">
        <v>-8.976108</v>
      </c>
      <c r="CT19" s="2">
        <v>19.56888</v>
      </c>
      <c r="CU19" s="2">
        <v>177.3526</v>
      </c>
      <c r="CV19" s="3">
        <v>0.2482432</v>
      </c>
      <c r="CW19" s="2">
        <v>3.3899979999999998</v>
      </c>
      <c r="CX19" s="2">
        <v>-0.72245870000000001</v>
      </c>
      <c r="CY19" s="2">
        <v>0.1487357</v>
      </c>
      <c r="CZ19" s="2">
        <v>20.848479999999999</v>
      </c>
    </row>
    <row r="20" spans="1:104" ht="15" customHeight="1" x14ac:dyDescent="0.2">
      <c r="A20" s="1">
        <f t="shared" si="0"/>
        <v>14</v>
      </c>
      <c r="B20" s="1" t="s">
        <v>50</v>
      </c>
      <c r="C20" s="1" t="s">
        <v>49</v>
      </c>
      <c r="D20" s="1" t="s">
        <v>35</v>
      </c>
      <c r="E20" s="1" t="s">
        <v>51</v>
      </c>
      <c r="F20" s="1" t="s">
        <v>52</v>
      </c>
      <c r="G20" s="2">
        <v>401889.7</v>
      </c>
      <c r="H20" s="2">
        <v>51.486800000000002</v>
      </c>
      <c r="I20" s="2">
        <v>206920.2</v>
      </c>
      <c r="J20" s="3">
        <v>800.5</v>
      </c>
      <c r="K20" s="3">
        <v>0</v>
      </c>
      <c r="L20" s="2">
        <v>1.499063</v>
      </c>
      <c r="M20" s="2">
        <v>1.7239230000000001</v>
      </c>
      <c r="N20" s="2">
        <v>1.890693</v>
      </c>
      <c r="O20" s="2">
        <v>2.0612119999999998</v>
      </c>
      <c r="P20" s="2">
        <v>28.558689999999999</v>
      </c>
      <c r="Q20" s="2">
        <v>25.149229999999999</v>
      </c>
      <c r="R20" s="2">
        <v>22.809519999999999</v>
      </c>
      <c r="S20" s="2">
        <v>20.986260000000001</v>
      </c>
      <c r="T20" s="2">
        <v>13.09727</v>
      </c>
      <c r="U20" s="2">
        <v>14.644679999999999</v>
      </c>
      <c r="V20" s="2">
        <v>12.71815</v>
      </c>
      <c r="W20" s="2">
        <v>11.266439999999999</v>
      </c>
      <c r="X20" s="2">
        <v>7.2961770000000001</v>
      </c>
      <c r="Y20" s="2">
        <v>6.2068700000000003</v>
      </c>
      <c r="Z20" s="2">
        <v>5.3742869999999998</v>
      </c>
      <c r="AA20" s="2">
        <v>4.7199289999999996</v>
      </c>
      <c r="AB20" s="2">
        <v>22.55565</v>
      </c>
      <c r="AC20" s="2">
        <v>18.038979999999999</v>
      </c>
      <c r="AD20" s="2">
        <v>16.106100000000001</v>
      </c>
      <c r="AE20" s="2">
        <v>14.929180000000001</v>
      </c>
      <c r="AF20" s="2">
        <v>4.0465819999999999</v>
      </c>
      <c r="AG20" s="2">
        <v>4.5343629999999999</v>
      </c>
      <c r="AH20" s="2">
        <v>5.2349589999999999</v>
      </c>
      <c r="AI20" s="2">
        <v>4.076568</v>
      </c>
      <c r="AJ20" s="2">
        <v>4.4857639999999996</v>
      </c>
      <c r="AK20" s="2">
        <v>5.0660270000000001</v>
      </c>
      <c r="AL20" s="3">
        <v>2.4855160000000001</v>
      </c>
      <c r="AM20" s="3">
        <v>2.2437770000000001</v>
      </c>
      <c r="AN20" s="2">
        <v>33.879829999999998</v>
      </c>
      <c r="AO20" s="2">
        <v>32.401850000000003</v>
      </c>
      <c r="AP20" s="2">
        <v>33.969079999999998</v>
      </c>
      <c r="AQ20" s="2">
        <v>35.258589999999998</v>
      </c>
      <c r="AR20" s="2">
        <v>0.3429739</v>
      </c>
      <c r="AS20" s="2">
        <v>0.1077187</v>
      </c>
      <c r="AT20" s="2">
        <v>-0.13779150000000001</v>
      </c>
      <c r="AU20" s="2">
        <v>-0.37569229999999998</v>
      </c>
      <c r="AV20" s="1" t="s">
        <v>6</v>
      </c>
      <c r="AW20" s="3">
        <v>1.2</v>
      </c>
      <c r="AX20" s="3">
        <v>885</v>
      </c>
      <c r="AY20" s="2">
        <v>10.555899999999999</v>
      </c>
      <c r="AZ20" s="2">
        <v>24.680160000000001</v>
      </c>
      <c r="BA20" s="2">
        <v>10.836869999999999</v>
      </c>
      <c r="BB20" s="2">
        <v>33.70637</v>
      </c>
      <c r="BC20" s="2">
        <v>17.7379</v>
      </c>
      <c r="BD20" s="3">
        <v>535</v>
      </c>
      <c r="BE20" s="2">
        <v>49.626170000000002</v>
      </c>
      <c r="BF20" s="3">
        <v>830.7</v>
      </c>
      <c r="BG20" s="2">
        <v>-3.6354899999999999</v>
      </c>
      <c r="BH20" s="2">
        <v>43.092930000000003</v>
      </c>
      <c r="BI20" s="2">
        <v>43.228000000000002</v>
      </c>
      <c r="BJ20" s="2">
        <v>42.950119999999998</v>
      </c>
      <c r="BK20" s="2">
        <v>43.396039999999999</v>
      </c>
      <c r="BL20" s="2">
        <v>29</v>
      </c>
      <c r="BM20" s="2">
        <v>28</v>
      </c>
      <c r="BN20" s="4">
        <v>30</v>
      </c>
      <c r="BO20" s="4">
        <v>0</v>
      </c>
      <c r="BP20" s="4">
        <v>0</v>
      </c>
      <c r="BQ20" s="4">
        <v>28</v>
      </c>
      <c r="BR20" s="2">
        <v>0</v>
      </c>
      <c r="BS20" s="4">
        <v>26</v>
      </c>
      <c r="BT20" s="4">
        <v>1</v>
      </c>
      <c r="BU20" s="4">
        <v>30</v>
      </c>
      <c r="BV20" s="2">
        <v>86.666659999999993</v>
      </c>
      <c r="BW20" s="2">
        <v>7.4405400000000004</v>
      </c>
      <c r="BX20" s="2">
        <v>502.04840000000002</v>
      </c>
      <c r="BY20" s="3">
        <v>0.39275599999999999</v>
      </c>
      <c r="BZ20" s="3">
        <v>7.8230709999999995E-2</v>
      </c>
      <c r="CA20" s="2">
        <v>0.98126800000000003</v>
      </c>
      <c r="CB20" s="3">
        <v>7.8230709999999995E-2</v>
      </c>
      <c r="CC20" s="3">
        <v>31.812729999999998</v>
      </c>
      <c r="CD20" s="3">
        <v>31.99193</v>
      </c>
      <c r="CE20" s="2">
        <v>0.56332349999999998</v>
      </c>
      <c r="CF20" s="3">
        <v>23411.05</v>
      </c>
      <c r="CG20" s="3">
        <v>23483.78</v>
      </c>
      <c r="CH20" s="2">
        <v>0.31064750000000002</v>
      </c>
      <c r="CI20" s="3">
        <v>787.8</v>
      </c>
      <c r="CJ20" s="2">
        <v>12.33816</v>
      </c>
      <c r="CK20" s="3">
        <v>84851.7</v>
      </c>
      <c r="CL20" s="3">
        <v>85698.880000000005</v>
      </c>
      <c r="CM20" s="2">
        <v>0.99842549999999997</v>
      </c>
      <c r="CN20" s="3">
        <v>685.96950000000004</v>
      </c>
      <c r="CO20" s="3">
        <v>794.03930000000003</v>
      </c>
      <c r="CP20" s="3">
        <v>805.94600000000003</v>
      </c>
      <c r="CQ20" s="2">
        <v>16.69614</v>
      </c>
      <c r="CR20" s="2">
        <v>0.81365109999999996</v>
      </c>
      <c r="CS20" s="2">
        <v>-0.67573190000000005</v>
      </c>
      <c r="CT20" s="2">
        <v>15.75431</v>
      </c>
      <c r="CU20" s="2">
        <v>277.57190000000003</v>
      </c>
      <c r="CV20" s="3">
        <v>6.9066680000000005E-2</v>
      </c>
      <c r="CW20" s="2">
        <v>-7.3321009999999998</v>
      </c>
      <c r="CX20" s="2">
        <v>1.1429210000000001</v>
      </c>
      <c r="CY20" s="2">
        <v>-6.1339579999999998</v>
      </c>
      <c r="CZ20" s="2">
        <v>20.878789999999999</v>
      </c>
    </row>
    <row r="21" spans="1:104" ht="15" customHeight="1" x14ac:dyDescent="0.2">
      <c r="A21" s="1">
        <f t="shared" si="0"/>
        <v>15</v>
      </c>
      <c r="B21" s="1" t="s">
        <v>54</v>
      </c>
      <c r="C21" s="1" t="s">
        <v>53</v>
      </c>
      <c r="D21" s="1" t="s">
        <v>16</v>
      </c>
      <c r="E21" s="1" t="s">
        <v>4</v>
      </c>
      <c r="F21" s="1" t="s">
        <v>55</v>
      </c>
      <c r="G21" s="2">
        <v>44187.199999999997</v>
      </c>
      <c r="H21" s="2">
        <v>99.988100000000003</v>
      </c>
      <c r="I21" s="2">
        <v>44181.94</v>
      </c>
      <c r="J21" s="3">
        <v>315.39999999999998</v>
      </c>
      <c r="K21" s="3">
        <v>0</v>
      </c>
      <c r="L21" s="2">
        <v>3.67787</v>
      </c>
      <c r="M21" s="2">
        <v>3.8696890000000002</v>
      </c>
      <c r="N21" s="2">
        <v>4.0900439999999998</v>
      </c>
      <c r="O21" s="2">
        <v>4.311985</v>
      </c>
      <c r="P21" s="2">
        <v>12.80552</v>
      </c>
      <c r="Q21" s="2">
        <v>10.488860000000001</v>
      </c>
      <c r="R21" s="2">
        <v>9.3924950000000003</v>
      </c>
      <c r="S21" s="2">
        <v>8.4320280000000007</v>
      </c>
      <c r="T21" s="2">
        <v>9.4313540000000007</v>
      </c>
      <c r="U21" s="2">
        <v>8.2339769999999994</v>
      </c>
      <c r="V21" s="2">
        <v>7.8457679999999996</v>
      </c>
      <c r="W21" s="2">
        <v>7.0297130000000001</v>
      </c>
      <c r="X21" s="2">
        <v>2.086462</v>
      </c>
      <c r="Y21" s="2">
        <v>1.882873</v>
      </c>
      <c r="Z21" s="2">
        <v>1.689341</v>
      </c>
      <c r="AA21" s="2">
        <v>1.4919579999999999</v>
      </c>
      <c r="AB21" s="2" t="e">
        <v>#N/A</v>
      </c>
      <c r="AC21" s="2" t="e">
        <v>#N/A</v>
      </c>
      <c r="AD21" s="2" t="e">
        <v>#N/A</v>
      </c>
      <c r="AE21" s="2" t="e">
        <v>#N/A</v>
      </c>
      <c r="AF21" s="2">
        <v>4.1047890000000002</v>
      </c>
      <c r="AG21" s="2">
        <v>3.1030190000000002</v>
      </c>
      <c r="AH21" s="2">
        <v>1.341566</v>
      </c>
      <c r="AI21" s="2">
        <v>4.3532010000000003</v>
      </c>
      <c r="AJ21" s="2">
        <v>3.2908059999999999</v>
      </c>
      <c r="AK21" s="2">
        <v>1.422755</v>
      </c>
      <c r="AL21" s="3">
        <v>0.9308263</v>
      </c>
      <c r="AM21" s="3">
        <v>0.82466790000000001</v>
      </c>
      <c r="AN21" s="2">
        <v>7.1489859999999998</v>
      </c>
      <c r="AO21" s="2">
        <v>8.2839679999999998</v>
      </c>
      <c r="AP21" s="2">
        <v>8.3824830000000006</v>
      </c>
      <c r="AQ21" s="2">
        <v>8.983822</v>
      </c>
      <c r="AR21" s="2">
        <v>0.55718210000000001</v>
      </c>
      <c r="AS21" s="2">
        <v>0.46986499999999998</v>
      </c>
      <c r="AT21" s="2">
        <v>0.4477121</v>
      </c>
      <c r="AU21" s="2">
        <v>0.40114460000000002</v>
      </c>
      <c r="AV21" s="1" t="s">
        <v>6</v>
      </c>
      <c r="AW21" s="3">
        <v>1.357143</v>
      </c>
      <c r="AX21" s="3">
        <v>354</v>
      </c>
      <c r="AY21" s="2">
        <v>12.238429999999999</v>
      </c>
      <c r="AZ21" s="2">
        <v>17.951170000000001</v>
      </c>
      <c r="BA21" s="2">
        <v>11.18139</v>
      </c>
      <c r="BB21" s="2">
        <v>30.76285</v>
      </c>
      <c r="BC21" s="2">
        <v>3.7500019999999998</v>
      </c>
      <c r="BD21" s="3">
        <v>212.7</v>
      </c>
      <c r="BE21" s="2">
        <v>48.283969999999997</v>
      </c>
      <c r="BF21" s="3">
        <v>336</v>
      </c>
      <c r="BG21" s="2">
        <v>-6.1309519999999997</v>
      </c>
      <c r="BH21" s="2">
        <v>47.276359999999997</v>
      </c>
      <c r="BI21" s="2">
        <v>40.854329999999997</v>
      </c>
      <c r="BJ21" s="2">
        <v>38.22954</v>
      </c>
      <c r="BK21" s="2">
        <v>36.593400000000003</v>
      </c>
      <c r="BL21" s="2">
        <v>19</v>
      </c>
      <c r="BM21" s="2">
        <v>10</v>
      </c>
      <c r="BN21" s="4">
        <v>21</v>
      </c>
      <c r="BO21" s="4">
        <v>0</v>
      </c>
      <c r="BP21" s="4">
        <v>1</v>
      </c>
      <c r="BQ21" s="4">
        <v>20</v>
      </c>
      <c r="BR21" s="2">
        <v>0</v>
      </c>
      <c r="BS21" s="4">
        <v>14</v>
      </c>
      <c r="BT21" s="4">
        <v>0</v>
      </c>
      <c r="BU21" s="4">
        <v>21</v>
      </c>
      <c r="BV21" s="2">
        <v>66.666669999999996</v>
      </c>
      <c r="BW21" s="2">
        <v>8.2501499999999997</v>
      </c>
      <c r="BX21" s="2">
        <v>140.09889999999999</v>
      </c>
      <c r="BY21" s="3">
        <v>0.37341380000000002</v>
      </c>
      <c r="BZ21" s="3">
        <v>0.26653579999999999</v>
      </c>
      <c r="CA21" s="2">
        <v>0.94389599999999996</v>
      </c>
      <c r="CB21" s="3">
        <v>0.26653579999999999</v>
      </c>
      <c r="CC21" s="3">
        <v>29.380400000000002</v>
      </c>
      <c r="CD21" s="3">
        <v>30.303809999999999</v>
      </c>
      <c r="CE21" s="2">
        <v>3.142941</v>
      </c>
      <c r="CF21" s="3">
        <v>5372.6769999999997</v>
      </c>
      <c r="CG21" s="3">
        <v>5535.5959999999995</v>
      </c>
      <c r="CH21" s="2">
        <v>3.0323509999999998</v>
      </c>
      <c r="CI21" s="3">
        <v>314.77780000000001</v>
      </c>
      <c r="CJ21" s="2">
        <v>12.460290000000001</v>
      </c>
      <c r="CK21" s="3">
        <v>69221.740000000005</v>
      </c>
      <c r="CL21" s="3">
        <v>68965.960000000006</v>
      </c>
      <c r="CM21" s="2">
        <v>-0.36950709999999998</v>
      </c>
      <c r="CN21" s="3">
        <v>272.60539999999997</v>
      </c>
      <c r="CO21" s="3">
        <v>325.6746</v>
      </c>
      <c r="CP21" s="3">
        <v>325.8039</v>
      </c>
      <c r="CQ21" s="2">
        <v>15.69835</v>
      </c>
      <c r="CR21" s="2">
        <v>-3.1548560000000001</v>
      </c>
      <c r="CS21" s="2">
        <v>-3.193295</v>
      </c>
      <c r="CT21" s="2">
        <v>19.467379999999999</v>
      </c>
      <c r="CU21" s="2">
        <v>105.79179999999999</v>
      </c>
      <c r="CV21" s="3">
        <v>0.2394173</v>
      </c>
      <c r="CW21" s="2">
        <v>18.7058</v>
      </c>
      <c r="CX21" s="2">
        <v>-1.5550459999999999</v>
      </c>
      <c r="CY21" s="2">
        <v>16.580950000000001</v>
      </c>
      <c r="CZ21" s="2">
        <v>21.151520000000001</v>
      </c>
    </row>
    <row r="22" spans="1:104" ht="15" customHeight="1" x14ac:dyDescent="0.2">
      <c r="A22" s="1">
        <f t="shared" si="0"/>
        <v>16</v>
      </c>
      <c r="B22" s="1" t="s">
        <v>57</v>
      </c>
      <c r="C22" s="1" t="s">
        <v>56</v>
      </c>
      <c r="D22" s="1" t="s">
        <v>25</v>
      </c>
      <c r="E22" s="1" t="s">
        <v>51</v>
      </c>
      <c r="F22" s="1" t="s">
        <v>52</v>
      </c>
      <c r="G22" s="2">
        <v>90912.73</v>
      </c>
      <c r="H22" s="2">
        <v>35.4375</v>
      </c>
      <c r="I22" s="2">
        <v>32217.200000000001</v>
      </c>
      <c r="J22" s="3">
        <v>29.17</v>
      </c>
      <c r="K22" s="3">
        <v>0</v>
      </c>
      <c r="L22" s="2">
        <v>3.1882069999999998</v>
      </c>
      <c r="M22" s="2">
        <v>4.1220999999999997</v>
      </c>
      <c r="N22" s="2">
        <v>4.4909150000000002</v>
      </c>
      <c r="O22" s="2">
        <v>4.7823099999999998</v>
      </c>
      <c r="P22" s="2">
        <v>27.994240000000001</v>
      </c>
      <c r="Q22" s="2">
        <v>21.6205</v>
      </c>
      <c r="R22" s="2">
        <v>20.75901</v>
      </c>
      <c r="S22" s="2">
        <v>19.317879999999999</v>
      </c>
      <c r="T22" s="2">
        <v>11.076029999999999</v>
      </c>
      <c r="U22" s="2">
        <v>7.7354700000000003</v>
      </c>
      <c r="V22" s="2">
        <v>9.0708529999999996</v>
      </c>
      <c r="W22" s="2">
        <v>8.6046820000000004</v>
      </c>
      <c r="X22" s="2">
        <v>5.7757649999999998</v>
      </c>
      <c r="Y22" s="2">
        <v>5.3522939999999997</v>
      </c>
      <c r="Z22" s="2">
        <v>5.1251949999999997</v>
      </c>
      <c r="AA22" s="2">
        <v>4.9440679999999997</v>
      </c>
      <c r="AB22" s="2">
        <v>17.526</v>
      </c>
      <c r="AC22" s="2">
        <v>14.78467</v>
      </c>
      <c r="AD22" s="2">
        <v>14.76966</v>
      </c>
      <c r="AE22" s="2">
        <v>14.585000000000001</v>
      </c>
      <c r="AF22" s="2">
        <v>6.2488479999999997</v>
      </c>
      <c r="AG22" s="2">
        <v>6.536619</v>
      </c>
      <c r="AH22" s="2">
        <v>6.9868249999999996</v>
      </c>
      <c r="AI22" s="2">
        <v>5.4974759999999998</v>
      </c>
      <c r="AJ22" s="2">
        <v>5.6754020000000001</v>
      </c>
      <c r="AK22" s="2">
        <v>6.067291</v>
      </c>
      <c r="AL22" s="3">
        <v>1.7566059999999999</v>
      </c>
      <c r="AM22" s="3">
        <v>1.695886</v>
      </c>
      <c r="AN22" s="2">
        <v>25.916440000000001</v>
      </c>
      <c r="AO22" s="2">
        <v>26.426749999999998</v>
      </c>
      <c r="AP22" s="2">
        <v>25.734200000000001</v>
      </c>
      <c r="AQ22" s="2">
        <v>25.844049999999999</v>
      </c>
      <c r="AR22" s="2">
        <v>-1.3029379999999999</v>
      </c>
      <c r="AS22" s="2">
        <v>-1.271253</v>
      </c>
      <c r="AT22" s="2">
        <v>-1.3764620000000001</v>
      </c>
      <c r="AU22" s="2">
        <v>-1.3040909999999999</v>
      </c>
      <c r="AV22" s="1" t="s">
        <v>6</v>
      </c>
      <c r="AW22" s="3">
        <v>1.37931</v>
      </c>
      <c r="AX22" s="3">
        <v>32</v>
      </c>
      <c r="AY22" s="2">
        <v>9.7017530000000001</v>
      </c>
      <c r="AZ22" s="2">
        <v>24.75564</v>
      </c>
      <c r="BA22" s="2">
        <v>12.9788</v>
      </c>
      <c r="BB22" s="2">
        <v>31.219080000000002</v>
      </c>
      <c r="BC22" s="2">
        <v>17.3843</v>
      </c>
      <c r="BD22" s="3">
        <v>19</v>
      </c>
      <c r="BE22" s="2">
        <v>53.526319999999998</v>
      </c>
      <c r="BF22" s="3">
        <v>29.64</v>
      </c>
      <c r="BG22" s="2">
        <v>-1.5856920000000001</v>
      </c>
      <c r="BH22" s="2">
        <v>92.627970000000005</v>
      </c>
      <c r="BI22" s="2">
        <v>89.663489999999996</v>
      </c>
      <c r="BJ22" s="2">
        <v>94.572389999999999</v>
      </c>
      <c r="BK22" s="2">
        <v>94.404750000000007</v>
      </c>
      <c r="BL22" s="2">
        <v>26</v>
      </c>
      <c r="BM22" s="2">
        <v>26</v>
      </c>
      <c r="BN22" s="4">
        <v>29</v>
      </c>
      <c r="BO22" s="4">
        <v>1</v>
      </c>
      <c r="BP22" s="4">
        <v>1</v>
      </c>
      <c r="BQ22" s="4">
        <v>28</v>
      </c>
      <c r="BR22" s="2">
        <v>3.3333330000000001</v>
      </c>
      <c r="BS22" s="4">
        <v>20</v>
      </c>
      <c r="BT22" s="4">
        <v>1</v>
      </c>
      <c r="BU22" s="4">
        <v>29</v>
      </c>
      <c r="BV22" s="2">
        <v>68.965519999999998</v>
      </c>
      <c r="BW22" s="2">
        <v>9.5849899999999995</v>
      </c>
      <c r="BX22" s="2">
        <v>3116.652</v>
      </c>
      <c r="BY22" s="3">
        <v>3.891505</v>
      </c>
      <c r="BZ22" s="3">
        <v>0.12486170000000001</v>
      </c>
      <c r="CA22" s="2">
        <v>1.07674</v>
      </c>
      <c r="CB22" s="3">
        <v>0.12486170000000001</v>
      </c>
      <c r="CC22" s="3">
        <v>1.313539</v>
      </c>
      <c r="CD22" s="3">
        <v>1.347766</v>
      </c>
      <c r="CE22" s="2">
        <v>2.6056889999999999</v>
      </c>
      <c r="CF22" s="3">
        <v>5424.1040000000003</v>
      </c>
      <c r="CG22" s="3">
        <v>5582.0550000000003</v>
      </c>
      <c r="CH22" s="2">
        <v>2.9120330000000001</v>
      </c>
      <c r="CI22" s="3">
        <v>28.201599999999999</v>
      </c>
      <c r="CJ22" s="2">
        <v>13.46874</v>
      </c>
      <c r="CK22" s="3">
        <v>32015.63</v>
      </c>
      <c r="CL22" s="3">
        <v>32529.51</v>
      </c>
      <c r="CM22" s="2">
        <v>1.6050930000000001</v>
      </c>
      <c r="CN22" s="3">
        <v>24.588259999999998</v>
      </c>
      <c r="CO22" s="3">
        <v>28.19078</v>
      </c>
      <c r="CP22" s="3">
        <v>28.787310000000002</v>
      </c>
      <c r="CQ22" s="2">
        <v>18.633849999999999</v>
      </c>
      <c r="CR22" s="2">
        <v>3.4735320000000001</v>
      </c>
      <c r="CS22" s="2">
        <v>1.329386</v>
      </c>
      <c r="CT22" s="2">
        <v>14.651389999999999</v>
      </c>
      <c r="CU22" s="2">
        <v>67.809809999999999</v>
      </c>
      <c r="CV22" s="3">
        <v>7.4587810000000004E-2</v>
      </c>
      <c r="CW22" s="2">
        <v>-3.9147290000000001E-2</v>
      </c>
      <c r="CX22" s="2">
        <v>1.7072149999999999</v>
      </c>
      <c r="CY22" s="2">
        <v>1.0682929999999999</v>
      </c>
      <c r="CZ22" s="2">
        <v>21.25253</v>
      </c>
    </row>
    <row r="23" spans="1:104" ht="15" customHeight="1" x14ac:dyDescent="0.2">
      <c r="A23" s="1">
        <f t="shared" si="0"/>
        <v>17</v>
      </c>
      <c r="B23" s="1" t="s">
        <v>59</v>
      </c>
      <c r="C23" s="1" t="s">
        <v>58</v>
      </c>
      <c r="D23" s="1" t="s">
        <v>46</v>
      </c>
      <c r="E23" s="1" t="s">
        <v>4</v>
      </c>
      <c r="F23" s="1" t="s">
        <v>5</v>
      </c>
      <c r="G23" s="2">
        <v>44420.41</v>
      </c>
      <c r="H23" s="2">
        <v>99.974699999999999</v>
      </c>
      <c r="I23" s="2">
        <v>44409.17</v>
      </c>
      <c r="J23" s="3">
        <v>11.92</v>
      </c>
      <c r="K23" s="3">
        <v>0</v>
      </c>
      <c r="L23" s="2">
        <v>6.6359060000000003</v>
      </c>
      <c r="M23" s="2">
        <v>6.7114089999999997</v>
      </c>
      <c r="N23" s="2">
        <v>7.7843999999999998</v>
      </c>
      <c r="O23" s="2">
        <v>8.8029109999999999</v>
      </c>
      <c r="P23" s="2">
        <v>12.163270000000001</v>
      </c>
      <c r="Q23" s="2">
        <v>7.8940400000000004</v>
      </c>
      <c r="R23" s="2">
        <v>6.6966299999999999</v>
      </c>
      <c r="S23" s="2">
        <v>5.8146339999999999</v>
      </c>
      <c r="T23" s="2" t="e">
        <v>#N/A</v>
      </c>
      <c r="U23" s="2" t="e">
        <v>#N/A</v>
      </c>
      <c r="V23" s="2" t="e">
        <v>#N/A</v>
      </c>
      <c r="W23" s="2" t="e">
        <v>#N/A</v>
      </c>
      <c r="X23" s="2">
        <v>0.86439449999999995</v>
      </c>
      <c r="Y23" s="2">
        <v>0.81514450000000005</v>
      </c>
      <c r="Z23" s="2">
        <v>0.76252900000000001</v>
      </c>
      <c r="AA23" s="2">
        <v>0.71958949999999999</v>
      </c>
      <c r="AB23" s="2" t="e">
        <v>#N/A</v>
      </c>
      <c r="AC23" s="2" t="e">
        <v>#N/A</v>
      </c>
      <c r="AD23" s="2" t="e">
        <v>#N/A</v>
      </c>
      <c r="AE23" s="2" t="e">
        <v>#N/A</v>
      </c>
      <c r="AF23" s="2" t="e">
        <v>#N/A</v>
      </c>
      <c r="AG23" s="2" t="e">
        <v>#N/A</v>
      </c>
      <c r="AH23" s="2" t="e">
        <v>#N/A</v>
      </c>
      <c r="AI23" s="2" t="e">
        <v>#N/A</v>
      </c>
      <c r="AJ23" s="2" t="e">
        <v>#N/A</v>
      </c>
      <c r="AK23" s="2" t="e">
        <v>#N/A</v>
      </c>
      <c r="AL23" s="3">
        <v>0.34155609999999997</v>
      </c>
      <c r="AM23" s="3">
        <v>0.29400110000000002</v>
      </c>
      <c r="AN23" s="2" t="e">
        <v>#N/A</v>
      </c>
      <c r="AO23" s="2" t="e">
        <v>#N/A</v>
      </c>
      <c r="AP23" s="2" t="e">
        <v>#N/A</v>
      </c>
      <c r="AQ23" s="2" t="e">
        <v>#N/A</v>
      </c>
      <c r="AR23" s="2" t="e">
        <v>#N/A</v>
      </c>
      <c r="AS23" s="2" t="e">
        <v>#N/A</v>
      </c>
      <c r="AT23" s="2" t="e">
        <v>#N/A</v>
      </c>
      <c r="AU23" s="2" t="e">
        <v>#N/A</v>
      </c>
      <c r="AV23" s="1" t="s">
        <v>6</v>
      </c>
      <c r="AW23" s="3">
        <v>1.3913040000000001</v>
      </c>
      <c r="AX23" s="3">
        <v>15</v>
      </c>
      <c r="AY23" s="2">
        <v>25.838920000000002</v>
      </c>
      <c r="AZ23" s="2">
        <v>10.326079999999999</v>
      </c>
      <c r="BA23" s="2">
        <v>23.003270000000001</v>
      </c>
      <c r="BB23" s="2">
        <v>31.0322</v>
      </c>
      <c r="BC23" s="2">
        <v>4.6715859999999996</v>
      </c>
      <c r="BD23" s="3">
        <v>8.4260000000000002</v>
      </c>
      <c r="BE23" s="2">
        <v>41.466889999999999</v>
      </c>
      <c r="BF23" s="3">
        <v>13.55</v>
      </c>
      <c r="BG23" s="2">
        <v>-12.02952</v>
      </c>
      <c r="BH23" s="2">
        <v>76.421769999999995</v>
      </c>
      <c r="BI23" s="2">
        <v>54.766350000000003</v>
      </c>
      <c r="BJ23" s="2">
        <v>52.98742</v>
      </c>
      <c r="BK23" s="2">
        <v>50.828809999999997</v>
      </c>
      <c r="BL23" s="2">
        <v>19</v>
      </c>
      <c r="BM23" s="2">
        <v>12</v>
      </c>
      <c r="BN23" s="4">
        <v>23</v>
      </c>
      <c r="BO23" s="4">
        <v>0</v>
      </c>
      <c r="BP23" s="4">
        <v>1</v>
      </c>
      <c r="BQ23" s="4">
        <v>22</v>
      </c>
      <c r="BR23" s="2">
        <v>0</v>
      </c>
      <c r="BS23" s="4">
        <v>14</v>
      </c>
      <c r="BT23" s="4">
        <v>0</v>
      </c>
      <c r="BU23" s="4">
        <v>23</v>
      </c>
      <c r="BV23" s="2">
        <v>60.86956</v>
      </c>
      <c r="BW23" s="2">
        <v>13.9139</v>
      </c>
      <c r="BX23" s="2">
        <v>3726.5450000000001</v>
      </c>
      <c r="BY23" s="3">
        <v>15.61702</v>
      </c>
      <c r="BZ23" s="3">
        <v>0.41907509999999998</v>
      </c>
      <c r="CA23" s="2">
        <v>1.8261400000000001</v>
      </c>
      <c r="CB23" s="3">
        <v>0.41907509999999998</v>
      </c>
      <c r="CC23" s="3">
        <v>1.452161</v>
      </c>
      <c r="CD23" s="3">
        <v>1.517137</v>
      </c>
      <c r="CE23" s="2">
        <v>4.4744130000000002</v>
      </c>
      <c r="CF23" s="3">
        <v>9245.8179999999993</v>
      </c>
      <c r="CG23" s="3">
        <v>9535.4330000000009</v>
      </c>
      <c r="CH23" s="2">
        <v>3.1323789999999998</v>
      </c>
      <c r="CI23" s="3">
        <v>14.08952</v>
      </c>
      <c r="CJ23" s="2">
        <v>6.4620730000000002</v>
      </c>
      <c r="CK23" s="3">
        <v>20330.43</v>
      </c>
      <c r="CL23" s="3">
        <v>21030.53</v>
      </c>
      <c r="CM23" s="2">
        <v>3.4436230000000001</v>
      </c>
      <c r="CN23" s="3">
        <v>10.65108</v>
      </c>
      <c r="CO23" s="3">
        <v>12.77345</v>
      </c>
      <c r="CP23" s="3">
        <v>12.97423</v>
      </c>
      <c r="CQ23" s="2">
        <v>11.91351</v>
      </c>
      <c r="CR23" s="2">
        <v>-6.6814479999999996</v>
      </c>
      <c r="CS23" s="2">
        <v>-8.1255620000000004</v>
      </c>
      <c r="CT23" s="2">
        <v>19.92633</v>
      </c>
      <c r="CU23" s="2">
        <v>168.3699</v>
      </c>
      <c r="CV23" s="3">
        <v>0.37903720000000002</v>
      </c>
      <c r="CW23" s="2">
        <v>0.84576410000000002</v>
      </c>
      <c r="CX23" s="2">
        <v>3.4329960000000002</v>
      </c>
      <c r="CY23" s="2">
        <v>10.986549999999999</v>
      </c>
      <c r="CZ23" s="2">
        <v>21.595960000000002</v>
      </c>
    </row>
    <row r="24" spans="1:104" ht="15" customHeight="1" x14ac:dyDescent="0.2">
      <c r="A24" s="1">
        <f t="shared" si="0"/>
        <v>18</v>
      </c>
      <c r="B24" s="1" t="s">
        <v>61</v>
      </c>
      <c r="C24" s="1" t="s">
        <v>60</v>
      </c>
      <c r="D24" s="1" t="s">
        <v>35</v>
      </c>
      <c r="E24" s="1" t="s">
        <v>51</v>
      </c>
      <c r="F24" s="1" t="s">
        <v>52</v>
      </c>
      <c r="G24" s="2">
        <v>183110.1</v>
      </c>
      <c r="H24" s="2">
        <v>24.595199999999998</v>
      </c>
      <c r="I24" s="2">
        <v>45036.3</v>
      </c>
      <c r="J24" s="3">
        <v>1734.5</v>
      </c>
      <c r="K24" s="3">
        <v>0</v>
      </c>
      <c r="L24" s="2">
        <v>0.74949549999999998</v>
      </c>
      <c r="M24" s="2">
        <v>0.85903719999999995</v>
      </c>
      <c r="N24" s="2">
        <v>0.92770249999999999</v>
      </c>
      <c r="O24" s="2">
        <v>1.0536179999999999</v>
      </c>
      <c r="P24" s="2">
        <v>54.051110000000001</v>
      </c>
      <c r="Q24" s="2">
        <v>47.73668</v>
      </c>
      <c r="R24" s="2">
        <v>43.117269999999998</v>
      </c>
      <c r="S24" s="2">
        <v>39.047730000000001</v>
      </c>
      <c r="T24" s="2">
        <v>27.06944</v>
      </c>
      <c r="U24" s="2">
        <v>28.648879999999998</v>
      </c>
      <c r="V24" s="2">
        <v>25.388200000000001</v>
      </c>
      <c r="W24" s="2">
        <v>22.836189999999998</v>
      </c>
      <c r="X24" s="2">
        <v>14.581759999999999</v>
      </c>
      <c r="Y24" s="2">
        <v>12.26749</v>
      </c>
      <c r="Z24" s="2">
        <v>10.37199</v>
      </c>
      <c r="AA24" s="2">
        <v>8.6998519999999999</v>
      </c>
      <c r="AB24" s="2">
        <v>44.111400000000003</v>
      </c>
      <c r="AC24" s="2">
        <v>41.697200000000002</v>
      </c>
      <c r="AD24" s="2">
        <v>37.312539999999998</v>
      </c>
      <c r="AE24" s="2">
        <v>33.503030000000003</v>
      </c>
      <c r="AF24" s="2">
        <v>2.1164969999999999</v>
      </c>
      <c r="AG24" s="2">
        <v>2.4288099999999999</v>
      </c>
      <c r="AH24" s="2">
        <v>2.8021929999999999</v>
      </c>
      <c r="AI24" s="2">
        <v>1.990022</v>
      </c>
      <c r="AJ24" s="2">
        <v>2.2573569999999998</v>
      </c>
      <c r="AK24" s="2">
        <v>2.5678540000000001</v>
      </c>
      <c r="AL24" s="3">
        <v>4.1017720000000004</v>
      </c>
      <c r="AM24" s="3">
        <v>3.6576089999999999</v>
      </c>
      <c r="AN24" s="2">
        <v>45.647300000000001</v>
      </c>
      <c r="AO24" s="2">
        <v>45.353720000000003</v>
      </c>
      <c r="AP24" s="2">
        <v>45.516939999999998</v>
      </c>
      <c r="AQ24" s="2">
        <v>45.52169</v>
      </c>
      <c r="AR24" s="2">
        <v>-1.7348939999999999</v>
      </c>
      <c r="AS24" s="2">
        <v>-1.8207549999999999</v>
      </c>
      <c r="AT24" s="2">
        <v>-1.928301</v>
      </c>
      <c r="AU24" s="2">
        <v>-2.084009</v>
      </c>
      <c r="AV24" s="1" t="s">
        <v>62</v>
      </c>
      <c r="AW24" s="3">
        <v>1.8043480000000001</v>
      </c>
      <c r="AX24" s="3">
        <v>1700</v>
      </c>
      <c r="AY24" s="2">
        <v>-1.9890490000000001</v>
      </c>
      <c r="AZ24" s="2">
        <v>25.698239999999998</v>
      </c>
      <c r="BA24" s="2">
        <v>12.57184</v>
      </c>
      <c r="BB24" s="2">
        <v>50.8917</v>
      </c>
      <c r="BC24" s="2">
        <v>20.034600000000001</v>
      </c>
      <c r="BD24" s="3">
        <v>957.6</v>
      </c>
      <c r="BE24" s="2">
        <v>81.129909999999995</v>
      </c>
      <c r="BF24" s="3">
        <v>1778</v>
      </c>
      <c r="BG24" s="2">
        <v>-2.4465680000000001</v>
      </c>
      <c r="BH24" s="2">
        <v>40.546120000000002</v>
      </c>
      <c r="BI24" s="2">
        <v>39.324779999999997</v>
      </c>
      <c r="BJ24" s="2">
        <v>39.425350000000002</v>
      </c>
      <c r="BK24" s="2">
        <v>39.26717</v>
      </c>
      <c r="BL24" s="2">
        <v>21</v>
      </c>
      <c r="BM24" s="2">
        <v>20</v>
      </c>
      <c r="BN24" s="4">
        <v>23</v>
      </c>
      <c r="BO24" s="4">
        <v>0</v>
      </c>
      <c r="BP24" s="4">
        <v>0</v>
      </c>
      <c r="BQ24" s="4">
        <v>22</v>
      </c>
      <c r="BR24" s="2">
        <v>0</v>
      </c>
      <c r="BS24" s="4">
        <v>8</v>
      </c>
      <c r="BT24" s="4">
        <v>3</v>
      </c>
      <c r="BU24" s="4">
        <v>23</v>
      </c>
      <c r="BV24" s="2">
        <v>34.782609999999998</v>
      </c>
      <c r="BW24" s="2">
        <v>9.1751000000000005</v>
      </c>
      <c r="BX24" s="2">
        <v>105.5694</v>
      </c>
      <c r="BY24" s="3">
        <v>7.0251880000000003E-2</v>
      </c>
      <c r="BZ24" s="3">
        <v>6.6545679999999996E-2</v>
      </c>
      <c r="CA24" s="2">
        <v>0.64743700000000004</v>
      </c>
      <c r="CB24" s="3">
        <v>6.6545679999999996E-2</v>
      </c>
      <c r="CC24" s="3">
        <v>34.241129999999998</v>
      </c>
      <c r="CD24" s="3">
        <v>36.020769999999999</v>
      </c>
      <c r="CE24" s="2">
        <v>5.1973580000000004</v>
      </c>
      <c r="CF24" s="3">
        <v>5127.2489999999998</v>
      </c>
      <c r="CG24" s="3">
        <v>5332.2190000000001</v>
      </c>
      <c r="CH24" s="2">
        <v>3.9976600000000002</v>
      </c>
      <c r="CI24" s="3">
        <v>1418.3810000000001</v>
      </c>
      <c r="CJ24" s="2">
        <v>19.854959999999998</v>
      </c>
      <c r="CK24" s="3">
        <v>12792.8</v>
      </c>
      <c r="CL24" s="3">
        <v>13143.31</v>
      </c>
      <c r="CM24" s="2">
        <v>2.7399179999999999</v>
      </c>
      <c r="CN24" s="3">
        <v>1395.453</v>
      </c>
      <c r="CO24" s="3">
        <v>1683.6179999999999</v>
      </c>
      <c r="CP24" s="3">
        <v>1717.808</v>
      </c>
      <c r="CQ24" s="2">
        <v>24.296530000000001</v>
      </c>
      <c r="CR24" s="2">
        <v>3.0222060000000002</v>
      </c>
      <c r="CS24" s="2">
        <v>0.97172259999999999</v>
      </c>
      <c r="CT24" s="2">
        <v>20.65024</v>
      </c>
      <c r="CU24" s="2">
        <v>98.946330000000003</v>
      </c>
      <c r="CV24" s="3">
        <v>5.4036519999999998E-2</v>
      </c>
      <c r="CW24" s="2" t="e">
        <v>#N/A</v>
      </c>
      <c r="CX24" s="2">
        <v>6.3050889999999997</v>
      </c>
      <c r="CY24" s="2" t="e">
        <v>#N/A</v>
      </c>
      <c r="CZ24" s="2">
        <v>21.66667</v>
      </c>
    </row>
    <row r="25" spans="1:104" ht="15" customHeight="1" x14ac:dyDescent="0.2">
      <c r="A25" s="1">
        <f t="shared" si="0"/>
        <v>19</v>
      </c>
      <c r="B25" s="1" t="s">
        <v>64</v>
      </c>
      <c r="C25" s="1" t="s">
        <v>63</v>
      </c>
      <c r="D25" s="1" t="s">
        <v>35</v>
      </c>
      <c r="E25" s="1" t="s">
        <v>17</v>
      </c>
      <c r="F25" s="1" t="s">
        <v>65</v>
      </c>
      <c r="G25" s="2">
        <v>56883.53</v>
      </c>
      <c r="H25" s="2">
        <v>82.156899999999993</v>
      </c>
      <c r="I25" s="2">
        <v>46733.74</v>
      </c>
      <c r="J25" s="3">
        <v>133.13999999999999</v>
      </c>
      <c r="K25" s="3">
        <v>0</v>
      </c>
      <c r="L25" s="2">
        <v>1.01397</v>
      </c>
      <c r="M25" s="2">
        <v>1.5096890000000001</v>
      </c>
      <c r="N25" s="2">
        <v>1.9168879999999999</v>
      </c>
      <c r="O25" s="2">
        <v>2.305844</v>
      </c>
      <c r="P25" s="2">
        <v>49.679099999999998</v>
      </c>
      <c r="Q25" s="2">
        <v>26.816099999999999</v>
      </c>
      <c r="R25" s="2">
        <v>21.127050000000001</v>
      </c>
      <c r="S25" s="2">
        <v>17.506900000000002</v>
      </c>
      <c r="T25" s="2">
        <v>14.726979999999999</v>
      </c>
      <c r="U25" s="2">
        <v>13.00051</v>
      </c>
      <c r="V25" s="2">
        <v>10.74502</v>
      </c>
      <c r="W25" s="2">
        <v>9.3036100000000008</v>
      </c>
      <c r="X25" s="2">
        <v>5.4565570000000001</v>
      </c>
      <c r="Y25" s="2">
        <v>4.8556369999999998</v>
      </c>
      <c r="Z25" s="2">
        <v>4.2671260000000002</v>
      </c>
      <c r="AA25" s="2">
        <v>3.7006079999999999</v>
      </c>
      <c r="AB25" s="2">
        <v>19.302070000000001</v>
      </c>
      <c r="AC25" s="2">
        <v>16.067900000000002</v>
      </c>
      <c r="AD25" s="2">
        <v>14.999689999999999</v>
      </c>
      <c r="AE25" s="2">
        <v>13.75055</v>
      </c>
      <c r="AF25" s="2">
        <v>4.4515229999999999</v>
      </c>
      <c r="AG25" s="2">
        <v>4.8749950000000002</v>
      </c>
      <c r="AH25" s="2">
        <v>5.8760890000000003</v>
      </c>
      <c r="AI25" s="2">
        <v>4.3549389999999999</v>
      </c>
      <c r="AJ25" s="2">
        <v>4.6208900000000002</v>
      </c>
      <c r="AK25" s="2">
        <v>5.3916469999999999</v>
      </c>
      <c r="AL25" s="3">
        <v>0.89634009999999997</v>
      </c>
      <c r="AM25" s="3">
        <v>0.71017479999999999</v>
      </c>
      <c r="AN25" s="2">
        <v>17.814550000000001</v>
      </c>
      <c r="AO25" s="2">
        <v>18.610859999999999</v>
      </c>
      <c r="AP25" s="2">
        <v>19.681519999999999</v>
      </c>
      <c r="AQ25" s="2">
        <v>19.865680000000001</v>
      </c>
      <c r="AR25" s="2">
        <v>-4.1285760000000001E-3</v>
      </c>
      <c r="AS25" s="2">
        <v>-0.28832669999999999</v>
      </c>
      <c r="AT25" s="2">
        <v>-0.59087290000000003</v>
      </c>
      <c r="AU25" s="2">
        <v>-0.83593260000000003</v>
      </c>
      <c r="AV25" s="1" t="s">
        <v>6</v>
      </c>
      <c r="AW25" s="3">
        <v>1.1842109999999999</v>
      </c>
      <c r="AX25" s="3">
        <v>151.5</v>
      </c>
      <c r="AY25" s="2">
        <v>13.79</v>
      </c>
      <c r="AZ25" s="2">
        <v>18.10717</v>
      </c>
      <c r="BA25" s="2">
        <v>31.291170000000001</v>
      </c>
      <c r="BB25" s="2">
        <v>26.390740000000001</v>
      </c>
      <c r="BC25" s="2">
        <v>13.872730000000001</v>
      </c>
      <c r="BD25" s="3">
        <v>87.85</v>
      </c>
      <c r="BE25" s="2">
        <v>51.553789999999999</v>
      </c>
      <c r="BF25" s="3">
        <v>137.58000000000001</v>
      </c>
      <c r="BG25" s="2">
        <v>-3.2272159999999999</v>
      </c>
      <c r="BH25" s="2">
        <v>50.708950000000002</v>
      </c>
      <c r="BI25" s="2">
        <v>39.819279999999999</v>
      </c>
      <c r="BJ25" s="2">
        <v>40.729590000000002</v>
      </c>
      <c r="BK25" s="2">
        <v>40.921300000000002</v>
      </c>
      <c r="BL25" s="2">
        <v>19</v>
      </c>
      <c r="BM25" s="2">
        <v>18</v>
      </c>
      <c r="BN25" s="4">
        <v>19</v>
      </c>
      <c r="BO25" s="4">
        <v>2</v>
      </c>
      <c r="BP25" s="4">
        <v>0</v>
      </c>
      <c r="BQ25" s="4">
        <v>17</v>
      </c>
      <c r="BR25" s="2">
        <v>10.52632</v>
      </c>
      <c r="BS25" s="4">
        <v>17</v>
      </c>
      <c r="BT25" s="4">
        <v>0</v>
      </c>
      <c r="BU25" s="4">
        <v>19</v>
      </c>
      <c r="BV25" s="2">
        <v>89.473690000000005</v>
      </c>
      <c r="BW25" s="2">
        <v>11.3337</v>
      </c>
      <c r="BX25" s="2">
        <v>427.24599999999998</v>
      </c>
      <c r="BY25" s="3">
        <v>0.72218070000000001</v>
      </c>
      <c r="BZ25" s="3">
        <v>0.1690316</v>
      </c>
      <c r="CA25" s="2">
        <v>1.4614499999999999</v>
      </c>
      <c r="CB25" s="3">
        <v>0.1690316</v>
      </c>
      <c r="CC25" s="3">
        <v>5.0262650000000004</v>
      </c>
      <c r="CD25" s="3">
        <v>4.9837150000000001</v>
      </c>
      <c r="CE25" s="2">
        <v>-0.84655279999999999</v>
      </c>
      <c r="CF25" s="3">
        <v>3080.1590000000001</v>
      </c>
      <c r="CG25" s="3">
        <v>3054.4279999999999</v>
      </c>
      <c r="CH25" s="2">
        <v>-0.83535910000000002</v>
      </c>
      <c r="CI25" s="3">
        <v>137.94999999999999</v>
      </c>
      <c r="CJ25" s="2">
        <v>9.8224049999999998</v>
      </c>
      <c r="CK25" s="3">
        <v>22190.59</v>
      </c>
      <c r="CL25" s="3">
        <v>22696.52</v>
      </c>
      <c r="CM25" s="2">
        <v>2.2799369999999999</v>
      </c>
      <c r="CN25" s="3">
        <v>111.9649</v>
      </c>
      <c r="CO25" s="3">
        <v>130.43209999999999</v>
      </c>
      <c r="CP25" s="3">
        <v>133.32310000000001</v>
      </c>
      <c r="CQ25" s="2">
        <v>18.912230000000001</v>
      </c>
      <c r="CR25" s="2">
        <v>2.0760890000000001</v>
      </c>
      <c r="CS25" s="2">
        <v>-0.1373172</v>
      </c>
      <c r="CT25" s="2">
        <v>16.49372</v>
      </c>
      <c r="CU25" s="2">
        <v>88.260540000000006</v>
      </c>
      <c r="CV25" s="3">
        <v>0.1551601</v>
      </c>
      <c r="CW25" s="2" t="e">
        <v>#N/A</v>
      </c>
      <c r="CX25" s="2" t="e">
        <v>#N/A</v>
      </c>
      <c r="CY25" s="2" t="e">
        <v>#N/A</v>
      </c>
      <c r="CZ25" s="2">
        <v>21.9697</v>
      </c>
    </row>
    <row r="26" spans="1:104" ht="15" customHeight="1" x14ac:dyDescent="0.2">
      <c r="A26" s="1">
        <f t="shared" si="0"/>
        <v>20</v>
      </c>
      <c r="B26" s="1" t="s">
        <v>67</v>
      </c>
      <c r="C26" s="1" t="s">
        <v>66</v>
      </c>
      <c r="D26" s="1" t="s">
        <v>68</v>
      </c>
      <c r="E26" s="1" t="s">
        <v>4</v>
      </c>
      <c r="F26" s="1" t="s">
        <v>5</v>
      </c>
      <c r="G26" s="2">
        <v>40251.800000000003</v>
      </c>
      <c r="H26" s="2" t="e">
        <v>#N/A</v>
      </c>
      <c r="I26" s="2" t="e">
        <v>#N/A</v>
      </c>
      <c r="J26" s="3">
        <v>11.096</v>
      </c>
      <c r="K26" s="3">
        <v>0</v>
      </c>
      <c r="L26" s="2">
        <v>7.2098050000000002</v>
      </c>
      <c r="M26" s="2">
        <v>7.6604190000000001</v>
      </c>
      <c r="N26" s="2">
        <v>8.2462160000000004</v>
      </c>
      <c r="O26" s="2">
        <v>8.5616439999999994</v>
      </c>
      <c r="P26" s="2">
        <v>10.08727</v>
      </c>
      <c r="Q26" s="2">
        <v>8.8767999999999994</v>
      </c>
      <c r="R26" s="2">
        <v>8.3053889999999999</v>
      </c>
      <c r="S26" s="2">
        <v>7.9978280000000002</v>
      </c>
      <c r="T26" s="2" t="e">
        <v>#N/A</v>
      </c>
      <c r="U26" s="2" t="e">
        <v>#N/A</v>
      </c>
      <c r="V26" s="2" t="e">
        <v>#N/A</v>
      </c>
      <c r="W26" s="2" t="e">
        <v>#N/A</v>
      </c>
      <c r="X26" s="2">
        <v>1.2977780000000001</v>
      </c>
      <c r="Y26" s="2">
        <v>1.2537849999999999</v>
      </c>
      <c r="Z26" s="2">
        <v>1.2168159999999999</v>
      </c>
      <c r="AA26" s="2">
        <v>1.160669</v>
      </c>
      <c r="AB26" s="2" t="e">
        <v>#N/A</v>
      </c>
      <c r="AC26" s="2" t="e">
        <v>#N/A</v>
      </c>
      <c r="AD26" s="2" t="e">
        <v>#N/A</v>
      </c>
      <c r="AE26" s="2" t="e">
        <v>#N/A</v>
      </c>
      <c r="AF26" s="2" t="e">
        <v>#N/A</v>
      </c>
      <c r="AG26" s="2" t="e">
        <v>#N/A</v>
      </c>
      <c r="AH26" s="2" t="e">
        <v>#N/A</v>
      </c>
      <c r="AI26" s="2" t="e">
        <v>#N/A</v>
      </c>
      <c r="AJ26" s="2" t="e">
        <v>#N/A</v>
      </c>
      <c r="AK26" s="2" t="e">
        <v>#N/A</v>
      </c>
      <c r="AL26" s="3">
        <v>0.85625419999999997</v>
      </c>
      <c r="AM26" s="3">
        <v>0.80302750000000001</v>
      </c>
      <c r="AN26" s="2" t="e">
        <v>#N/A</v>
      </c>
      <c r="AO26" s="2" t="e">
        <v>#N/A</v>
      </c>
      <c r="AP26" s="2" t="e">
        <v>#N/A</v>
      </c>
      <c r="AQ26" s="2" t="e">
        <v>#N/A</v>
      </c>
      <c r="AR26" s="2" t="e">
        <v>#N/A</v>
      </c>
      <c r="AS26" s="2" t="e">
        <v>#N/A</v>
      </c>
      <c r="AT26" s="2" t="e">
        <v>#N/A</v>
      </c>
      <c r="AU26" s="2" t="e">
        <v>#N/A</v>
      </c>
      <c r="AV26" s="1" t="s">
        <v>6</v>
      </c>
      <c r="AW26" s="3">
        <v>1.3913040000000001</v>
      </c>
      <c r="AX26" s="3">
        <v>12.635540000000001</v>
      </c>
      <c r="AY26" s="2">
        <v>13.874700000000001</v>
      </c>
      <c r="AZ26" s="2">
        <v>14.12429</v>
      </c>
      <c r="BA26" s="2">
        <v>10.31743</v>
      </c>
      <c r="BB26" s="2">
        <v>13.13214</v>
      </c>
      <c r="BC26" s="2">
        <v>10.628119999999999</v>
      </c>
      <c r="BD26" s="3">
        <v>8.1850000000000005</v>
      </c>
      <c r="BE26" s="2">
        <v>35.565040000000003</v>
      </c>
      <c r="BF26" s="3">
        <v>12.157999999999999</v>
      </c>
      <c r="BG26" s="2">
        <v>-8.7349890000000006</v>
      </c>
      <c r="BH26" s="2">
        <v>70.239230000000006</v>
      </c>
      <c r="BI26" s="2">
        <v>68.303100000000001</v>
      </c>
      <c r="BJ26" s="2">
        <v>68.947239999999994</v>
      </c>
      <c r="BK26" s="2">
        <v>69.411540000000002</v>
      </c>
      <c r="BL26" s="2">
        <v>23</v>
      </c>
      <c r="BM26" s="2">
        <v>16</v>
      </c>
      <c r="BN26" s="4">
        <v>23</v>
      </c>
      <c r="BO26" s="4">
        <v>1</v>
      </c>
      <c r="BP26" s="4">
        <v>2</v>
      </c>
      <c r="BQ26" s="4">
        <v>20</v>
      </c>
      <c r="BR26" s="2">
        <v>4.3478260000000004</v>
      </c>
      <c r="BS26" s="4">
        <v>15</v>
      </c>
      <c r="BT26" s="4">
        <v>0</v>
      </c>
      <c r="BU26" s="4">
        <v>23</v>
      </c>
      <c r="BV26" s="2">
        <v>65.217389999999995</v>
      </c>
      <c r="BW26" s="2">
        <v>8.3078199999999995</v>
      </c>
      <c r="BX26" s="2">
        <v>3627.596</v>
      </c>
      <c r="BY26" s="3">
        <v>6.0050379999999999</v>
      </c>
      <c r="BZ26" s="3">
        <v>0.16553770000000001</v>
      </c>
      <c r="CA26" s="2">
        <v>1.09459</v>
      </c>
      <c r="CB26" s="3">
        <v>0.16553770000000001</v>
      </c>
      <c r="CC26" s="3">
        <v>1.1756610000000001</v>
      </c>
      <c r="CD26" s="3">
        <v>1.256008</v>
      </c>
      <c r="CE26" s="2">
        <v>6.8341609999999999</v>
      </c>
      <c r="CF26" s="3">
        <v>5932.48</v>
      </c>
      <c r="CG26" s="3">
        <v>6236.982</v>
      </c>
      <c r="CH26" s="2">
        <v>5.1327819999999997</v>
      </c>
      <c r="CI26" s="3">
        <v>11.95876</v>
      </c>
      <c r="CJ26" s="2">
        <v>5.6592700000000002</v>
      </c>
      <c r="CK26" s="3">
        <v>11062.83</v>
      </c>
      <c r="CL26" s="3">
        <v>11510.27</v>
      </c>
      <c r="CM26" s="2">
        <v>4.0445690000000001</v>
      </c>
      <c r="CN26" s="3">
        <v>9.8592910000000007</v>
      </c>
      <c r="CO26" s="3">
        <v>11.13184</v>
      </c>
      <c r="CP26" s="3">
        <v>11.547610000000001</v>
      </c>
      <c r="CQ26" s="2">
        <v>12.54358</v>
      </c>
      <c r="CR26" s="2">
        <v>-0.32200220000000002</v>
      </c>
      <c r="CS26" s="2">
        <v>-3.9108869999999998</v>
      </c>
      <c r="CT26" s="2">
        <v>12.90715</v>
      </c>
      <c r="CU26" s="2">
        <v>55.744019999999999</v>
      </c>
      <c r="CV26" s="3">
        <v>0.13848830000000001</v>
      </c>
      <c r="CW26" s="2">
        <v>14.31958</v>
      </c>
      <c r="CX26" s="2">
        <v>7.4174020000000001</v>
      </c>
      <c r="CY26" s="2">
        <v>10.63951</v>
      </c>
      <c r="CZ26" s="2">
        <v>22.18947</v>
      </c>
    </row>
    <row r="27" spans="1:104" ht="15" customHeight="1" x14ac:dyDescent="0.2">
      <c r="A27" s="1">
        <f t="shared" si="0"/>
        <v>21</v>
      </c>
      <c r="B27" s="1" t="s">
        <v>70</v>
      </c>
      <c r="C27" s="1" t="s">
        <v>69</v>
      </c>
      <c r="D27" s="1" t="s">
        <v>16</v>
      </c>
      <c r="E27" s="1" t="s">
        <v>4</v>
      </c>
      <c r="F27" s="1" t="s">
        <v>55</v>
      </c>
      <c r="G27" s="2">
        <v>85986.55</v>
      </c>
      <c r="H27" s="2">
        <v>99.555099999999996</v>
      </c>
      <c r="I27" s="2">
        <v>85603.99</v>
      </c>
      <c r="J27" s="3">
        <v>213.2</v>
      </c>
      <c r="K27" s="3">
        <v>0</v>
      </c>
      <c r="L27" s="2">
        <v>5.347092</v>
      </c>
      <c r="M27" s="2">
        <v>5.6396759999999997</v>
      </c>
      <c r="N27" s="2">
        <v>6.1092870000000001</v>
      </c>
      <c r="O27" s="2">
        <v>6.5197000000000003</v>
      </c>
      <c r="P27" s="2">
        <v>13.111929999999999</v>
      </c>
      <c r="Q27" s="2">
        <v>8.8620719999999995</v>
      </c>
      <c r="R27" s="2">
        <v>8.1188120000000001</v>
      </c>
      <c r="S27" s="2">
        <v>7.5741930000000002</v>
      </c>
      <c r="T27" s="2">
        <v>10.35303</v>
      </c>
      <c r="U27" s="2">
        <v>8.0768160000000009</v>
      </c>
      <c r="V27" s="2">
        <v>7.5112920000000001</v>
      </c>
      <c r="W27" s="2" t="e">
        <v>#N/A</v>
      </c>
      <c r="X27" s="2">
        <v>1.6780790000000001</v>
      </c>
      <c r="Y27" s="2">
        <v>1.4734719999999999</v>
      </c>
      <c r="Z27" s="2">
        <v>1.2783150000000001</v>
      </c>
      <c r="AA27" s="2">
        <v>1.219857</v>
      </c>
      <c r="AB27" s="2" t="e">
        <v>#N/A</v>
      </c>
      <c r="AC27" s="2" t="e">
        <v>#N/A</v>
      </c>
      <c r="AD27" s="2" t="e">
        <v>#N/A</v>
      </c>
      <c r="AE27" s="2" t="e">
        <v>#N/A</v>
      </c>
      <c r="AF27" s="2">
        <v>5.0290739999999996</v>
      </c>
      <c r="AG27" s="2">
        <v>5.3468929999999997</v>
      </c>
      <c r="AH27" s="2">
        <v>0.4330561</v>
      </c>
      <c r="AI27" s="2">
        <v>6.4243589999999999</v>
      </c>
      <c r="AJ27" s="2">
        <v>6.7837180000000004</v>
      </c>
      <c r="AK27" s="2">
        <v>0.53875079999999997</v>
      </c>
      <c r="AL27" s="3">
        <v>0.45655309999999999</v>
      </c>
      <c r="AM27" s="3">
        <v>0.41677120000000001</v>
      </c>
      <c r="AN27" s="2">
        <v>6.4527679999999998</v>
      </c>
      <c r="AO27" s="2">
        <v>8.6714310000000001</v>
      </c>
      <c r="AP27" s="2">
        <v>8.9015160000000009</v>
      </c>
      <c r="AQ27" s="2" t="e">
        <v>#N/A</v>
      </c>
      <c r="AR27" s="2">
        <v>2.1298780000000002</v>
      </c>
      <c r="AS27" s="2">
        <v>1.754176</v>
      </c>
      <c r="AT27" s="2">
        <v>1.5909279999999999</v>
      </c>
      <c r="AU27" s="2" t="e">
        <v>#N/A</v>
      </c>
      <c r="AV27" s="1" t="s">
        <v>6</v>
      </c>
      <c r="AW27" s="3">
        <v>1.325</v>
      </c>
      <c r="AX27" s="3">
        <v>248</v>
      </c>
      <c r="AY27" s="2">
        <v>16.322710000000001</v>
      </c>
      <c r="AZ27" s="2">
        <v>16.626719999999999</v>
      </c>
      <c r="BA27" s="2">
        <v>19.164829999999998</v>
      </c>
      <c r="BB27" s="2">
        <v>1.863348</v>
      </c>
      <c r="BC27" s="2">
        <v>6.1224460000000001</v>
      </c>
      <c r="BD27" s="3">
        <v>156.22</v>
      </c>
      <c r="BE27" s="2">
        <v>36.474209999999999</v>
      </c>
      <c r="BF27" s="3">
        <v>224.55</v>
      </c>
      <c r="BG27" s="2">
        <v>-5.054557</v>
      </c>
      <c r="BH27" s="2">
        <v>70.459209999999999</v>
      </c>
      <c r="BI27" s="2">
        <v>50.219839999999998</v>
      </c>
      <c r="BJ27" s="2">
        <v>49.179659999999998</v>
      </c>
      <c r="BK27" s="2">
        <v>49.129959999999997</v>
      </c>
      <c r="BL27" s="2">
        <v>18</v>
      </c>
      <c r="BM27" s="2">
        <v>14</v>
      </c>
      <c r="BN27" s="4">
        <v>20</v>
      </c>
      <c r="BO27" s="4">
        <v>1</v>
      </c>
      <c r="BP27" s="4">
        <v>0</v>
      </c>
      <c r="BQ27" s="4">
        <v>19</v>
      </c>
      <c r="BR27" s="2">
        <v>5</v>
      </c>
      <c r="BS27" s="4">
        <v>14</v>
      </c>
      <c r="BT27" s="4">
        <v>0</v>
      </c>
      <c r="BU27" s="4">
        <v>20</v>
      </c>
      <c r="BV27" s="2">
        <v>70</v>
      </c>
      <c r="BW27" s="2">
        <v>8.9938300000000009</v>
      </c>
      <c r="BX27" s="2">
        <v>403.31400000000002</v>
      </c>
      <c r="BY27" s="3">
        <v>1.022073</v>
      </c>
      <c r="BZ27" s="3">
        <v>0.2534188</v>
      </c>
      <c r="CA27" s="2">
        <v>1.10646</v>
      </c>
      <c r="CB27" s="3">
        <v>0.2534188</v>
      </c>
      <c r="CC27" s="3">
        <v>24.036359999999998</v>
      </c>
      <c r="CD27" s="3">
        <v>24.36637</v>
      </c>
      <c r="CE27" s="2">
        <v>1.3729929999999999</v>
      </c>
      <c r="CF27" s="3">
        <v>14345.12</v>
      </c>
      <c r="CG27" s="3">
        <v>14418.58</v>
      </c>
      <c r="CH27" s="2">
        <v>0.51213500000000001</v>
      </c>
      <c r="CI27" s="3">
        <v>235.50530000000001</v>
      </c>
      <c r="CJ27" s="2">
        <v>5.3055050000000001</v>
      </c>
      <c r="CK27" s="3">
        <v>158795.29999999999</v>
      </c>
      <c r="CL27" s="3">
        <v>157517.20000000001</v>
      </c>
      <c r="CM27" s="2">
        <v>-0.80490110000000004</v>
      </c>
      <c r="CN27" s="3">
        <v>191.6985</v>
      </c>
      <c r="CO27" s="3">
        <v>218.56569999999999</v>
      </c>
      <c r="CP27" s="3">
        <v>219.3981</v>
      </c>
      <c r="CQ27" s="2">
        <v>11.2163</v>
      </c>
      <c r="CR27" s="2">
        <v>-2.4549479999999999</v>
      </c>
      <c r="CS27" s="2">
        <v>-2.8250519999999999</v>
      </c>
      <c r="CT27" s="2">
        <v>14.0153</v>
      </c>
      <c r="CU27" s="2">
        <v>211.17179999999999</v>
      </c>
      <c r="CV27" s="3">
        <v>0.245587</v>
      </c>
      <c r="CW27" s="2">
        <v>-1.714324</v>
      </c>
      <c r="CX27" s="2">
        <v>19.48593</v>
      </c>
      <c r="CY27" s="2">
        <v>12.363350000000001</v>
      </c>
      <c r="CZ27" s="2">
        <v>23.373740000000002</v>
      </c>
    </row>
    <row r="28" spans="1:104" ht="15" customHeight="1" x14ac:dyDescent="0.2">
      <c r="A28" s="1">
        <f t="shared" si="0"/>
        <v>22</v>
      </c>
      <c r="B28" s="1" t="s">
        <v>72</v>
      </c>
      <c r="C28" s="1" t="s">
        <v>71</v>
      </c>
      <c r="D28" s="1" t="s">
        <v>3</v>
      </c>
      <c r="E28" s="1" t="s">
        <v>73</v>
      </c>
      <c r="F28" s="1" t="s">
        <v>74</v>
      </c>
      <c r="G28" s="2">
        <v>54534.07</v>
      </c>
      <c r="H28" s="2">
        <v>75.523300000000006</v>
      </c>
      <c r="I28" s="2">
        <v>41185.93</v>
      </c>
      <c r="J28" s="3">
        <v>5.3639999999999999</v>
      </c>
      <c r="K28" s="3">
        <v>0</v>
      </c>
      <c r="L28" s="2">
        <v>7.0842650000000003</v>
      </c>
      <c r="M28" s="2">
        <v>7.457122</v>
      </c>
      <c r="N28" s="2">
        <v>8.0164059999999999</v>
      </c>
      <c r="O28" s="2">
        <v>8.0164059999999999</v>
      </c>
      <c r="P28" s="2">
        <v>17.30322</v>
      </c>
      <c r="Q28" s="2">
        <v>10.315379999999999</v>
      </c>
      <c r="R28" s="2">
        <v>9.0151249999999994</v>
      </c>
      <c r="S28" s="2">
        <v>8.6396479999999993</v>
      </c>
      <c r="T28" s="2">
        <v>7.0351470000000003</v>
      </c>
      <c r="U28" s="2">
        <v>5.6731059999999998</v>
      </c>
      <c r="V28" s="2">
        <v>5.2682289999999998</v>
      </c>
      <c r="W28" s="2">
        <v>5.2387670000000002</v>
      </c>
      <c r="X28" s="2">
        <v>1.8388230000000001</v>
      </c>
      <c r="Y28" s="2">
        <v>1.78206</v>
      </c>
      <c r="Z28" s="2">
        <v>1.6929149999999999</v>
      </c>
      <c r="AA28" s="2">
        <v>1.594767</v>
      </c>
      <c r="AB28" s="2">
        <v>4.026872</v>
      </c>
      <c r="AC28" s="2">
        <v>4.768974</v>
      </c>
      <c r="AD28" s="2">
        <v>3.684323</v>
      </c>
      <c r="AE28" s="2">
        <v>3.740961</v>
      </c>
      <c r="AF28" s="2">
        <v>-2.6127669999999998</v>
      </c>
      <c r="AG28" s="2">
        <v>1.75204</v>
      </c>
      <c r="AH28" s="2">
        <v>3.5311340000000002</v>
      </c>
      <c r="AI28" s="2">
        <v>-5.5013040000000002</v>
      </c>
      <c r="AJ28" s="2">
        <v>3.4637989999999999</v>
      </c>
      <c r="AK28" s="2">
        <v>7.1303260000000002</v>
      </c>
      <c r="AL28" s="3">
        <v>2.4831050000000001</v>
      </c>
      <c r="AM28" s="3">
        <v>2.171465</v>
      </c>
      <c r="AN28" s="2">
        <v>20.887239999999998</v>
      </c>
      <c r="AO28" s="2">
        <v>20.98246</v>
      </c>
      <c r="AP28" s="2">
        <v>21.531569999999999</v>
      </c>
      <c r="AQ28" s="2">
        <v>22.507110000000001</v>
      </c>
      <c r="AR28" s="2">
        <v>2.957363</v>
      </c>
      <c r="AS28" s="2">
        <v>3.069518</v>
      </c>
      <c r="AT28" s="2">
        <v>2.6034820000000001</v>
      </c>
      <c r="AU28" s="2">
        <v>2.6443850000000002</v>
      </c>
      <c r="AV28" s="1" t="s">
        <v>6</v>
      </c>
      <c r="AW28" s="3">
        <v>1.357143</v>
      </c>
      <c r="AX28" s="3">
        <v>6.85</v>
      </c>
      <c r="AY28" s="2">
        <v>27.703209999999999</v>
      </c>
      <c r="AZ28" s="2">
        <v>17.275749999999999</v>
      </c>
      <c r="BA28" s="2">
        <v>3</v>
      </c>
      <c r="BB28" s="2">
        <v>-7.8192180000000002</v>
      </c>
      <c r="BC28" s="2">
        <v>6.6401479999999999</v>
      </c>
      <c r="BD28" s="3">
        <v>3.956</v>
      </c>
      <c r="BE28" s="2">
        <v>35.59151</v>
      </c>
      <c r="BF28" s="3">
        <v>6.4219999999999997</v>
      </c>
      <c r="BG28" s="2">
        <v>-16.474620000000002</v>
      </c>
      <c r="BH28" s="2">
        <v>122.58069999999999</v>
      </c>
      <c r="BI28" s="2">
        <v>77.292919999999995</v>
      </c>
      <c r="BJ28" s="2">
        <v>72.547079999999994</v>
      </c>
      <c r="BK28" s="2">
        <v>68.711299999999994</v>
      </c>
      <c r="BL28" s="2">
        <v>19</v>
      </c>
      <c r="BM28" s="2">
        <v>18</v>
      </c>
      <c r="BN28" s="4">
        <v>21</v>
      </c>
      <c r="BO28" s="4">
        <v>0</v>
      </c>
      <c r="BP28" s="4">
        <v>1</v>
      </c>
      <c r="BQ28" s="4">
        <v>20</v>
      </c>
      <c r="BR28" s="2">
        <v>0</v>
      </c>
      <c r="BS28" s="4">
        <v>17</v>
      </c>
      <c r="BT28" s="4">
        <v>2</v>
      </c>
      <c r="BU28" s="4">
        <v>21</v>
      </c>
      <c r="BV28" s="2">
        <v>80.952380000000005</v>
      </c>
      <c r="BW28" s="2">
        <v>8.0411099999999998</v>
      </c>
      <c r="BX28" s="2">
        <v>10166.68</v>
      </c>
      <c r="BY28" s="3">
        <v>25.548279999999998</v>
      </c>
      <c r="BZ28" s="3">
        <v>0.25129420000000002</v>
      </c>
      <c r="CA28" s="2">
        <v>0.87849699999999997</v>
      </c>
      <c r="CB28" s="3">
        <v>0.25129420000000002</v>
      </c>
      <c r="CC28" s="3">
        <v>0.51576109999999997</v>
      </c>
      <c r="CD28" s="3">
        <v>0.51620279999999996</v>
      </c>
      <c r="CE28" s="2">
        <v>8.5639950000000006E-2</v>
      </c>
      <c r="CF28" s="3">
        <v>11445.5</v>
      </c>
      <c r="CG28" s="3">
        <v>11385.78</v>
      </c>
      <c r="CH28" s="2">
        <v>-0.52182669999999998</v>
      </c>
      <c r="CI28" s="3">
        <v>7.0244020000000003</v>
      </c>
      <c r="CJ28" s="2">
        <v>-2.4828079999999999</v>
      </c>
      <c r="CK28" s="3">
        <v>95303.45</v>
      </c>
      <c r="CL28" s="3">
        <v>104945.7</v>
      </c>
      <c r="CM28" s="2">
        <v>10.11744</v>
      </c>
      <c r="CN28" s="3">
        <v>5.049798</v>
      </c>
      <c r="CO28" s="3">
        <v>5.4246660000000002</v>
      </c>
      <c r="CP28" s="3">
        <v>5.3201929999999997</v>
      </c>
      <c r="CQ28" s="2">
        <v>6.2220810000000002</v>
      </c>
      <c r="CR28" s="2">
        <v>-1.1183380000000001</v>
      </c>
      <c r="CS28" s="2">
        <v>0.82341430000000004</v>
      </c>
      <c r="CT28" s="2">
        <v>7.4234369999999998</v>
      </c>
      <c r="CU28" s="2">
        <v>139.9804</v>
      </c>
      <c r="CV28" s="3">
        <v>0.25668439999999998</v>
      </c>
      <c r="CW28" s="2">
        <v>-29.609459999999999</v>
      </c>
      <c r="CX28" s="2">
        <v>85.393370000000004</v>
      </c>
      <c r="CY28" s="2">
        <v>-40.64705</v>
      </c>
      <c r="CZ28" s="2">
        <v>23.757580000000001</v>
      </c>
    </row>
    <row r="29" spans="1:104" ht="15" customHeight="1" x14ac:dyDescent="0.2">
      <c r="A29" s="1">
        <f t="shared" si="0"/>
        <v>23</v>
      </c>
      <c r="B29" s="1" t="s">
        <v>76</v>
      </c>
      <c r="C29" s="1" t="s">
        <v>75</v>
      </c>
      <c r="D29" s="1" t="s">
        <v>46</v>
      </c>
      <c r="E29" s="1" t="s">
        <v>77</v>
      </c>
      <c r="F29" s="1" t="s">
        <v>78</v>
      </c>
      <c r="G29" s="2">
        <v>29261.95</v>
      </c>
      <c r="H29" s="2">
        <v>96.147999999999996</v>
      </c>
      <c r="I29" s="2">
        <v>28134.78</v>
      </c>
      <c r="J29" s="3">
        <v>29.94</v>
      </c>
      <c r="K29" s="3">
        <v>0</v>
      </c>
      <c r="L29" s="2">
        <v>3.5070139999999999</v>
      </c>
      <c r="M29" s="2">
        <v>3.690715</v>
      </c>
      <c r="N29" s="2">
        <v>3.9412159999999998</v>
      </c>
      <c r="O29" s="2">
        <v>4.0748160000000002</v>
      </c>
      <c r="P29" s="2">
        <v>11.74118</v>
      </c>
      <c r="Q29" s="2">
        <v>11.671569999999999</v>
      </c>
      <c r="R29" s="2">
        <v>10.99329</v>
      </c>
      <c r="S29" s="2">
        <v>10.25773</v>
      </c>
      <c r="T29" s="2">
        <v>5.6764640000000002</v>
      </c>
      <c r="U29" s="2">
        <v>5.9708930000000002</v>
      </c>
      <c r="V29" s="2">
        <v>5.712046</v>
      </c>
      <c r="W29" s="2">
        <v>5.5055889999999996</v>
      </c>
      <c r="X29" s="2">
        <v>1.9167730000000001</v>
      </c>
      <c r="Y29" s="2">
        <v>1.8049949999999999</v>
      </c>
      <c r="Z29" s="2">
        <v>1.6915249999999999</v>
      </c>
      <c r="AA29" s="2">
        <v>1.5741320000000001</v>
      </c>
      <c r="AB29" s="2">
        <v>6.2311069999999997</v>
      </c>
      <c r="AC29" s="2">
        <v>5.9798270000000002</v>
      </c>
      <c r="AD29" s="2">
        <v>5.7193860000000001</v>
      </c>
      <c r="AE29" s="2">
        <v>5.3957509999999997</v>
      </c>
      <c r="AF29" s="2">
        <v>7.3426330000000002</v>
      </c>
      <c r="AG29" s="2">
        <v>7.7853260000000004</v>
      </c>
      <c r="AH29" s="2">
        <v>6.7584470000000003</v>
      </c>
      <c r="AI29" s="2">
        <v>10.863899999999999</v>
      </c>
      <c r="AJ29" s="2">
        <v>11.37363</v>
      </c>
      <c r="AK29" s="2">
        <v>9.7709050000000008</v>
      </c>
      <c r="AL29" s="3">
        <v>2.5742400000000001</v>
      </c>
      <c r="AM29" s="3">
        <v>2.432839</v>
      </c>
      <c r="AN29" s="2">
        <v>8.2325490000000006</v>
      </c>
      <c r="AO29" s="2">
        <v>8.1050140000000006</v>
      </c>
      <c r="AP29" s="2">
        <v>8.1550379999999993</v>
      </c>
      <c r="AQ29" s="2">
        <v>8.2090580000000006</v>
      </c>
      <c r="AR29" s="2">
        <v>2.0132660000000002</v>
      </c>
      <c r="AS29" s="2">
        <v>1.935319</v>
      </c>
      <c r="AT29" s="2">
        <v>1.802111</v>
      </c>
      <c r="AU29" s="2">
        <v>1.6974229999999999</v>
      </c>
      <c r="AV29" s="1" t="s">
        <v>6</v>
      </c>
      <c r="AW29" s="3">
        <v>1.3</v>
      </c>
      <c r="AX29" s="3">
        <v>32.700000000000003</v>
      </c>
      <c r="AY29" s="2">
        <v>9.2184430000000006</v>
      </c>
      <c r="AZ29" s="2">
        <v>15.46489</v>
      </c>
      <c r="BA29" s="2">
        <v>4.7420819999999999</v>
      </c>
      <c r="BB29" s="2">
        <v>6.8331840000000001</v>
      </c>
      <c r="BC29" s="2">
        <v>11.54993</v>
      </c>
      <c r="BD29" s="3">
        <v>24.024999999999999</v>
      </c>
      <c r="BE29" s="2">
        <v>24.620190000000001</v>
      </c>
      <c r="BF29" s="3">
        <v>31.23</v>
      </c>
      <c r="BG29" s="2">
        <v>-4.1306380000000003</v>
      </c>
      <c r="BH29" s="2">
        <v>40.633479999999999</v>
      </c>
      <c r="BI29" s="2">
        <v>43.063809999999997</v>
      </c>
      <c r="BJ29" s="2">
        <v>43.809620000000002</v>
      </c>
      <c r="BK29" s="2">
        <v>38.714739999999999</v>
      </c>
      <c r="BL29" s="2">
        <v>17</v>
      </c>
      <c r="BM29" s="2">
        <v>15</v>
      </c>
      <c r="BN29" s="4">
        <v>20</v>
      </c>
      <c r="BO29" s="4">
        <v>0</v>
      </c>
      <c r="BP29" s="4">
        <v>1</v>
      </c>
      <c r="BQ29" s="4">
        <v>20</v>
      </c>
      <c r="BR29" s="2">
        <v>0</v>
      </c>
      <c r="BS29" s="4">
        <v>15</v>
      </c>
      <c r="BT29" s="4">
        <v>0</v>
      </c>
      <c r="BU29" s="4">
        <v>20</v>
      </c>
      <c r="BV29" s="2">
        <v>75</v>
      </c>
      <c r="BW29" s="2">
        <v>5.0925599999999998</v>
      </c>
      <c r="BX29" s="2">
        <v>977.35299999999995</v>
      </c>
      <c r="BY29" s="3">
        <v>2.6131669999999998</v>
      </c>
      <c r="BZ29" s="3">
        <v>0.2673719</v>
      </c>
      <c r="CA29" s="2">
        <v>0.38154700000000003</v>
      </c>
      <c r="CB29" s="3">
        <v>0.2673719</v>
      </c>
      <c r="CC29" s="3">
        <v>2.5032369999999999</v>
      </c>
      <c r="CD29" s="3">
        <v>2.5765500000000001</v>
      </c>
      <c r="CE29" s="2">
        <v>2.928722</v>
      </c>
      <c r="CF29" s="3">
        <v>3625.348</v>
      </c>
      <c r="CG29" s="3">
        <v>3679.5259999999998</v>
      </c>
      <c r="CH29" s="2">
        <v>1.494408</v>
      </c>
      <c r="CI29" s="3">
        <v>31.70524</v>
      </c>
      <c r="CJ29" s="2">
        <v>3.1375289999999998</v>
      </c>
      <c r="CK29" s="3">
        <v>90667.41</v>
      </c>
      <c r="CL29" s="3">
        <v>89744.7</v>
      </c>
      <c r="CM29" s="2">
        <v>-1.0176780000000001</v>
      </c>
      <c r="CN29" s="3">
        <v>27.413920000000001</v>
      </c>
      <c r="CO29" s="3">
        <v>28.46265</v>
      </c>
      <c r="CP29" s="3">
        <v>29.356729999999999</v>
      </c>
      <c r="CQ29" s="2">
        <v>9.2145810000000008</v>
      </c>
      <c r="CR29" s="2">
        <v>5.1905039999999998</v>
      </c>
      <c r="CS29" s="2">
        <v>1.986837</v>
      </c>
      <c r="CT29" s="2">
        <v>3.82551</v>
      </c>
      <c r="CU29" s="2">
        <v>62.138390000000001</v>
      </c>
      <c r="CV29" s="3">
        <v>0.21235219999999999</v>
      </c>
      <c r="CW29" s="2">
        <v>19.425170000000001</v>
      </c>
      <c r="CX29" s="2">
        <v>0.44613580000000003</v>
      </c>
      <c r="CY29" s="2">
        <v>15.491770000000001</v>
      </c>
      <c r="CZ29" s="2">
        <v>23.929290000000002</v>
      </c>
    </row>
    <row r="30" spans="1:104" ht="15" customHeight="1" x14ac:dyDescent="0.2">
      <c r="A30" s="1">
        <f t="shared" si="0"/>
        <v>24</v>
      </c>
      <c r="B30" s="1" t="s">
        <v>80</v>
      </c>
      <c r="C30" s="1" t="s">
        <v>79</v>
      </c>
      <c r="D30" s="1" t="s">
        <v>16</v>
      </c>
      <c r="E30" s="1" t="s">
        <v>81</v>
      </c>
      <c r="F30" s="1" t="s">
        <v>82</v>
      </c>
      <c r="G30" s="2">
        <v>107832.2</v>
      </c>
      <c r="H30" s="2">
        <v>64.741</v>
      </c>
      <c r="I30" s="2">
        <v>69811.62</v>
      </c>
      <c r="J30" s="3">
        <v>21.625</v>
      </c>
      <c r="K30" s="3">
        <v>0</v>
      </c>
      <c r="L30" s="2">
        <v>3.2369940000000001</v>
      </c>
      <c r="M30" s="2">
        <v>3.5606939999999998</v>
      </c>
      <c r="N30" s="2">
        <v>4.1387280000000004</v>
      </c>
      <c r="O30" s="2">
        <v>4.2528319999999997</v>
      </c>
      <c r="P30" s="2">
        <v>11.84005</v>
      </c>
      <c r="Q30" s="2">
        <v>13.106059999999999</v>
      </c>
      <c r="R30" s="2">
        <v>11.32199</v>
      </c>
      <c r="S30" s="2">
        <v>10.162649999999999</v>
      </c>
      <c r="T30" s="2">
        <v>5.8536260000000002</v>
      </c>
      <c r="U30" s="2">
        <v>5.9909790000000003</v>
      </c>
      <c r="V30" s="2">
        <v>5.5418520000000004</v>
      </c>
      <c r="W30" s="2">
        <v>5.3059329999999996</v>
      </c>
      <c r="X30" s="2">
        <v>2.2143860000000002</v>
      </c>
      <c r="Y30" s="2">
        <v>2.1914259999999999</v>
      </c>
      <c r="Z30" s="2">
        <v>2.0693779999999999</v>
      </c>
      <c r="AA30" s="2">
        <v>1.8805350000000001</v>
      </c>
      <c r="AB30" s="2">
        <v>3.353539</v>
      </c>
      <c r="AC30" s="2">
        <v>3.107326</v>
      </c>
      <c r="AD30" s="2">
        <v>2.7418710000000002</v>
      </c>
      <c r="AE30" s="2">
        <v>2.8280560000000001</v>
      </c>
      <c r="AF30" s="2">
        <v>6.6659119999999996</v>
      </c>
      <c r="AG30" s="2">
        <v>7.9234179999999999</v>
      </c>
      <c r="AH30" s="2">
        <v>8.5262150000000005</v>
      </c>
      <c r="AI30" s="2">
        <v>15.35669</v>
      </c>
      <c r="AJ30" s="2">
        <v>17.912659999999999</v>
      </c>
      <c r="AK30" s="2">
        <v>19.415410000000001</v>
      </c>
      <c r="AL30" s="3">
        <v>1.401996</v>
      </c>
      <c r="AM30" s="3">
        <v>1.2317979999999999</v>
      </c>
      <c r="AN30" s="2">
        <v>35.207790000000003</v>
      </c>
      <c r="AO30" s="2">
        <v>36.13364</v>
      </c>
      <c r="AP30" s="2">
        <v>37.333280000000002</v>
      </c>
      <c r="AQ30" s="2">
        <v>38.404559999999996</v>
      </c>
      <c r="AR30" s="2">
        <v>3.5422060000000002</v>
      </c>
      <c r="AS30" s="2">
        <v>3.3904619999999999</v>
      </c>
      <c r="AT30" s="2">
        <v>3.09049</v>
      </c>
      <c r="AU30" s="2">
        <v>2.9758499999999999</v>
      </c>
      <c r="AV30" s="1" t="s">
        <v>6</v>
      </c>
      <c r="AW30" s="3">
        <v>1.2173909999999999</v>
      </c>
      <c r="AX30" s="3">
        <v>25</v>
      </c>
      <c r="AY30" s="2">
        <v>15.60694</v>
      </c>
      <c r="AZ30" s="2">
        <v>16.72071</v>
      </c>
      <c r="BA30" s="2">
        <v>9.7856919999999992</v>
      </c>
      <c r="BB30" s="2">
        <v>31.506930000000001</v>
      </c>
      <c r="BC30" s="2">
        <v>16.026389999999999</v>
      </c>
      <c r="BD30" s="3">
        <v>16.198</v>
      </c>
      <c r="BE30" s="2">
        <v>33.50414</v>
      </c>
      <c r="BF30" s="3">
        <v>21.664999999999999</v>
      </c>
      <c r="BG30" s="2">
        <v>-0.1846313</v>
      </c>
      <c r="BH30" s="2">
        <v>40.329900000000002</v>
      </c>
      <c r="BI30" s="2">
        <v>46.517899999999997</v>
      </c>
      <c r="BJ30" s="2">
        <v>46.307580000000002</v>
      </c>
      <c r="BK30" s="2">
        <v>45.85</v>
      </c>
      <c r="BL30" s="2">
        <v>17</v>
      </c>
      <c r="BM30" s="2">
        <v>15</v>
      </c>
      <c r="BN30" s="4">
        <v>23</v>
      </c>
      <c r="BO30" s="4">
        <v>1</v>
      </c>
      <c r="BP30" s="4">
        <v>1</v>
      </c>
      <c r="BQ30" s="4">
        <v>23</v>
      </c>
      <c r="BR30" s="2">
        <v>4</v>
      </c>
      <c r="BS30" s="4">
        <v>20</v>
      </c>
      <c r="BT30" s="4">
        <v>1</v>
      </c>
      <c r="BU30" s="4">
        <v>23</v>
      </c>
      <c r="BV30" s="2">
        <v>86.956519999999998</v>
      </c>
      <c r="BW30" s="2">
        <v>7.1630200000000004</v>
      </c>
      <c r="BX30" s="2">
        <v>4986.4579999999996</v>
      </c>
      <c r="BY30" s="3">
        <v>7.8881680000000003</v>
      </c>
      <c r="BZ30" s="3">
        <v>0.15819179999999999</v>
      </c>
      <c r="CA30" s="2">
        <v>0.87093900000000002</v>
      </c>
      <c r="CB30" s="3">
        <v>0.15819179999999999</v>
      </c>
      <c r="CC30" s="3">
        <v>1.647351</v>
      </c>
      <c r="CD30" s="3">
        <v>1.655403</v>
      </c>
      <c r="CE30" s="2">
        <v>0.48881770000000002</v>
      </c>
      <c r="CF30" s="3">
        <v>21813.31</v>
      </c>
      <c r="CG30" s="3">
        <v>21830.12</v>
      </c>
      <c r="CH30" s="2">
        <v>7.7068810000000001E-2</v>
      </c>
      <c r="CI30" s="3">
        <v>24.668420000000001</v>
      </c>
      <c r="CJ30" s="2">
        <v>1.344144</v>
      </c>
      <c r="CK30" s="3">
        <v>119654.2</v>
      </c>
      <c r="CL30" s="3">
        <v>115339.2</v>
      </c>
      <c r="CM30" s="2">
        <v>-3.6062780000000001</v>
      </c>
      <c r="CN30" s="3">
        <v>19.243549999999999</v>
      </c>
      <c r="CO30" s="3">
        <v>20.553999999999998</v>
      </c>
      <c r="CP30" s="3">
        <v>20.954609999999999</v>
      </c>
      <c r="CQ30" s="2">
        <v>12.37534</v>
      </c>
      <c r="CR30" s="2">
        <v>5.2106380000000003</v>
      </c>
      <c r="CS30" s="2">
        <v>3.1992319999999999</v>
      </c>
      <c r="CT30" s="2">
        <v>6.8098660000000004</v>
      </c>
      <c r="CU30" s="2">
        <v>129.08590000000001</v>
      </c>
      <c r="CV30" s="3">
        <v>0.11971</v>
      </c>
      <c r="CW30" s="2">
        <v>111.1467</v>
      </c>
      <c r="CX30" s="2">
        <v>1.1384300000000001</v>
      </c>
      <c r="CY30" s="2">
        <v>4.0633489999999997</v>
      </c>
      <c r="CZ30" s="2">
        <v>24.767679999999999</v>
      </c>
    </row>
    <row r="31" spans="1:104" ht="15" customHeight="1" x14ac:dyDescent="0.2">
      <c r="A31" s="1">
        <f t="shared" si="0"/>
        <v>25</v>
      </c>
      <c r="B31" s="1" t="s">
        <v>84</v>
      </c>
      <c r="C31" s="1" t="s">
        <v>83</v>
      </c>
      <c r="D31" s="1" t="s">
        <v>9</v>
      </c>
      <c r="E31" s="1" t="s">
        <v>85</v>
      </c>
      <c r="F31" s="1" t="s">
        <v>86</v>
      </c>
      <c r="G31" s="2">
        <v>28192.89</v>
      </c>
      <c r="H31" s="2" t="e">
        <v>#N/A</v>
      </c>
      <c r="I31" s="2" t="e">
        <v>#N/A</v>
      </c>
      <c r="J31" s="3">
        <v>160.05000000000001</v>
      </c>
      <c r="K31" s="3">
        <v>0</v>
      </c>
      <c r="L31" s="2">
        <v>0</v>
      </c>
      <c r="M31" s="2">
        <v>0</v>
      </c>
      <c r="N31" s="2">
        <v>1.4100839999999999</v>
      </c>
      <c r="O31" s="2">
        <v>1.7784519999999999</v>
      </c>
      <c r="P31" s="2">
        <v>75.161990000000003</v>
      </c>
      <c r="Q31" s="2">
        <v>37.177529999999997</v>
      </c>
      <c r="R31" s="2">
        <v>25.053989999999999</v>
      </c>
      <c r="S31" s="2">
        <v>19.203880000000002</v>
      </c>
      <c r="T31" s="2">
        <v>23.575330000000001</v>
      </c>
      <c r="U31" s="2">
        <v>18.297630000000002</v>
      </c>
      <c r="V31" s="2">
        <v>14.207560000000001</v>
      </c>
      <c r="W31" s="2">
        <v>11.31813</v>
      </c>
      <c r="X31" s="2">
        <v>2.4301499999999998</v>
      </c>
      <c r="Y31" s="2">
        <v>2.3893330000000002</v>
      </c>
      <c r="Z31" s="2">
        <v>2.2796210000000001</v>
      </c>
      <c r="AA31" s="2">
        <v>2.1042619999999999</v>
      </c>
      <c r="AB31" s="2">
        <v>29.118970000000001</v>
      </c>
      <c r="AC31" s="2">
        <v>23.684699999999999</v>
      </c>
      <c r="AD31" s="2">
        <v>17.657520000000002</v>
      </c>
      <c r="AE31" s="2">
        <v>14.25543</v>
      </c>
      <c r="AF31" s="2">
        <v>2.3214549999999998</v>
      </c>
      <c r="AG31" s="2">
        <v>3.721905</v>
      </c>
      <c r="AH31" s="2">
        <v>4.7785849999999996</v>
      </c>
      <c r="AI31" s="2">
        <v>2.6921550000000001</v>
      </c>
      <c r="AJ31" s="2">
        <v>4.2041399999999998</v>
      </c>
      <c r="AK31" s="2">
        <v>5.2690580000000002</v>
      </c>
      <c r="AL31" s="3">
        <v>0.815245</v>
      </c>
      <c r="AM31" s="3">
        <v>0.54263870000000003</v>
      </c>
      <c r="AN31" s="2">
        <v>13.583780000000001</v>
      </c>
      <c r="AO31" s="2">
        <v>17.31362</v>
      </c>
      <c r="AP31" s="2">
        <v>19.557580000000002</v>
      </c>
      <c r="AQ31" s="2">
        <v>20.91667</v>
      </c>
      <c r="AR31" s="2">
        <v>4.5538360000000004</v>
      </c>
      <c r="AS31" s="2">
        <v>2.5146489999999999</v>
      </c>
      <c r="AT31" s="2">
        <v>1.6264380000000001</v>
      </c>
      <c r="AU31" s="2">
        <v>1.0514110000000001</v>
      </c>
      <c r="AV31" s="1" t="s">
        <v>6</v>
      </c>
      <c r="AW31" s="3">
        <v>1.1875</v>
      </c>
      <c r="AX31" s="3">
        <v>180.64940000000001</v>
      </c>
      <c r="AY31" s="2">
        <v>12.87059</v>
      </c>
      <c r="AZ31" s="2">
        <v>6.4268200000000002</v>
      </c>
      <c r="BA31" s="2">
        <v>43.672339999999998</v>
      </c>
      <c r="BB31" s="2">
        <v>52.573880000000003</v>
      </c>
      <c r="BC31" s="2">
        <v>25.234749999999998</v>
      </c>
      <c r="BD31" s="3">
        <v>86.78</v>
      </c>
      <c r="BE31" s="2">
        <v>84.431899999999999</v>
      </c>
      <c r="BF31" s="3">
        <v>160.55000000000001</v>
      </c>
      <c r="BG31" s="2">
        <v>-0.31142829999999999</v>
      </c>
      <c r="BH31" s="2">
        <v>4.523809</v>
      </c>
      <c r="BI31" s="2">
        <v>3.0672380000000001</v>
      </c>
      <c r="BJ31" s="2">
        <v>27.95787</v>
      </c>
      <c r="BK31" s="2">
        <v>32.459499999999998</v>
      </c>
      <c r="BL31" s="2">
        <v>21</v>
      </c>
      <c r="BM31" s="2">
        <v>17</v>
      </c>
      <c r="BN31" s="4">
        <v>24</v>
      </c>
      <c r="BO31" s="4">
        <v>0</v>
      </c>
      <c r="BP31" s="4">
        <v>1</v>
      </c>
      <c r="BQ31" s="4">
        <v>23</v>
      </c>
      <c r="BR31" s="2">
        <v>0</v>
      </c>
      <c r="BS31" s="4">
        <v>20</v>
      </c>
      <c r="BT31" s="4">
        <v>1</v>
      </c>
      <c r="BU31" s="4">
        <v>24</v>
      </c>
      <c r="BV31" s="2">
        <v>83.333330000000004</v>
      </c>
      <c r="BW31" s="2">
        <v>13.1333</v>
      </c>
      <c r="BX31" s="2">
        <v>176.15049999999999</v>
      </c>
      <c r="BY31" s="3">
        <v>0.27903210000000001</v>
      </c>
      <c r="BZ31" s="3">
        <v>0.1584055</v>
      </c>
      <c r="CA31" s="2">
        <v>1.2947</v>
      </c>
      <c r="CB31" s="3">
        <v>0.1584055</v>
      </c>
      <c r="CC31" s="3">
        <v>4.6091699999999998</v>
      </c>
      <c r="CD31" s="3">
        <v>4.2816090000000004</v>
      </c>
      <c r="CE31" s="2">
        <v>-7.1067390000000001</v>
      </c>
      <c r="CF31" s="3">
        <v>1377.421</v>
      </c>
      <c r="CG31" s="3">
        <v>1280.068</v>
      </c>
      <c r="CH31" s="2">
        <v>-7.0677810000000001</v>
      </c>
      <c r="CI31" s="3">
        <v>165.31129999999999</v>
      </c>
      <c r="CJ31" s="2">
        <v>9.278321</v>
      </c>
      <c r="CK31" s="3">
        <v>10166.65</v>
      </c>
      <c r="CL31" s="3">
        <v>10291.290000000001</v>
      </c>
      <c r="CM31" s="2">
        <v>1.226008</v>
      </c>
      <c r="CN31" s="3">
        <v>125.0981</v>
      </c>
      <c r="CO31" s="3">
        <v>146.82939999999999</v>
      </c>
      <c r="CP31" s="3">
        <v>151.94810000000001</v>
      </c>
      <c r="CQ31" s="2">
        <v>27.939609999999998</v>
      </c>
      <c r="CR31" s="2">
        <v>9.0040449999999996</v>
      </c>
      <c r="CS31" s="2">
        <v>5.3320290000000004</v>
      </c>
      <c r="CT31" s="2">
        <v>17.37143</v>
      </c>
      <c r="CU31" s="2">
        <v>28.662430000000001</v>
      </c>
      <c r="CV31" s="3">
        <v>0.1016654</v>
      </c>
      <c r="CW31" s="2">
        <v>9.5019449999999992</v>
      </c>
      <c r="CX31" s="2">
        <v>5.7613630000000002</v>
      </c>
      <c r="CY31" s="2" t="e">
        <v>#N/A</v>
      </c>
      <c r="CZ31" s="2">
        <v>24.884209999999999</v>
      </c>
    </row>
    <row r="32" spans="1:104" ht="15" customHeight="1" x14ac:dyDescent="0.2">
      <c r="A32" s="1">
        <f t="shared" si="0"/>
        <v>26</v>
      </c>
      <c r="B32" s="1" t="s">
        <v>88</v>
      </c>
      <c r="C32" s="1" t="s">
        <v>87</v>
      </c>
      <c r="D32" s="1" t="s">
        <v>35</v>
      </c>
      <c r="E32" s="1" t="s">
        <v>89</v>
      </c>
      <c r="F32" s="1" t="s">
        <v>90</v>
      </c>
      <c r="G32" s="2">
        <v>78213.48</v>
      </c>
      <c r="H32" s="2">
        <v>98.005700000000004</v>
      </c>
      <c r="I32" s="2">
        <v>76653.66</v>
      </c>
      <c r="J32" s="3">
        <v>149.4</v>
      </c>
      <c r="K32" s="3">
        <v>0</v>
      </c>
      <c r="L32" s="2">
        <v>1.9745649999999999</v>
      </c>
      <c r="M32" s="2">
        <v>2.1385540000000001</v>
      </c>
      <c r="N32" s="2">
        <v>2.2757700000000001</v>
      </c>
      <c r="O32" s="2">
        <v>2.4096389999999999</v>
      </c>
      <c r="P32" s="2">
        <v>24.667020000000001</v>
      </c>
      <c r="Q32" s="2">
        <v>23.416930000000001</v>
      </c>
      <c r="R32" s="2">
        <v>21.25178</v>
      </c>
      <c r="S32" s="2">
        <v>19.629989999999999</v>
      </c>
      <c r="T32" s="2">
        <v>10.857760000000001</v>
      </c>
      <c r="U32" s="2">
        <v>11.52007</v>
      </c>
      <c r="V32" s="2">
        <v>10.68468</v>
      </c>
      <c r="W32" s="2">
        <v>9.9173480000000005</v>
      </c>
      <c r="X32" s="2">
        <v>3.2856830000000001</v>
      </c>
      <c r="Y32" s="2">
        <v>3.0586549999999999</v>
      </c>
      <c r="Z32" s="2">
        <v>2.8322270000000001</v>
      </c>
      <c r="AA32" s="2">
        <v>2.6245400000000001</v>
      </c>
      <c r="AB32" s="2">
        <v>13.457750000000001</v>
      </c>
      <c r="AC32" s="2">
        <v>12.48898</v>
      </c>
      <c r="AD32" s="2">
        <v>11.63743</v>
      </c>
      <c r="AE32" s="2">
        <v>10.906319999999999</v>
      </c>
      <c r="AF32" s="2">
        <v>2.7030949999999998</v>
      </c>
      <c r="AG32" s="2">
        <v>3.0058590000000001</v>
      </c>
      <c r="AH32" s="2">
        <v>3.2539570000000002</v>
      </c>
      <c r="AI32" s="2">
        <v>3.051736</v>
      </c>
      <c r="AJ32" s="2">
        <v>3.360169</v>
      </c>
      <c r="AK32" s="2">
        <v>3.602595</v>
      </c>
      <c r="AL32" s="3">
        <v>2.621092</v>
      </c>
      <c r="AM32" s="3">
        <v>2.3867910000000001</v>
      </c>
      <c r="AN32" s="2">
        <v>24.479520000000001</v>
      </c>
      <c r="AO32" s="2">
        <v>25.584540000000001</v>
      </c>
      <c r="AP32" s="2">
        <v>26.062999999999999</v>
      </c>
      <c r="AQ32" s="2">
        <v>26.466280000000001</v>
      </c>
      <c r="AR32" s="2">
        <v>1.400344</v>
      </c>
      <c r="AS32" s="2">
        <v>1.316092</v>
      </c>
      <c r="AT32" s="2">
        <v>1.1266370000000001</v>
      </c>
      <c r="AU32" s="2">
        <v>0.95974170000000003</v>
      </c>
      <c r="AV32" s="1" t="s">
        <v>6</v>
      </c>
      <c r="AW32" s="3">
        <v>1.46</v>
      </c>
      <c r="AX32" s="3">
        <v>165.5</v>
      </c>
      <c r="AY32" s="2">
        <v>10.776450000000001</v>
      </c>
      <c r="AZ32" s="2">
        <v>13.061730000000001</v>
      </c>
      <c r="BA32" s="2">
        <v>8.4548170000000002</v>
      </c>
      <c r="BB32" s="2">
        <v>11.14568</v>
      </c>
      <c r="BC32" s="2">
        <v>12.839880000000001</v>
      </c>
      <c r="BD32" s="3">
        <v>114.44</v>
      </c>
      <c r="BE32" s="2">
        <v>30.548749999999998</v>
      </c>
      <c r="BF32" s="3">
        <v>153.4</v>
      </c>
      <c r="BG32" s="2">
        <v>-2.6075599999999999</v>
      </c>
      <c r="BH32" s="2">
        <v>48.683889999999998</v>
      </c>
      <c r="BI32" s="2">
        <v>49.39246</v>
      </c>
      <c r="BJ32" s="2">
        <v>48.394599999999997</v>
      </c>
      <c r="BK32" s="2">
        <v>47.386899999999997</v>
      </c>
      <c r="BL32" s="2">
        <v>23</v>
      </c>
      <c r="BM32" s="2">
        <v>20</v>
      </c>
      <c r="BN32" s="4">
        <v>25</v>
      </c>
      <c r="BO32" s="4">
        <v>0</v>
      </c>
      <c r="BP32" s="4">
        <v>2</v>
      </c>
      <c r="BQ32" s="4">
        <v>24</v>
      </c>
      <c r="BR32" s="2">
        <v>0</v>
      </c>
      <c r="BS32" s="4">
        <v>16</v>
      </c>
      <c r="BT32" s="4">
        <v>1</v>
      </c>
      <c r="BU32" s="4">
        <v>25</v>
      </c>
      <c r="BV32" s="2">
        <v>64</v>
      </c>
      <c r="BW32" s="2">
        <v>6.1151999999999997</v>
      </c>
      <c r="BX32" s="2">
        <v>523.51729999999998</v>
      </c>
      <c r="BY32" s="3">
        <v>0.78443719999999995</v>
      </c>
      <c r="BZ32" s="3">
        <v>0.1498398</v>
      </c>
      <c r="CA32" s="2">
        <v>0.62748000000000004</v>
      </c>
      <c r="CB32" s="3">
        <v>0.1498398</v>
      </c>
      <c r="CC32" s="3">
        <v>6.3682340000000002</v>
      </c>
      <c r="CD32" s="3">
        <v>6.4491550000000002</v>
      </c>
      <c r="CE32" s="2">
        <v>1.2707109999999999</v>
      </c>
      <c r="CF32" s="3">
        <v>5046.348</v>
      </c>
      <c r="CG32" s="3">
        <v>5134.9830000000002</v>
      </c>
      <c r="CH32" s="2">
        <v>1.7564299999999999</v>
      </c>
      <c r="CI32" s="3">
        <v>156.1858</v>
      </c>
      <c r="CJ32" s="2">
        <v>5.963552</v>
      </c>
      <c r="CK32" s="3">
        <v>30692.33</v>
      </c>
      <c r="CL32" s="3">
        <v>29985.57</v>
      </c>
      <c r="CM32" s="2">
        <v>-2.3027120000000001</v>
      </c>
      <c r="CN32" s="3">
        <v>134.26079999999999</v>
      </c>
      <c r="CO32" s="3">
        <v>146.05369999999999</v>
      </c>
      <c r="CP32" s="3">
        <v>148.24539999999999</v>
      </c>
      <c r="CQ32" s="2">
        <v>11.276</v>
      </c>
      <c r="CR32" s="2">
        <v>2.291131</v>
      </c>
      <c r="CS32" s="2">
        <v>0.77883009999999997</v>
      </c>
      <c r="CT32" s="2">
        <v>8.7836149999999993</v>
      </c>
      <c r="CU32" s="2">
        <v>108.8214</v>
      </c>
      <c r="CV32" s="3">
        <v>0.1391338</v>
      </c>
      <c r="CW32" s="2" t="e">
        <v>#N/A</v>
      </c>
      <c r="CX32" s="2">
        <v>-1.2997289999999999</v>
      </c>
      <c r="CY32" s="2" t="e">
        <v>#N/A</v>
      </c>
      <c r="CZ32" s="2">
        <v>25.63636</v>
      </c>
    </row>
    <row r="33" spans="1:104" ht="15" customHeight="1" x14ac:dyDescent="0.2">
      <c r="A33" s="1">
        <f t="shared" si="0"/>
        <v>27</v>
      </c>
      <c r="B33" s="1" t="s">
        <v>92</v>
      </c>
      <c r="C33" s="1" t="s">
        <v>91</v>
      </c>
      <c r="D33" s="1" t="s">
        <v>16</v>
      </c>
      <c r="E33" s="1" t="s">
        <v>28</v>
      </c>
      <c r="F33" s="1" t="s">
        <v>29</v>
      </c>
      <c r="G33" s="2">
        <v>57550.74</v>
      </c>
      <c r="H33" s="2">
        <v>50.204999999999998</v>
      </c>
      <c r="I33" s="2">
        <v>28893.35</v>
      </c>
      <c r="J33" s="3">
        <v>95.6</v>
      </c>
      <c r="K33" s="3">
        <v>0</v>
      </c>
      <c r="L33" s="2">
        <v>6.0669459999999997</v>
      </c>
      <c r="M33" s="2">
        <v>8.8912130000000005</v>
      </c>
      <c r="N33" s="2">
        <v>4.7697050000000001</v>
      </c>
      <c r="O33" s="2">
        <v>4.9686190000000003</v>
      </c>
      <c r="P33" s="2">
        <v>5.0932339999999998</v>
      </c>
      <c r="Q33" s="2">
        <v>3.5291239999999999</v>
      </c>
      <c r="R33" s="2">
        <v>7.0036630000000004</v>
      </c>
      <c r="S33" s="2">
        <v>6.7600629999999997</v>
      </c>
      <c r="T33" s="2">
        <v>2.2240850000000001</v>
      </c>
      <c r="U33" s="2">
        <v>1.494137</v>
      </c>
      <c r="V33" s="2">
        <v>1.7837019999999999</v>
      </c>
      <c r="W33" s="2">
        <v>1.5354380000000001</v>
      </c>
      <c r="X33" s="2">
        <v>0.86486689999999999</v>
      </c>
      <c r="Y33" s="2">
        <v>0.71343279999999998</v>
      </c>
      <c r="Z33" s="2">
        <v>0.68285720000000005</v>
      </c>
      <c r="AA33" s="2">
        <v>0.64533549999999995</v>
      </c>
      <c r="AB33" s="2">
        <v>4.782273</v>
      </c>
      <c r="AC33" s="2">
        <v>4.2317220000000004</v>
      </c>
      <c r="AD33" s="2">
        <v>3.860344</v>
      </c>
      <c r="AE33" s="2">
        <v>3.7476069999999999</v>
      </c>
      <c r="AF33" s="2">
        <v>27.74071</v>
      </c>
      <c r="AG33" s="2">
        <v>24.169650000000001</v>
      </c>
      <c r="AH33" s="2">
        <v>28.506049999999998</v>
      </c>
      <c r="AI33" s="2">
        <v>16.9513</v>
      </c>
      <c r="AJ33" s="2">
        <v>13.9543</v>
      </c>
      <c r="AK33" s="2">
        <v>14.73864</v>
      </c>
      <c r="AL33" s="3" t="e">
        <v>#N/A</v>
      </c>
      <c r="AM33" s="3" t="e">
        <v>#N/A</v>
      </c>
      <c r="AN33" s="2">
        <v>17.884910000000001</v>
      </c>
      <c r="AO33" s="2">
        <v>15.44089</v>
      </c>
      <c r="AP33" s="2">
        <v>15.032679999999999</v>
      </c>
      <c r="AQ33" s="2">
        <v>15.3004</v>
      </c>
      <c r="AR33" s="2">
        <v>-0.66604669999999999</v>
      </c>
      <c r="AS33" s="2">
        <v>-1.0279050000000001</v>
      </c>
      <c r="AT33" s="2">
        <v>-1.126171</v>
      </c>
      <c r="AU33" s="2">
        <v>-1.2174499999999999</v>
      </c>
      <c r="AV33" s="1" t="s">
        <v>62</v>
      </c>
      <c r="AW33" s="3">
        <v>1.6458330000000001</v>
      </c>
      <c r="AX33" s="3">
        <v>103</v>
      </c>
      <c r="AY33" s="2">
        <v>7.7405929999999996</v>
      </c>
      <c r="AZ33" s="2">
        <v>20.215579999999999</v>
      </c>
      <c r="BA33" s="2">
        <v>-9.9275669999999998</v>
      </c>
      <c r="BB33" s="2">
        <v>28.442820000000001</v>
      </c>
      <c r="BC33" s="2">
        <v>14.65579</v>
      </c>
      <c r="BD33" s="3">
        <v>68.44</v>
      </c>
      <c r="BE33" s="2">
        <v>39.68439</v>
      </c>
      <c r="BF33" s="3">
        <v>103.7</v>
      </c>
      <c r="BG33" s="2">
        <v>-7.8109919999999997</v>
      </c>
      <c r="BH33" s="2">
        <v>29.93225</v>
      </c>
      <c r="BI33" s="2">
        <v>30.11102</v>
      </c>
      <c r="BJ33" s="2">
        <v>32.66133</v>
      </c>
      <c r="BK33" s="2">
        <v>33.043469999999999</v>
      </c>
      <c r="BL33" s="2">
        <v>12</v>
      </c>
      <c r="BM33" s="2">
        <v>17</v>
      </c>
      <c r="BN33" s="4">
        <v>24</v>
      </c>
      <c r="BO33" s="4">
        <v>0</v>
      </c>
      <c r="BP33" s="4">
        <v>3</v>
      </c>
      <c r="BQ33" s="4">
        <v>21</v>
      </c>
      <c r="BR33" s="2">
        <v>0</v>
      </c>
      <c r="BS33" s="4">
        <v>10</v>
      </c>
      <c r="BT33" s="4">
        <v>2</v>
      </c>
      <c r="BU33" s="4">
        <v>24</v>
      </c>
      <c r="BV33" s="2">
        <v>41.66666</v>
      </c>
      <c r="BW33" s="2">
        <v>9.1032899999999994</v>
      </c>
      <c r="BX33" s="2">
        <v>601.99519999999995</v>
      </c>
      <c r="BY33" s="3">
        <v>1.3131679999999999</v>
      </c>
      <c r="BZ33" s="3">
        <v>0.21813589999999999</v>
      </c>
      <c r="CA33" s="2">
        <v>1.19533</v>
      </c>
      <c r="CB33" s="3">
        <v>0.21813589999999999</v>
      </c>
      <c r="CC33" s="3">
        <v>26.708349999999999</v>
      </c>
      <c r="CD33" s="3">
        <v>26.858930000000001</v>
      </c>
      <c r="CE33" s="2">
        <v>0.5638242</v>
      </c>
      <c r="CF33" s="3">
        <v>13745.89</v>
      </c>
      <c r="CG33" s="3">
        <v>14070.7</v>
      </c>
      <c r="CH33" s="2">
        <v>2.362978</v>
      </c>
      <c r="CI33" s="3">
        <v>94.735010000000003</v>
      </c>
      <c r="CJ33" s="2">
        <v>8.7243320000000004</v>
      </c>
      <c r="CK33" s="3">
        <v>137571.5</v>
      </c>
      <c r="CL33" s="3">
        <v>140263.79999999999</v>
      </c>
      <c r="CM33" s="2">
        <v>1.9570110000000001</v>
      </c>
      <c r="CN33" s="3">
        <v>82.401340000000005</v>
      </c>
      <c r="CO33" s="3">
        <v>95.381169999999997</v>
      </c>
      <c r="CP33" s="3">
        <v>98.729230000000001</v>
      </c>
      <c r="CQ33" s="2">
        <v>16.017520000000001</v>
      </c>
      <c r="CR33" s="2">
        <v>0.22941829999999999</v>
      </c>
      <c r="CS33" s="2">
        <v>-3.1695129999999998</v>
      </c>
      <c r="CT33" s="2">
        <v>15.75196</v>
      </c>
      <c r="CU33" s="2">
        <v>102.1318</v>
      </c>
      <c r="CV33" s="3">
        <v>0.17746390000000001</v>
      </c>
      <c r="CW33" s="2">
        <v>3.02027</v>
      </c>
      <c r="CX33" s="2">
        <v>5.2224269999999997</v>
      </c>
      <c r="CY33" s="2">
        <v>0.67771760000000003</v>
      </c>
      <c r="CZ33" s="2">
        <v>26.343440000000001</v>
      </c>
    </row>
    <row r="34" spans="1:104" ht="15" customHeight="1" x14ac:dyDescent="0.2">
      <c r="A34" s="1">
        <f t="shared" si="0"/>
        <v>28</v>
      </c>
      <c r="B34" s="1" t="s">
        <v>94</v>
      </c>
      <c r="C34" s="1" t="s">
        <v>93</v>
      </c>
      <c r="D34" s="1" t="s">
        <v>46</v>
      </c>
      <c r="E34" s="1" t="s">
        <v>95</v>
      </c>
      <c r="F34" s="1" t="s">
        <v>96</v>
      </c>
      <c r="G34" s="2">
        <v>132773</v>
      </c>
      <c r="H34" s="2">
        <v>36.576799999999999</v>
      </c>
      <c r="I34" s="2">
        <v>48564.11</v>
      </c>
      <c r="J34" s="3">
        <v>66.260000000000005</v>
      </c>
      <c r="K34" s="3">
        <v>0</v>
      </c>
      <c r="L34" s="2">
        <v>0.22785839999999999</v>
      </c>
      <c r="M34" s="2">
        <v>0.20097419999999999</v>
      </c>
      <c r="N34" s="2">
        <v>0.24404000000000001</v>
      </c>
      <c r="O34" s="2">
        <v>0.26740259999999999</v>
      </c>
      <c r="P34" s="2">
        <v>36.382919999999999</v>
      </c>
      <c r="Q34" s="2">
        <v>39.142699999999998</v>
      </c>
      <c r="R34" s="2">
        <v>20.286629999999999</v>
      </c>
      <c r="S34" s="2">
        <v>14.86483</v>
      </c>
      <c r="T34" s="2" t="e">
        <v>#N/A</v>
      </c>
      <c r="U34" s="2" t="e">
        <v>#N/A</v>
      </c>
      <c r="V34" s="2" t="e">
        <v>#N/A</v>
      </c>
      <c r="W34" s="2" t="e">
        <v>#N/A</v>
      </c>
      <c r="X34" s="2">
        <v>2.0983309999999999</v>
      </c>
      <c r="Y34" s="2">
        <v>2.0595340000000002</v>
      </c>
      <c r="Z34" s="2">
        <v>2.1662780000000001</v>
      </c>
      <c r="AA34" s="2">
        <v>1.702915</v>
      </c>
      <c r="AB34" s="2" t="e">
        <v>#N/A</v>
      </c>
      <c r="AC34" s="2" t="e">
        <v>#N/A</v>
      </c>
      <c r="AD34" s="2" t="e">
        <v>#N/A</v>
      </c>
      <c r="AE34" s="2">
        <v>353.10599999999999</v>
      </c>
      <c r="AF34" s="2">
        <v>-0.85377899999999995</v>
      </c>
      <c r="AG34" s="2">
        <v>-0.61617719999999998</v>
      </c>
      <c r="AH34" s="2">
        <v>-0.2548067</v>
      </c>
      <c r="AI34" s="2">
        <v>-0.85229969999999999</v>
      </c>
      <c r="AJ34" s="2">
        <v>-0.61810390000000004</v>
      </c>
      <c r="AK34" s="2">
        <v>-0.25608540000000002</v>
      </c>
      <c r="AL34" s="3">
        <v>0.53122499999999995</v>
      </c>
      <c r="AM34" s="3">
        <v>0.31013659999999998</v>
      </c>
      <c r="AN34" s="2">
        <v>-5.9860179999999996</v>
      </c>
      <c r="AO34" s="2">
        <v>-10.51239</v>
      </c>
      <c r="AP34" s="2">
        <v>-4.5325839999999999</v>
      </c>
      <c r="AQ34" s="2">
        <v>-0.49982759999999998</v>
      </c>
      <c r="AR34" s="2">
        <v>-6.053528</v>
      </c>
      <c r="AS34" s="2">
        <v>0.31626320000000002</v>
      </c>
      <c r="AT34" s="2">
        <v>-1.07989</v>
      </c>
      <c r="AU34" s="2">
        <v>-12.98432</v>
      </c>
      <c r="AV34" s="1" t="s">
        <v>6</v>
      </c>
      <c r="AW34" s="3">
        <v>1.3421050000000001</v>
      </c>
      <c r="AX34" s="3">
        <v>89.070920000000001</v>
      </c>
      <c r="AY34" s="2">
        <v>34.426369999999999</v>
      </c>
      <c r="AZ34" s="2">
        <v>5.261603</v>
      </c>
      <c r="BA34" s="2">
        <v>65</v>
      </c>
      <c r="BB34" s="2">
        <v>45.947139999999997</v>
      </c>
      <c r="BC34" s="2">
        <v>2.808392</v>
      </c>
      <c r="BD34" s="3">
        <v>40.064999999999998</v>
      </c>
      <c r="BE34" s="2">
        <v>65.381259999999997</v>
      </c>
      <c r="BF34" s="3">
        <v>79.37</v>
      </c>
      <c r="BG34" s="2">
        <v>-16.517569999999999</v>
      </c>
      <c r="BH34" s="2">
        <v>9.8494299999999999</v>
      </c>
      <c r="BI34" s="2">
        <v>5.4742129999999998</v>
      </c>
      <c r="BJ34" s="2">
        <v>3.6830750000000001</v>
      </c>
      <c r="BK34" s="2">
        <v>2.8044210000000001</v>
      </c>
      <c r="BL34" s="2">
        <v>15</v>
      </c>
      <c r="BM34" s="2">
        <v>13</v>
      </c>
      <c r="BN34" s="4">
        <v>19</v>
      </c>
      <c r="BO34" s="4">
        <v>0</v>
      </c>
      <c r="BP34" s="4">
        <v>4</v>
      </c>
      <c r="BQ34" s="4">
        <v>15</v>
      </c>
      <c r="BR34" s="2">
        <v>0</v>
      </c>
      <c r="BS34" s="4">
        <v>13</v>
      </c>
      <c r="BT34" s="4">
        <v>0</v>
      </c>
      <c r="BU34" s="4">
        <v>19</v>
      </c>
      <c r="BV34" s="2">
        <v>68.421049999999994</v>
      </c>
      <c r="BW34" s="2">
        <v>12.0532</v>
      </c>
      <c r="BX34" s="2">
        <v>2003.818</v>
      </c>
      <c r="BY34" s="3">
        <v>2.5785330000000002</v>
      </c>
      <c r="BZ34" s="3">
        <v>0.12868099999999999</v>
      </c>
      <c r="CA34" s="2">
        <v>0.57948</v>
      </c>
      <c r="CB34" s="3">
        <v>0.12868099999999999</v>
      </c>
      <c r="CC34" s="3">
        <v>1.9098109999999999</v>
      </c>
      <c r="CD34" s="3">
        <v>1.9189320000000001</v>
      </c>
      <c r="CE34" s="2">
        <v>0.47760010000000003</v>
      </c>
      <c r="CF34" s="3">
        <v>-1040.713</v>
      </c>
      <c r="CG34" s="3">
        <v>-993.42520000000002</v>
      </c>
      <c r="CH34" s="2">
        <v>-4.5437690000000002</v>
      </c>
      <c r="CI34" s="3">
        <v>80.343029999999999</v>
      </c>
      <c r="CJ34" s="2">
        <v>10.86327</v>
      </c>
      <c r="CK34" s="3">
        <v>7373.4989999999998</v>
      </c>
      <c r="CL34" s="3">
        <v>7303.9110000000001</v>
      </c>
      <c r="CM34" s="2">
        <v>-0.94376210000000005</v>
      </c>
      <c r="CN34" s="3">
        <v>62.178449999999998</v>
      </c>
      <c r="CO34" s="3">
        <v>72.450789999999998</v>
      </c>
      <c r="CP34" s="3">
        <v>70.386920000000003</v>
      </c>
      <c r="CQ34" s="2">
        <v>6.5642480000000001</v>
      </c>
      <c r="CR34" s="2">
        <v>-8.5448210000000007</v>
      </c>
      <c r="CS34" s="2">
        <v>-5.8631840000000004</v>
      </c>
      <c r="CT34" s="2">
        <v>16.52074</v>
      </c>
      <c r="CU34" s="2">
        <v>132.03200000000001</v>
      </c>
      <c r="CV34" s="3">
        <v>9.9441929999999998E-2</v>
      </c>
      <c r="CW34" s="2" t="e">
        <v>#N/A</v>
      </c>
      <c r="CX34" s="2" t="e">
        <v>#N/A</v>
      </c>
      <c r="CY34" s="2" t="e">
        <v>#N/A</v>
      </c>
      <c r="CZ34" s="2">
        <v>26.44444</v>
      </c>
    </row>
    <row r="35" spans="1:104" ht="15" customHeight="1" x14ac:dyDescent="0.2">
      <c r="A35" s="1">
        <f t="shared" si="0"/>
        <v>29</v>
      </c>
      <c r="B35" s="1" t="s">
        <v>98</v>
      </c>
      <c r="C35" s="1" t="s">
        <v>97</v>
      </c>
      <c r="D35" s="1" t="s">
        <v>16</v>
      </c>
      <c r="E35" s="1" t="s">
        <v>4</v>
      </c>
      <c r="F35" s="1" t="s">
        <v>99</v>
      </c>
      <c r="G35" s="2">
        <v>31958</v>
      </c>
      <c r="H35" s="2">
        <v>96.557500000000005</v>
      </c>
      <c r="I35" s="2">
        <v>30857.85</v>
      </c>
      <c r="J35" s="3">
        <v>168.2</v>
      </c>
      <c r="K35" s="3">
        <v>0</v>
      </c>
      <c r="L35" s="2">
        <v>2.1403089999999998</v>
      </c>
      <c r="M35" s="2">
        <v>2.3781210000000002</v>
      </c>
      <c r="N35" s="2">
        <v>2.5267539999999999</v>
      </c>
      <c r="O35" s="2">
        <v>2.675386</v>
      </c>
      <c r="P35" s="2">
        <v>19.535430000000002</v>
      </c>
      <c r="Q35" s="2">
        <v>17.9893</v>
      </c>
      <c r="R35" s="2">
        <v>17.502600000000001</v>
      </c>
      <c r="S35" s="2">
        <v>16.784590000000001</v>
      </c>
      <c r="T35" s="2">
        <v>13.334849999999999</v>
      </c>
      <c r="U35" s="2">
        <v>12.241289999999999</v>
      </c>
      <c r="V35" s="2">
        <v>11.513350000000001</v>
      </c>
      <c r="W35" s="2">
        <v>10.462249999999999</v>
      </c>
      <c r="X35" s="2">
        <v>3.8445710000000002</v>
      </c>
      <c r="Y35" s="2">
        <v>3.4048579999999999</v>
      </c>
      <c r="Z35" s="2">
        <v>3.063752</v>
      </c>
      <c r="AA35" s="2">
        <v>2.9218009999999999</v>
      </c>
      <c r="AB35" s="2">
        <v>16.377669999999998</v>
      </c>
      <c r="AC35" s="2">
        <v>14.72404</v>
      </c>
      <c r="AD35" s="2">
        <v>14.39174</v>
      </c>
      <c r="AE35" s="2">
        <v>13.626469999999999</v>
      </c>
      <c r="AF35" s="2">
        <v>4.7229869999999998</v>
      </c>
      <c r="AG35" s="2">
        <v>5.0774689999999998</v>
      </c>
      <c r="AH35" s="2">
        <v>4.9346059999999996</v>
      </c>
      <c r="AI35" s="2">
        <v>5.0411729999999997</v>
      </c>
      <c r="AJ35" s="2">
        <v>5.2736850000000004</v>
      </c>
      <c r="AK35" s="2">
        <v>4.8916329999999997</v>
      </c>
      <c r="AL35" s="3">
        <v>1.5571790000000001</v>
      </c>
      <c r="AM35" s="3">
        <v>1.487628</v>
      </c>
      <c r="AN35" s="2">
        <v>58.225749999999998</v>
      </c>
      <c r="AO35" s="2">
        <v>59.459159999999997</v>
      </c>
      <c r="AP35" s="2">
        <v>59.621549999999999</v>
      </c>
      <c r="AQ35" s="2">
        <v>59.342610000000001</v>
      </c>
      <c r="AR35" s="2">
        <v>1.1927859999999999</v>
      </c>
      <c r="AS35" s="2">
        <v>0.77263899999999996</v>
      </c>
      <c r="AT35" s="2">
        <v>0.42837320000000001</v>
      </c>
      <c r="AU35" s="2">
        <v>-9.1910549999999994E-2</v>
      </c>
      <c r="AV35" s="1" t="s">
        <v>100</v>
      </c>
      <c r="AW35" s="3">
        <v>1.568182</v>
      </c>
      <c r="AX35" s="3">
        <v>193.5</v>
      </c>
      <c r="AY35" s="2">
        <v>15.04161</v>
      </c>
      <c r="AZ35" s="2">
        <v>18.927129999999998</v>
      </c>
      <c r="BA35" s="2">
        <v>10.892239999999999</v>
      </c>
      <c r="BB35" s="2">
        <v>10.18671</v>
      </c>
      <c r="BC35" s="2">
        <v>4.2131420000000004</v>
      </c>
      <c r="BD35" s="3">
        <v>146.94999999999999</v>
      </c>
      <c r="BE35" s="2">
        <v>14.460710000000001</v>
      </c>
      <c r="BF35" s="3">
        <v>180</v>
      </c>
      <c r="BG35" s="2">
        <v>-6.5555570000000003</v>
      </c>
      <c r="BH35" s="2">
        <v>41.899290000000001</v>
      </c>
      <c r="BI35" s="2">
        <v>42.918390000000002</v>
      </c>
      <c r="BJ35" s="2">
        <v>43.061500000000002</v>
      </c>
      <c r="BK35" s="2">
        <v>43.191519999999997</v>
      </c>
      <c r="BL35" s="2">
        <v>21</v>
      </c>
      <c r="BM35" s="2">
        <v>17</v>
      </c>
      <c r="BN35" s="4">
        <v>22</v>
      </c>
      <c r="BO35" s="4">
        <v>0</v>
      </c>
      <c r="BP35" s="4">
        <v>4</v>
      </c>
      <c r="BQ35" s="4">
        <v>19</v>
      </c>
      <c r="BR35" s="2">
        <v>0</v>
      </c>
      <c r="BS35" s="4">
        <v>11</v>
      </c>
      <c r="BT35" s="4">
        <v>1</v>
      </c>
      <c r="BU35" s="4">
        <v>22</v>
      </c>
      <c r="BV35" s="2">
        <v>50</v>
      </c>
      <c r="BW35" s="2">
        <v>6.3712999999999997</v>
      </c>
      <c r="BX35" s="2">
        <v>190</v>
      </c>
      <c r="BY35" s="3">
        <v>0.3860826</v>
      </c>
      <c r="BZ35" s="3">
        <v>0.2032014</v>
      </c>
      <c r="CA35" s="2">
        <v>0.62952399999999997</v>
      </c>
      <c r="CB35" s="3">
        <v>0.2032014</v>
      </c>
      <c r="CC35" s="3">
        <v>9.0274900000000002</v>
      </c>
      <c r="CD35" s="3">
        <v>9.2642489999999995</v>
      </c>
      <c r="CE35" s="2">
        <v>2.622652</v>
      </c>
      <c r="CF35" s="3">
        <v>2380.0729999999999</v>
      </c>
      <c r="CG35" s="3">
        <v>2430.377</v>
      </c>
      <c r="CH35" s="2">
        <v>2.1135329999999999</v>
      </c>
      <c r="CI35" s="3">
        <v>190.58500000000001</v>
      </c>
      <c r="CJ35" s="2">
        <v>1.5295030000000001</v>
      </c>
      <c r="CK35" s="3">
        <v>4582.4179999999997</v>
      </c>
      <c r="CL35" s="3">
        <v>4683.5619999999999</v>
      </c>
      <c r="CM35" s="2">
        <v>2.2072319999999999</v>
      </c>
      <c r="CN35" s="3">
        <v>165.51769999999999</v>
      </c>
      <c r="CO35" s="3">
        <v>165.43039999999999</v>
      </c>
      <c r="CP35" s="3">
        <v>167.62309999999999</v>
      </c>
      <c r="CQ35" s="2">
        <v>1.6205670000000001</v>
      </c>
      <c r="CR35" s="2">
        <v>1.6741870000000001</v>
      </c>
      <c r="CS35" s="2">
        <v>0.34418110000000002</v>
      </c>
      <c r="CT35" s="2">
        <v>-5.2732229999999998E-2</v>
      </c>
      <c r="CU35" s="2">
        <v>58.409759999999999</v>
      </c>
      <c r="CV35" s="3">
        <v>0.1827704</v>
      </c>
      <c r="CW35" s="2">
        <v>12.28088</v>
      </c>
      <c r="CX35" s="2">
        <v>4.0507949999999999</v>
      </c>
      <c r="CY35" s="2">
        <v>6.6469199999999997</v>
      </c>
      <c r="CZ35" s="2">
        <v>26.66667</v>
      </c>
    </row>
    <row r="36" spans="1:104" ht="15" customHeight="1" x14ac:dyDescent="0.2">
      <c r="A36" s="1">
        <f t="shared" si="0"/>
        <v>30</v>
      </c>
      <c r="B36" s="1" t="s">
        <v>102</v>
      </c>
      <c r="C36" s="1" t="s">
        <v>101</v>
      </c>
      <c r="D36" s="1" t="s">
        <v>25</v>
      </c>
      <c r="E36" s="1" t="s">
        <v>73</v>
      </c>
      <c r="F36" s="1" t="s">
        <v>74</v>
      </c>
      <c r="G36" s="2">
        <v>70007.520000000004</v>
      </c>
      <c r="H36" s="2">
        <v>98.473500000000001</v>
      </c>
      <c r="I36" s="2">
        <v>68938.86</v>
      </c>
      <c r="J36" s="3">
        <v>10.86</v>
      </c>
      <c r="K36" s="3">
        <v>0</v>
      </c>
      <c r="L36" s="2">
        <v>4.511971</v>
      </c>
      <c r="M36" s="2">
        <v>4.6311239999999998</v>
      </c>
      <c r="N36" s="2">
        <v>4.9723759999999997</v>
      </c>
      <c r="O36" s="2">
        <v>5.2946590000000002</v>
      </c>
      <c r="P36" s="2">
        <v>15.947139999999999</v>
      </c>
      <c r="Q36" s="2">
        <v>15.415190000000001</v>
      </c>
      <c r="R36" s="2">
        <v>14.261329999999999</v>
      </c>
      <c r="S36" s="2">
        <v>13.2439</v>
      </c>
      <c r="T36" s="2">
        <v>8.7149750000000008</v>
      </c>
      <c r="U36" s="2">
        <v>8.8382740000000002</v>
      </c>
      <c r="V36" s="2">
        <v>8.3548799999999996</v>
      </c>
      <c r="W36" s="2">
        <v>7.9508979999999996</v>
      </c>
      <c r="X36" s="2">
        <v>1.6306309999999999</v>
      </c>
      <c r="Y36" s="2">
        <v>1.5379480000000001</v>
      </c>
      <c r="Z36" s="2">
        <v>1.4858819999999999</v>
      </c>
      <c r="AA36" s="2">
        <v>1.469951</v>
      </c>
      <c r="AB36" s="2">
        <v>7.7444269999999999</v>
      </c>
      <c r="AC36" s="2">
        <v>6.6623789999999996</v>
      </c>
      <c r="AD36" s="2">
        <v>6.2641669999999996</v>
      </c>
      <c r="AE36" s="2">
        <v>6.0888960000000001</v>
      </c>
      <c r="AF36" s="2">
        <v>-3.9341159999999999</v>
      </c>
      <c r="AG36" s="2">
        <v>-0.26399289999999997</v>
      </c>
      <c r="AH36" s="2">
        <v>4.2378590000000001E-2</v>
      </c>
      <c r="AI36" s="2">
        <v>-7.019533</v>
      </c>
      <c r="AJ36" s="2">
        <v>-0.48077560000000003</v>
      </c>
      <c r="AK36" s="2">
        <v>7.8562980000000004E-2</v>
      </c>
      <c r="AL36" s="3">
        <v>2.0343900000000001</v>
      </c>
      <c r="AM36" s="3">
        <v>1.878147</v>
      </c>
      <c r="AN36" s="2">
        <v>24.519449999999999</v>
      </c>
      <c r="AO36" s="2">
        <v>26.681899999999999</v>
      </c>
      <c r="AP36" s="2">
        <v>28.29909</v>
      </c>
      <c r="AQ36" s="2">
        <v>28.417480000000001</v>
      </c>
      <c r="AR36" s="2">
        <v>3.4581189999999999</v>
      </c>
      <c r="AS36" s="2">
        <v>3.8848400000000001</v>
      </c>
      <c r="AT36" s="2">
        <v>3.7672319999999999</v>
      </c>
      <c r="AU36" s="2">
        <v>3.6620110000000001</v>
      </c>
      <c r="AV36" s="1" t="s">
        <v>62</v>
      </c>
      <c r="AW36" s="3">
        <v>1.56</v>
      </c>
      <c r="AX36" s="3">
        <v>12</v>
      </c>
      <c r="AY36" s="2">
        <v>10.49724</v>
      </c>
      <c r="AZ36" s="2">
        <v>9.976839</v>
      </c>
      <c r="BA36" s="2">
        <v>7.25</v>
      </c>
      <c r="BB36" s="2">
        <v>10.14199</v>
      </c>
      <c r="BC36" s="2">
        <v>-0.64044590000000001</v>
      </c>
      <c r="BD36" s="3">
        <v>9.09</v>
      </c>
      <c r="BE36" s="2">
        <v>19.47194</v>
      </c>
      <c r="BF36" s="3">
        <v>11.484999999999999</v>
      </c>
      <c r="BG36" s="2">
        <v>-5.4418800000000003</v>
      </c>
      <c r="BH36" s="2">
        <v>71.972340000000003</v>
      </c>
      <c r="BI36" s="2">
        <v>71.734909999999999</v>
      </c>
      <c r="BJ36" s="2">
        <v>70.118709999999993</v>
      </c>
      <c r="BK36" s="2">
        <v>69.99033</v>
      </c>
      <c r="BL36" s="2">
        <v>22</v>
      </c>
      <c r="BM36" s="2">
        <v>21</v>
      </c>
      <c r="BN36" s="4">
        <v>25</v>
      </c>
      <c r="BO36" s="4">
        <v>0</v>
      </c>
      <c r="BP36" s="4">
        <v>1</v>
      </c>
      <c r="BQ36" s="4">
        <v>24</v>
      </c>
      <c r="BR36" s="2">
        <v>0</v>
      </c>
      <c r="BS36" s="4">
        <v>12</v>
      </c>
      <c r="BT36" s="4">
        <v>0</v>
      </c>
      <c r="BU36" s="4">
        <v>25</v>
      </c>
      <c r="BV36" s="2">
        <v>48</v>
      </c>
      <c r="BW36" s="2">
        <v>7.0247900000000003</v>
      </c>
      <c r="BX36" s="2">
        <v>6446.3639999999996</v>
      </c>
      <c r="BY36" s="3">
        <v>12.75075</v>
      </c>
      <c r="BZ36" s="3">
        <v>0.19779759999999999</v>
      </c>
      <c r="CA36" s="2">
        <v>0.58252199999999998</v>
      </c>
      <c r="CB36" s="3">
        <v>0.19779759999999999</v>
      </c>
      <c r="CC36" s="3">
        <v>0.70164899999999997</v>
      </c>
      <c r="CD36" s="3">
        <v>0.70722569999999996</v>
      </c>
      <c r="CE36" s="2">
        <v>0.79480410000000001</v>
      </c>
      <c r="CF36" s="3">
        <v>8614.7199999999993</v>
      </c>
      <c r="CG36" s="3">
        <v>8795.9320000000007</v>
      </c>
      <c r="CH36" s="2">
        <v>2.1035189999999999</v>
      </c>
      <c r="CI36" s="3">
        <v>11.95534</v>
      </c>
      <c r="CJ36" s="2">
        <v>0.37358999999999998</v>
      </c>
      <c r="CK36" s="3">
        <v>50735.65</v>
      </c>
      <c r="CL36" s="3">
        <v>51539.81</v>
      </c>
      <c r="CM36" s="2">
        <v>1.5849949999999999</v>
      </c>
      <c r="CN36" s="3">
        <v>10.46768</v>
      </c>
      <c r="CO36" s="3">
        <v>10.809609999999999</v>
      </c>
      <c r="CP36" s="3">
        <v>10.77</v>
      </c>
      <c r="CQ36" s="2">
        <v>3.7479520000000002</v>
      </c>
      <c r="CR36" s="2">
        <v>0.46619179999999999</v>
      </c>
      <c r="CS36" s="2">
        <v>0.83565710000000004</v>
      </c>
      <c r="CT36" s="2">
        <v>3.266537</v>
      </c>
      <c r="CU36" s="2">
        <v>139.2422</v>
      </c>
      <c r="CV36" s="3">
        <v>0.19889599999999999</v>
      </c>
      <c r="CW36" s="2" t="e">
        <v>#N/A</v>
      </c>
      <c r="CX36" s="2" t="e">
        <v>#N/A</v>
      </c>
      <c r="CY36" s="2">
        <v>-5.3940219999999997</v>
      </c>
      <c r="CZ36" s="2">
        <v>26.80808</v>
      </c>
    </row>
    <row r="37" spans="1:104" ht="15" customHeight="1" x14ac:dyDescent="0.2">
      <c r="A37" s="1">
        <f t="shared" si="0"/>
        <v>31</v>
      </c>
      <c r="B37" s="1" t="s">
        <v>104</v>
      </c>
      <c r="C37" s="1" t="s">
        <v>103</v>
      </c>
      <c r="D37" s="1" t="s">
        <v>16</v>
      </c>
      <c r="E37" s="1" t="s">
        <v>28</v>
      </c>
      <c r="F37" s="1" t="s">
        <v>29</v>
      </c>
      <c r="G37" s="2">
        <v>26476.78</v>
      </c>
      <c r="H37" s="2">
        <v>84.399799999999999</v>
      </c>
      <c r="I37" s="2">
        <v>22346.35</v>
      </c>
      <c r="J37" s="3">
        <v>128.4</v>
      </c>
      <c r="K37" s="3">
        <v>0</v>
      </c>
      <c r="L37" s="2">
        <v>6.1604359999999998</v>
      </c>
      <c r="M37" s="2">
        <v>6.6082549999999998</v>
      </c>
      <c r="N37" s="2">
        <v>6.9003110000000003</v>
      </c>
      <c r="O37" s="2">
        <v>6.9937690000000003</v>
      </c>
      <c r="P37" s="2">
        <v>4.3334460000000004</v>
      </c>
      <c r="Q37" s="2">
        <v>4.2501829999999998</v>
      </c>
      <c r="R37" s="2">
        <v>4.011247</v>
      </c>
      <c r="S37" s="2">
        <v>4.068441</v>
      </c>
      <c r="T37" s="2">
        <v>0.48138439999999999</v>
      </c>
      <c r="U37" s="2">
        <v>0.85683489999999995</v>
      </c>
      <c r="V37" s="2">
        <v>0.80606639999999996</v>
      </c>
      <c r="W37" s="2">
        <v>0.97031149999999999</v>
      </c>
      <c r="X37" s="2">
        <v>0.37744090000000002</v>
      </c>
      <c r="Y37" s="2">
        <v>0.41226269999999998</v>
      </c>
      <c r="Z37" s="2">
        <v>0.38916440000000002</v>
      </c>
      <c r="AA37" s="2">
        <v>0.43899549999999998</v>
      </c>
      <c r="AB37" s="2">
        <v>2.1552419999999999</v>
      </c>
      <c r="AC37" s="2">
        <v>1.9865790000000001</v>
      </c>
      <c r="AD37" s="2">
        <v>1.9110279999999999</v>
      </c>
      <c r="AE37" s="2">
        <v>2.266931</v>
      </c>
      <c r="AF37" s="2">
        <v>-93.231009999999998</v>
      </c>
      <c r="AG37" s="2">
        <v>-70.530990000000003</v>
      </c>
      <c r="AH37" s="2">
        <v>-671.25649999999996</v>
      </c>
      <c r="AI37" s="2">
        <v>38.802410000000002</v>
      </c>
      <c r="AJ37" s="2">
        <v>37.433779999999999</v>
      </c>
      <c r="AK37" s="2">
        <v>41.15305</v>
      </c>
      <c r="AL37" s="3">
        <v>1.185257</v>
      </c>
      <c r="AM37" s="3">
        <v>1.1338779999999999</v>
      </c>
      <c r="AN37" s="2">
        <v>18.27244</v>
      </c>
      <c r="AO37" s="2">
        <v>15.50333</v>
      </c>
      <c r="AP37" s="2">
        <v>14.686120000000001</v>
      </c>
      <c r="AQ37" s="2">
        <v>15.96358</v>
      </c>
      <c r="AR37" s="2">
        <v>-0.84305940000000001</v>
      </c>
      <c r="AS37" s="2">
        <v>-0.84569879999999997</v>
      </c>
      <c r="AT37" s="2">
        <v>-0.93454599999999999</v>
      </c>
      <c r="AU37" s="2">
        <v>-0.57539220000000002</v>
      </c>
      <c r="AV37" s="1" t="s">
        <v>37</v>
      </c>
      <c r="AW37" s="3">
        <v>1.545455</v>
      </c>
      <c r="AX37" s="3">
        <v>167.5</v>
      </c>
      <c r="AY37" s="2">
        <v>30.451720000000002</v>
      </c>
      <c r="AZ37" s="2">
        <v>9.6998809999999995</v>
      </c>
      <c r="BA37" s="2">
        <v>2.4</v>
      </c>
      <c r="BB37" s="2">
        <v>-14.40001</v>
      </c>
      <c r="BC37" s="2">
        <v>10.290330000000001</v>
      </c>
      <c r="BD37" s="3">
        <v>112.84</v>
      </c>
      <c r="BE37" s="2">
        <v>13.789440000000001</v>
      </c>
      <c r="BF37" s="3">
        <v>162.38</v>
      </c>
      <c r="BG37" s="2">
        <v>-20.92623</v>
      </c>
      <c r="BH37" s="2">
        <v>26.695920000000001</v>
      </c>
      <c r="BI37" s="2">
        <v>27.154530000000001</v>
      </c>
      <c r="BJ37" s="2">
        <v>26.785080000000001</v>
      </c>
      <c r="BK37" s="2">
        <v>27.810469999999999</v>
      </c>
      <c r="BL37" s="2">
        <v>19</v>
      </c>
      <c r="BM37" s="2">
        <v>19</v>
      </c>
      <c r="BN37" s="4">
        <v>22</v>
      </c>
      <c r="BO37" s="4">
        <v>0</v>
      </c>
      <c r="BP37" s="4">
        <v>1</v>
      </c>
      <c r="BQ37" s="4">
        <v>21</v>
      </c>
      <c r="BR37" s="2">
        <v>0</v>
      </c>
      <c r="BS37" s="4">
        <v>13</v>
      </c>
      <c r="BT37" s="4">
        <v>2</v>
      </c>
      <c r="BU37" s="4">
        <v>22</v>
      </c>
      <c r="BV37" s="2">
        <v>59.090910000000001</v>
      </c>
      <c r="BW37" s="2">
        <v>11.5379</v>
      </c>
      <c r="BX37" s="2">
        <v>206.2054</v>
      </c>
      <c r="BY37" s="3">
        <v>1.1007739999999999</v>
      </c>
      <c r="BZ37" s="3">
        <v>0.53382410000000002</v>
      </c>
      <c r="CA37" s="2">
        <v>1.3919999999999999</v>
      </c>
      <c r="CB37" s="3">
        <v>0.53382410000000002</v>
      </c>
      <c r="CC37" s="3">
        <v>26.15269</v>
      </c>
      <c r="CD37" s="3">
        <v>29.959240000000001</v>
      </c>
      <c r="CE37" s="2">
        <v>14.555120000000001</v>
      </c>
      <c r="CF37" s="3">
        <v>20517.72</v>
      </c>
      <c r="CG37" s="3">
        <v>20423.38</v>
      </c>
      <c r="CH37" s="2">
        <v>-0.45979619999999999</v>
      </c>
      <c r="CI37" s="3">
        <v>165.43719999999999</v>
      </c>
      <c r="CJ37" s="2">
        <v>1.246893</v>
      </c>
      <c r="CK37" s="3">
        <v>282942.09999999998</v>
      </c>
      <c r="CL37" s="3">
        <v>285110.7</v>
      </c>
      <c r="CM37" s="2">
        <v>0.76644420000000002</v>
      </c>
      <c r="CN37" s="3">
        <v>121.515</v>
      </c>
      <c r="CO37" s="3">
        <v>129.38040000000001</v>
      </c>
      <c r="CP37" s="3">
        <v>132.0531</v>
      </c>
      <c r="CQ37" s="2">
        <v>5.6659459999999999</v>
      </c>
      <c r="CR37" s="2">
        <v>-0.75778369999999995</v>
      </c>
      <c r="CS37" s="2">
        <v>-2.7663709999999999</v>
      </c>
      <c r="CT37" s="2">
        <v>6.4727779999999999</v>
      </c>
      <c r="CU37" s="2">
        <v>149.2379</v>
      </c>
      <c r="CV37" s="3">
        <v>0.56365569999999998</v>
      </c>
      <c r="CW37" s="2">
        <v>2.8449930000000001</v>
      </c>
      <c r="CX37" s="2">
        <v>2.4591910000000001</v>
      </c>
      <c r="CY37" s="2">
        <v>-9.4155979999999992</v>
      </c>
      <c r="CZ37" s="2">
        <v>26.80808</v>
      </c>
    </row>
    <row r="38" spans="1:104" ht="15" customHeight="1" x14ac:dyDescent="0.2">
      <c r="A38" s="1">
        <f t="shared" si="0"/>
        <v>32</v>
      </c>
      <c r="B38" s="1" t="s">
        <v>106</v>
      </c>
      <c r="C38" s="1" t="s">
        <v>105</v>
      </c>
      <c r="D38" s="1" t="s">
        <v>35</v>
      </c>
      <c r="E38" s="1" t="s">
        <v>51</v>
      </c>
      <c r="F38" s="1" t="s">
        <v>107</v>
      </c>
      <c r="G38" s="2">
        <v>51537.88</v>
      </c>
      <c r="H38" s="2">
        <v>74.789299999999997</v>
      </c>
      <c r="I38" s="2">
        <v>38544.82</v>
      </c>
      <c r="J38" s="3">
        <v>199.8</v>
      </c>
      <c r="K38" s="3">
        <v>0</v>
      </c>
      <c r="L38" s="2">
        <v>2.0620620000000001</v>
      </c>
      <c r="M38" s="2">
        <v>2.3969019999999999</v>
      </c>
      <c r="N38" s="2">
        <v>2.6026020000000001</v>
      </c>
      <c r="O38" s="2">
        <v>2.8128129999999998</v>
      </c>
      <c r="P38" s="2">
        <v>24.425429999999999</v>
      </c>
      <c r="Q38" s="2">
        <v>20.8125</v>
      </c>
      <c r="R38" s="2">
        <v>19.174659999999999</v>
      </c>
      <c r="S38" s="2">
        <v>17.657979999999998</v>
      </c>
      <c r="T38" s="2">
        <v>16.456630000000001</v>
      </c>
      <c r="U38" s="2">
        <v>15.35599</v>
      </c>
      <c r="V38" s="2">
        <v>14.44028</v>
      </c>
      <c r="W38" s="2">
        <v>13.33893</v>
      </c>
      <c r="X38" s="2">
        <v>3.2461410000000002</v>
      </c>
      <c r="Y38" s="2">
        <v>3.098395</v>
      </c>
      <c r="Z38" s="2">
        <v>2.9516520000000002</v>
      </c>
      <c r="AA38" s="2">
        <v>2.7998050000000001</v>
      </c>
      <c r="AB38" s="2">
        <v>22.53088</v>
      </c>
      <c r="AC38" s="2">
        <v>20.113330000000001</v>
      </c>
      <c r="AD38" s="2">
        <v>16.594989999999999</v>
      </c>
      <c r="AE38" s="2">
        <v>15.4468</v>
      </c>
      <c r="AF38" s="2">
        <v>2.9554990000000001</v>
      </c>
      <c r="AG38" s="2">
        <v>3.5578539999999998</v>
      </c>
      <c r="AH38" s="2">
        <v>3.9694639999999999</v>
      </c>
      <c r="AI38" s="2">
        <v>3.4868139999999999</v>
      </c>
      <c r="AJ38" s="2">
        <v>4.1787089999999996</v>
      </c>
      <c r="AK38" s="2">
        <v>4.6098039999999996</v>
      </c>
      <c r="AL38" s="3">
        <v>2.1591309999999999</v>
      </c>
      <c r="AM38" s="3">
        <v>2.002129</v>
      </c>
      <c r="AN38" s="2">
        <v>31.819459999999999</v>
      </c>
      <c r="AO38" s="2">
        <v>32.307110000000002</v>
      </c>
      <c r="AP38" s="2">
        <v>32.642940000000003</v>
      </c>
      <c r="AQ38" s="2">
        <v>33.055840000000003</v>
      </c>
      <c r="AR38" s="2">
        <v>2.5365639999999998</v>
      </c>
      <c r="AS38" s="2">
        <v>2.3399220000000001</v>
      </c>
      <c r="AT38" s="2">
        <v>2.1454759999999999</v>
      </c>
      <c r="AU38" s="2">
        <v>1.8528880000000001</v>
      </c>
      <c r="AV38" s="1" t="s">
        <v>6</v>
      </c>
      <c r="AW38" s="3">
        <v>1.4166669999999999</v>
      </c>
      <c r="AX38" s="3">
        <v>220</v>
      </c>
      <c r="AY38" s="2">
        <v>10.110099999999999</v>
      </c>
      <c r="AZ38" s="2">
        <v>14.887180000000001</v>
      </c>
      <c r="BA38" s="2">
        <v>9.6307799999999997</v>
      </c>
      <c r="BB38" s="2">
        <v>11.52666</v>
      </c>
      <c r="BC38" s="2">
        <v>8.7346920000000008</v>
      </c>
      <c r="BD38" s="3">
        <v>166.6</v>
      </c>
      <c r="BE38" s="2">
        <v>19.927969999999998</v>
      </c>
      <c r="BF38" s="3">
        <v>204.4</v>
      </c>
      <c r="BG38" s="2">
        <v>-2.2504870000000001</v>
      </c>
      <c r="BH38" s="2">
        <v>50.38832</v>
      </c>
      <c r="BI38" s="2">
        <v>49.809669999999997</v>
      </c>
      <c r="BJ38" s="2">
        <v>49.683349999999997</v>
      </c>
      <c r="BK38" s="2">
        <v>49.649349999999998</v>
      </c>
      <c r="BL38" s="2">
        <v>21</v>
      </c>
      <c r="BM38" s="2">
        <v>19</v>
      </c>
      <c r="BN38" s="4">
        <v>24</v>
      </c>
      <c r="BO38" s="4">
        <v>1</v>
      </c>
      <c r="BP38" s="4">
        <v>1</v>
      </c>
      <c r="BQ38" s="4">
        <v>22</v>
      </c>
      <c r="BR38" s="2">
        <v>4.1666670000000003</v>
      </c>
      <c r="BS38" s="4">
        <v>16</v>
      </c>
      <c r="BT38" s="4">
        <v>1</v>
      </c>
      <c r="BU38" s="4">
        <v>24</v>
      </c>
      <c r="BV38" s="2">
        <v>66.666669999999996</v>
      </c>
      <c r="BW38" s="2">
        <v>5.5743900000000002</v>
      </c>
      <c r="BX38" s="2">
        <v>257.94740000000002</v>
      </c>
      <c r="BY38" s="3">
        <v>0.39525009999999999</v>
      </c>
      <c r="BZ38" s="3">
        <v>0.153229</v>
      </c>
      <c r="CA38" s="2">
        <v>0.53613900000000003</v>
      </c>
      <c r="CB38" s="3">
        <v>0.153229</v>
      </c>
      <c r="CC38" s="3">
        <v>9.5146650000000008</v>
      </c>
      <c r="CD38" s="3">
        <v>9.6084870000000002</v>
      </c>
      <c r="CE38" s="2">
        <v>0.9860873</v>
      </c>
      <c r="CF38" s="3">
        <v>3509.3609999999999</v>
      </c>
      <c r="CG38" s="3">
        <v>3534.6179999999999</v>
      </c>
      <c r="CH38" s="2">
        <v>0.71972610000000004</v>
      </c>
      <c r="CI38" s="3">
        <v>217.72730000000001</v>
      </c>
      <c r="CJ38" s="2">
        <v>1.0438320000000001</v>
      </c>
      <c r="CK38" s="3">
        <v>12158.54</v>
      </c>
      <c r="CL38" s="3">
        <v>12223.54</v>
      </c>
      <c r="CM38" s="2">
        <v>0.53460600000000003</v>
      </c>
      <c r="CN38" s="3">
        <v>186.31489999999999</v>
      </c>
      <c r="CO38" s="3">
        <v>193.297</v>
      </c>
      <c r="CP38" s="3">
        <v>196.20570000000001</v>
      </c>
      <c r="CQ38" s="2">
        <v>7.2377919999999998</v>
      </c>
      <c r="CR38" s="2">
        <v>3.3642409999999998</v>
      </c>
      <c r="CS38" s="2">
        <v>1.831877</v>
      </c>
      <c r="CT38" s="2">
        <v>3.7474750000000001</v>
      </c>
      <c r="CU38" s="2">
        <v>77.481380000000001</v>
      </c>
      <c r="CV38" s="3">
        <v>0.15033869999999999</v>
      </c>
      <c r="CW38" s="2" t="e">
        <v>#N/A</v>
      </c>
      <c r="CX38" s="2">
        <v>5.0482760000000004</v>
      </c>
      <c r="CY38" s="2" t="e">
        <v>#N/A</v>
      </c>
      <c r="CZ38" s="2">
        <v>26.848479999999999</v>
      </c>
    </row>
    <row r="39" spans="1:104" ht="15" customHeight="1" x14ac:dyDescent="0.2">
      <c r="A39" s="1">
        <f t="shared" si="0"/>
        <v>33</v>
      </c>
      <c r="B39" s="1" t="s">
        <v>109</v>
      </c>
      <c r="C39" s="1" t="s">
        <v>108</v>
      </c>
      <c r="D39" s="1" t="s">
        <v>35</v>
      </c>
      <c r="E39" s="1" t="s">
        <v>4</v>
      </c>
      <c r="F39" s="1" t="s">
        <v>55</v>
      </c>
      <c r="G39" s="2">
        <v>63556.1</v>
      </c>
      <c r="H39" s="2">
        <v>92.876499999999993</v>
      </c>
      <c r="I39" s="2">
        <v>59028.68</v>
      </c>
      <c r="J39" s="3">
        <v>27.715</v>
      </c>
      <c r="K39" s="3">
        <v>0</v>
      </c>
      <c r="L39" s="2">
        <v>6.1338619999999997</v>
      </c>
      <c r="M39" s="2">
        <v>6.6029229999999997</v>
      </c>
      <c r="N39" s="2">
        <v>7.0359020000000001</v>
      </c>
      <c r="O39" s="2">
        <v>7.7214510000000001</v>
      </c>
      <c r="P39" s="2">
        <v>8.9983769999999996</v>
      </c>
      <c r="Q39" s="2">
        <v>8.0801739999999995</v>
      </c>
      <c r="R39" s="2">
        <v>7.6292020000000003</v>
      </c>
      <c r="S39" s="2">
        <v>7.3710110000000002</v>
      </c>
      <c r="T39" s="2">
        <v>8.7060910000000007</v>
      </c>
      <c r="U39" s="2">
        <v>8.0399499999999993</v>
      </c>
      <c r="V39" s="2">
        <v>7.8359290000000001</v>
      </c>
      <c r="W39" s="2">
        <v>7.694</v>
      </c>
      <c r="X39" s="2">
        <v>1.4068529999999999</v>
      </c>
      <c r="Y39" s="2">
        <v>1.3689800000000001</v>
      </c>
      <c r="Z39" s="2">
        <v>1.2586280000000001</v>
      </c>
      <c r="AA39" s="2">
        <v>1.11754</v>
      </c>
      <c r="AB39" s="2">
        <v>10.26285</v>
      </c>
      <c r="AC39" s="2">
        <v>9.2230249999999998</v>
      </c>
      <c r="AD39" s="2">
        <v>8.5690539999999995</v>
      </c>
      <c r="AE39" s="2" t="e">
        <v>#N/A</v>
      </c>
      <c r="AF39" s="2">
        <v>7.1896069999999996</v>
      </c>
      <c r="AG39" s="2">
        <v>7.5717809999999997</v>
      </c>
      <c r="AH39" s="2">
        <v>3.4913110000000001</v>
      </c>
      <c r="AI39" s="2">
        <v>9.0723000000000003</v>
      </c>
      <c r="AJ39" s="2">
        <v>9.554551</v>
      </c>
      <c r="AK39" s="2">
        <v>4.4055569999999999</v>
      </c>
      <c r="AL39" s="3">
        <v>1.367318</v>
      </c>
      <c r="AM39" s="3">
        <v>1.282821</v>
      </c>
      <c r="AN39" s="2">
        <v>8.7420010000000001</v>
      </c>
      <c r="AO39" s="2">
        <v>9.6005369999999992</v>
      </c>
      <c r="AP39" s="2">
        <v>9.5494059999999994</v>
      </c>
      <c r="AQ39" s="2">
        <v>9.4414010000000008</v>
      </c>
      <c r="AR39" s="2">
        <v>1.8589469999999999</v>
      </c>
      <c r="AS39" s="2">
        <v>1.6684589999999999</v>
      </c>
      <c r="AT39" s="2">
        <v>1.62612</v>
      </c>
      <c r="AU39" s="2">
        <v>1.5966670000000001</v>
      </c>
      <c r="AV39" s="1" t="s">
        <v>6</v>
      </c>
      <c r="AW39" s="3">
        <v>1.2250000000000001</v>
      </c>
      <c r="AX39" s="3">
        <v>33.15</v>
      </c>
      <c r="AY39" s="2">
        <v>19.610320000000002</v>
      </c>
      <c r="AZ39" s="2">
        <v>16.942460000000001</v>
      </c>
      <c r="BA39" s="2">
        <v>7.8235729999999997</v>
      </c>
      <c r="BB39" s="2">
        <v>11.41709</v>
      </c>
      <c r="BC39" s="2">
        <v>6.3711399999999996</v>
      </c>
      <c r="BD39" s="3">
        <v>20.335000000000001</v>
      </c>
      <c r="BE39" s="2">
        <v>36.292110000000001</v>
      </c>
      <c r="BF39" s="3">
        <v>30.34</v>
      </c>
      <c r="BG39" s="2">
        <v>-8.651942</v>
      </c>
      <c r="BH39" s="2">
        <v>54.68535</v>
      </c>
      <c r="BI39" s="2">
        <v>52.991410000000002</v>
      </c>
      <c r="BJ39" s="2">
        <v>53.328919999999997</v>
      </c>
      <c r="BK39" s="2">
        <v>54.767780000000002</v>
      </c>
      <c r="BL39" s="2">
        <v>17</v>
      </c>
      <c r="BM39" s="2">
        <v>6</v>
      </c>
      <c r="BN39" s="4">
        <v>20</v>
      </c>
      <c r="BO39" s="4">
        <v>0</v>
      </c>
      <c r="BP39" s="4">
        <v>0</v>
      </c>
      <c r="BQ39" s="4">
        <v>20</v>
      </c>
      <c r="BR39" s="2">
        <v>0</v>
      </c>
      <c r="BS39" s="4">
        <v>16</v>
      </c>
      <c r="BT39" s="4">
        <v>0</v>
      </c>
      <c r="BU39" s="4">
        <v>20</v>
      </c>
      <c r="BV39" s="2">
        <v>80</v>
      </c>
      <c r="BW39" s="2">
        <v>10.9931</v>
      </c>
      <c r="BX39" s="2">
        <v>2293.2020000000002</v>
      </c>
      <c r="BY39" s="3">
        <v>4.9110620000000003</v>
      </c>
      <c r="BZ39" s="3">
        <v>0.2141574</v>
      </c>
      <c r="CA39" s="2">
        <v>1.47573</v>
      </c>
      <c r="CB39" s="3">
        <v>0.2141574</v>
      </c>
      <c r="CC39" s="3">
        <v>3.4011369999999999</v>
      </c>
      <c r="CD39" s="3">
        <v>3.411708</v>
      </c>
      <c r="CE39" s="2">
        <v>0.31081439999999999</v>
      </c>
      <c r="CF39" s="3">
        <v>9509.1710000000003</v>
      </c>
      <c r="CG39" s="3">
        <v>9513.5130000000008</v>
      </c>
      <c r="CH39" s="2">
        <v>4.5657160000000002E-2</v>
      </c>
      <c r="CI39" s="3">
        <v>31.311109999999999</v>
      </c>
      <c r="CJ39" s="2">
        <v>5.8729649999999998</v>
      </c>
      <c r="CK39" s="3">
        <v>106062.2</v>
      </c>
      <c r="CL39" s="3">
        <v>103757.1</v>
      </c>
      <c r="CM39" s="2">
        <v>-2.173346</v>
      </c>
      <c r="CN39" s="3">
        <v>25.308579999999999</v>
      </c>
      <c r="CO39" s="3">
        <v>28.44079</v>
      </c>
      <c r="CP39" s="3">
        <v>28.86365</v>
      </c>
      <c r="CQ39" s="2">
        <v>9.5083120000000001</v>
      </c>
      <c r="CR39" s="2">
        <v>-2.5519189999999998</v>
      </c>
      <c r="CS39" s="2">
        <v>-3.9795759999999998</v>
      </c>
      <c r="CT39" s="2">
        <v>12.376060000000001</v>
      </c>
      <c r="CU39" s="2">
        <v>116.4679</v>
      </c>
      <c r="CV39" s="3">
        <v>0.1832521</v>
      </c>
      <c r="CW39" s="2" t="e">
        <v>#N/A</v>
      </c>
      <c r="CX39" s="2" t="e">
        <v>#N/A</v>
      </c>
      <c r="CY39" s="2" t="e">
        <v>#N/A</v>
      </c>
      <c r="CZ39" s="2">
        <v>27.676770000000001</v>
      </c>
    </row>
    <row r="40" spans="1:104" ht="15" customHeight="1" x14ac:dyDescent="0.2">
      <c r="A40" s="1">
        <f t="shared" si="0"/>
        <v>34</v>
      </c>
      <c r="B40" s="1" t="s">
        <v>111</v>
      </c>
      <c r="C40" s="1" t="s">
        <v>110</v>
      </c>
      <c r="D40" s="1" t="s">
        <v>16</v>
      </c>
      <c r="E40" s="1" t="s">
        <v>95</v>
      </c>
      <c r="F40" s="1" t="s">
        <v>96</v>
      </c>
      <c r="G40" s="2">
        <v>135209.20000000001</v>
      </c>
      <c r="H40" s="2">
        <v>86.725300000000004</v>
      </c>
      <c r="I40" s="2">
        <v>117260.6</v>
      </c>
      <c r="J40" s="3">
        <v>110.06</v>
      </c>
      <c r="K40" s="3">
        <v>0</v>
      </c>
      <c r="L40" s="2">
        <v>1.7717609999999999</v>
      </c>
      <c r="M40" s="2">
        <v>1.8342719999999999</v>
      </c>
      <c r="N40" s="2">
        <v>1.9534800000000001</v>
      </c>
      <c r="O40" s="2">
        <v>2.089769</v>
      </c>
      <c r="P40" s="2">
        <v>26.975490000000001</v>
      </c>
      <c r="Q40" s="2">
        <v>20.66854</v>
      </c>
      <c r="R40" s="2">
        <v>17.700230000000001</v>
      </c>
      <c r="S40" s="2">
        <v>15.30259</v>
      </c>
      <c r="T40" s="2">
        <v>17.58211</v>
      </c>
      <c r="U40" s="2">
        <v>13.78091</v>
      </c>
      <c r="V40" s="2">
        <v>11.90616</v>
      </c>
      <c r="W40" s="2">
        <v>10.101139999999999</v>
      </c>
      <c r="X40" s="2">
        <v>3.2065869999999999</v>
      </c>
      <c r="Y40" s="2">
        <v>3.015342</v>
      </c>
      <c r="Z40" s="2">
        <v>2.779293</v>
      </c>
      <c r="AA40" s="2">
        <v>2.5359440000000002</v>
      </c>
      <c r="AB40" s="2">
        <v>22.818650000000002</v>
      </c>
      <c r="AC40" s="2">
        <v>20.821709999999999</v>
      </c>
      <c r="AD40" s="2">
        <v>17.067509999999999</v>
      </c>
      <c r="AE40" s="2">
        <v>13.808199999999999</v>
      </c>
      <c r="AF40" s="2">
        <v>3.7603580000000001</v>
      </c>
      <c r="AG40" s="2">
        <v>4.8890789999999997</v>
      </c>
      <c r="AH40" s="2">
        <v>6.0857469999999996</v>
      </c>
      <c r="AI40" s="2">
        <v>3.8115869999999998</v>
      </c>
      <c r="AJ40" s="2">
        <v>4.8035629999999996</v>
      </c>
      <c r="AK40" s="2">
        <v>5.7685449999999996</v>
      </c>
      <c r="AL40" s="3">
        <v>1.29244</v>
      </c>
      <c r="AM40" s="3">
        <v>1.119116</v>
      </c>
      <c r="AN40" s="2">
        <v>22.647320000000001</v>
      </c>
      <c r="AO40" s="2">
        <v>30.52965</v>
      </c>
      <c r="AP40" s="2">
        <v>31.833760000000002</v>
      </c>
      <c r="AQ40" s="2">
        <v>33.12856</v>
      </c>
      <c r="AR40" s="2">
        <v>0.64493020000000001</v>
      </c>
      <c r="AS40" s="2">
        <v>0.18521870000000001</v>
      </c>
      <c r="AT40" s="2">
        <v>-0.21196309999999999</v>
      </c>
      <c r="AU40" s="2">
        <v>-0.55544439999999995</v>
      </c>
      <c r="AV40" s="1" t="s">
        <v>32</v>
      </c>
      <c r="AW40" s="3">
        <v>1.5</v>
      </c>
      <c r="AX40" s="3">
        <v>120</v>
      </c>
      <c r="AY40" s="2">
        <v>9.0314390000000007</v>
      </c>
      <c r="AZ40" s="2">
        <v>14.589040000000001</v>
      </c>
      <c r="BA40" s="2">
        <v>17.401440000000001</v>
      </c>
      <c r="BB40" s="2">
        <v>8.7764380000000006</v>
      </c>
      <c r="BC40" s="2">
        <v>14.18197</v>
      </c>
      <c r="BD40" s="3">
        <v>79.58</v>
      </c>
      <c r="BE40" s="2">
        <v>38.301070000000003</v>
      </c>
      <c r="BF40" s="3">
        <v>113.44</v>
      </c>
      <c r="BG40" s="2">
        <v>-2.9795530000000001</v>
      </c>
      <c r="BH40" s="2">
        <v>47.449739999999998</v>
      </c>
      <c r="BI40" s="2">
        <v>36.815860000000001</v>
      </c>
      <c r="BJ40" s="2">
        <v>33.74803</v>
      </c>
      <c r="BK40" s="2">
        <v>32.101500000000001</v>
      </c>
      <c r="BL40" s="2">
        <v>29</v>
      </c>
      <c r="BM40" s="2">
        <v>26</v>
      </c>
      <c r="BN40" s="4">
        <v>27</v>
      </c>
      <c r="BO40" s="4">
        <v>0</v>
      </c>
      <c r="BP40" s="4">
        <v>5</v>
      </c>
      <c r="BQ40" s="4">
        <v>24</v>
      </c>
      <c r="BR40" s="2">
        <v>0</v>
      </c>
      <c r="BS40" s="4">
        <v>17</v>
      </c>
      <c r="BT40" s="4">
        <v>2</v>
      </c>
      <c r="BU40" s="4">
        <v>27</v>
      </c>
      <c r="BV40" s="2">
        <v>62.962960000000002</v>
      </c>
      <c r="BW40" s="2">
        <v>8.9354700000000005</v>
      </c>
      <c r="BX40" s="2">
        <v>1228.5039999999999</v>
      </c>
      <c r="BY40" s="3">
        <v>2.069207</v>
      </c>
      <c r="BZ40" s="3">
        <v>0.1684331</v>
      </c>
      <c r="CA40" s="2">
        <v>1.03586</v>
      </c>
      <c r="CB40" s="3">
        <v>0.1684331</v>
      </c>
      <c r="CC40" s="3">
        <v>5.4572570000000002</v>
      </c>
      <c r="CD40" s="3">
        <v>5.3898989999999998</v>
      </c>
      <c r="CE40" s="2">
        <v>-1.2342930000000001</v>
      </c>
      <c r="CF40" s="3">
        <v>9025.5910000000003</v>
      </c>
      <c r="CG40" s="3">
        <v>8888.51</v>
      </c>
      <c r="CH40" s="2">
        <v>-1.518804</v>
      </c>
      <c r="CI40" s="3">
        <v>114.12</v>
      </c>
      <c r="CJ40" s="2">
        <v>5.1524640000000002</v>
      </c>
      <c r="CK40" s="3">
        <v>33109.67</v>
      </c>
      <c r="CL40" s="3">
        <v>32609.64</v>
      </c>
      <c r="CM40" s="2">
        <v>-1.5102150000000001</v>
      </c>
      <c r="CN40" s="3">
        <v>96.428250000000006</v>
      </c>
      <c r="CO40" s="3">
        <v>108.001</v>
      </c>
      <c r="CP40" s="3">
        <v>109.5061</v>
      </c>
      <c r="CQ40" s="2">
        <v>14.136670000000001</v>
      </c>
      <c r="CR40" s="2">
        <v>1.9064779999999999</v>
      </c>
      <c r="CS40" s="2">
        <v>0.50576929999999998</v>
      </c>
      <c r="CT40" s="2">
        <v>12.0014</v>
      </c>
      <c r="CU40" s="2">
        <v>176.70140000000001</v>
      </c>
      <c r="CV40" s="3">
        <v>0.13068740000000001</v>
      </c>
      <c r="CW40" s="2">
        <v>-26.995429999999999</v>
      </c>
      <c r="CX40" s="2">
        <v>-1.447128</v>
      </c>
      <c r="CY40" s="2">
        <v>-0.26834259999999999</v>
      </c>
      <c r="CZ40" s="2">
        <v>28.090910000000001</v>
      </c>
    </row>
    <row r="41" spans="1:104" ht="15" customHeight="1" x14ac:dyDescent="0.2">
      <c r="A41" s="1">
        <f t="shared" si="0"/>
        <v>35</v>
      </c>
      <c r="B41" s="1" t="s">
        <v>113</v>
      </c>
      <c r="C41" s="1" t="s">
        <v>112</v>
      </c>
      <c r="D41" s="1" t="s">
        <v>35</v>
      </c>
      <c r="E41" s="1" t="s">
        <v>114</v>
      </c>
      <c r="F41" s="1" t="s">
        <v>115</v>
      </c>
      <c r="G41" s="2">
        <v>112189.2</v>
      </c>
      <c r="H41" s="2">
        <v>87.611000000000004</v>
      </c>
      <c r="I41" s="2">
        <v>98290.06</v>
      </c>
      <c r="J41" s="3">
        <v>88.98</v>
      </c>
      <c r="K41" s="3">
        <v>0</v>
      </c>
      <c r="L41" s="2">
        <v>4.0008990000000004</v>
      </c>
      <c r="M41" s="2">
        <v>4.1209259999999999</v>
      </c>
      <c r="N41" s="2">
        <v>4.3295630000000003</v>
      </c>
      <c r="O41" s="2">
        <v>4.585299</v>
      </c>
      <c r="P41" s="2">
        <v>10.772399999999999</v>
      </c>
      <c r="Q41" s="2">
        <v>10.837999999999999</v>
      </c>
      <c r="R41" s="2">
        <v>9.8816799999999994</v>
      </c>
      <c r="S41" s="2">
        <v>8.893554</v>
      </c>
      <c r="T41" s="2">
        <v>8.1575959999999998</v>
      </c>
      <c r="U41" s="2">
        <v>8.1815079999999991</v>
      </c>
      <c r="V41" s="2">
        <v>7.1202529999999999</v>
      </c>
      <c r="W41" s="2">
        <v>6.1232179999999996</v>
      </c>
      <c r="X41" s="2">
        <v>1.530049</v>
      </c>
      <c r="Y41" s="2">
        <v>1.4560630000000001</v>
      </c>
      <c r="Z41" s="2">
        <v>1.3706100000000001</v>
      </c>
      <c r="AA41" s="2">
        <v>1.2802880000000001</v>
      </c>
      <c r="AB41" s="2">
        <v>10.35261</v>
      </c>
      <c r="AC41" s="2">
        <v>9.9174939999999996</v>
      </c>
      <c r="AD41" s="2">
        <v>8.7495239999999992</v>
      </c>
      <c r="AE41" s="2">
        <v>7.9004950000000003</v>
      </c>
      <c r="AF41" s="2">
        <v>7.0705749999999998</v>
      </c>
      <c r="AG41" s="2">
        <v>8.2962109999999996</v>
      </c>
      <c r="AH41" s="2">
        <v>9.9309119999999993</v>
      </c>
      <c r="AI41" s="2">
        <v>7.2777339999999997</v>
      </c>
      <c r="AJ41" s="2">
        <v>8.2382209999999993</v>
      </c>
      <c r="AK41" s="2">
        <v>9.4178709999999999</v>
      </c>
      <c r="AL41" s="3">
        <v>1.3877489999999999</v>
      </c>
      <c r="AM41" s="3">
        <v>1.2736209999999999</v>
      </c>
      <c r="AN41" s="2">
        <v>32.897840000000002</v>
      </c>
      <c r="AO41" s="2">
        <v>30.92933</v>
      </c>
      <c r="AP41" s="2">
        <v>32.345100000000002</v>
      </c>
      <c r="AQ41" s="2">
        <v>33.896329999999999</v>
      </c>
      <c r="AR41" s="2">
        <v>0.53161000000000003</v>
      </c>
      <c r="AS41" s="2">
        <v>0.23288449999999999</v>
      </c>
      <c r="AT41" s="2">
        <v>-5.012076E-2</v>
      </c>
      <c r="AU41" s="2">
        <v>-0.33356360000000002</v>
      </c>
      <c r="AV41" s="1" t="s">
        <v>6</v>
      </c>
      <c r="AW41" s="3">
        <v>1.375</v>
      </c>
      <c r="AX41" s="3">
        <v>105</v>
      </c>
      <c r="AY41" s="2">
        <v>18.00404</v>
      </c>
      <c r="AZ41" s="2">
        <v>13.43479</v>
      </c>
      <c r="BA41" s="2">
        <v>8</v>
      </c>
      <c r="BB41" s="2">
        <v>-4.2814069999999997</v>
      </c>
      <c r="BC41" s="2">
        <v>-0.95725059999999995</v>
      </c>
      <c r="BD41" s="3">
        <v>76.45</v>
      </c>
      <c r="BE41" s="2">
        <v>16.389810000000001</v>
      </c>
      <c r="BF41" s="3">
        <v>106.66</v>
      </c>
      <c r="BG41" s="2">
        <v>-16.576029999999999</v>
      </c>
      <c r="BH41" s="2">
        <v>42.890160000000002</v>
      </c>
      <c r="BI41" s="2">
        <v>44.55462</v>
      </c>
      <c r="BJ41" s="2">
        <v>43.155999999999999</v>
      </c>
      <c r="BK41" s="2">
        <v>41.38382</v>
      </c>
      <c r="BL41" s="2">
        <v>21</v>
      </c>
      <c r="BM41" s="2">
        <v>17</v>
      </c>
      <c r="BN41" s="4">
        <v>24</v>
      </c>
      <c r="BO41" s="4">
        <v>0</v>
      </c>
      <c r="BP41" s="4">
        <v>1</v>
      </c>
      <c r="BQ41" s="4">
        <v>23</v>
      </c>
      <c r="BR41" s="2">
        <v>0</v>
      </c>
      <c r="BS41" s="4">
        <v>16</v>
      </c>
      <c r="BT41" s="4">
        <v>0</v>
      </c>
      <c r="BU41" s="4">
        <v>24</v>
      </c>
      <c r="BV41" s="2">
        <v>66.666669999999996</v>
      </c>
      <c r="BW41" s="2">
        <v>5.7878499999999997</v>
      </c>
      <c r="BX41" s="2">
        <v>1260.836</v>
      </c>
      <c r="BY41" s="3">
        <v>1.984661</v>
      </c>
      <c r="BZ41" s="3">
        <v>0.1574083</v>
      </c>
      <c r="CA41" s="2">
        <v>0.47420499999999999</v>
      </c>
      <c r="CB41" s="3">
        <v>0.1574083</v>
      </c>
      <c r="CC41" s="3">
        <v>8.595224</v>
      </c>
      <c r="CD41" s="3">
        <v>8.2724799999999998</v>
      </c>
      <c r="CE41" s="2">
        <v>-3.7549260000000002</v>
      </c>
      <c r="CF41" s="3">
        <v>13606.28</v>
      </c>
      <c r="CG41" s="3">
        <v>12818.65</v>
      </c>
      <c r="CH41" s="2">
        <v>-5.7887259999999996</v>
      </c>
      <c r="CI41" s="3">
        <v>105.9794</v>
      </c>
      <c r="CJ41" s="2">
        <v>-0.92415210000000003</v>
      </c>
      <c r="CK41" s="3">
        <v>46561.09</v>
      </c>
      <c r="CL41" s="3">
        <v>45799.71</v>
      </c>
      <c r="CM41" s="2">
        <v>-1.635224</v>
      </c>
      <c r="CN41" s="3">
        <v>88.643469999999994</v>
      </c>
      <c r="CO41" s="3">
        <v>89.489789999999999</v>
      </c>
      <c r="CP41" s="3">
        <v>89.05077</v>
      </c>
      <c r="CQ41" s="2">
        <v>0.37964579999999998</v>
      </c>
      <c r="CR41" s="2">
        <v>-0.56965949999999999</v>
      </c>
      <c r="CS41" s="2">
        <v>-7.9470869999999999E-2</v>
      </c>
      <c r="CT41" s="2">
        <v>0.95474720000000002</v>
      </c>
      <c r="CU41" s="2">
        <v>144.59129999999999</v>
      </c>
      <c r="CV41" s="3">
        <v>0.12888169999999999</v>
      </c>
      <c r="CW41" s="2">
        <v>-0.23745540000000001</v>
      </c>
      <c r="CX41" s="2">
        <v>2.292529</v>
      </c>
      <c r="CY41" s="2">
        <v>-0.83126029999999995</v>
      </c>
      <c r="CZ41" s="2">
        <v>29.707070000000002</v>
      </c>
    </row>
    <row r="42" spans="1:104" ht="15" customHeight="1" x14ac:dyDescent="0.2">
      <c r="A42" s="1">
        <f t="shared" si="0"/>
        <v>36</v>
      </c>
      <c r="B42" s="1" t="s">
        <v>117</v>
      </c>
      <c r="C42" s="1" t="s">
        <v>116</v>
      </c>
      <c r="D42" s="1" t="s">
        <v>118</v>
      </c>
      <c r="E42" s="1" t="s">
        <v>17</v>
      </c>
      <c r="F42" s="1" t="s">
        <v>119</v>
      </c>
      <c r="G42" s="2">
        <v>24762.400000000001</v>
      </c>
      <c r="H42" s="2">
        <v>93.486699999999999</v>
      </c>
      <c r="I42" s="2">
        <v>23149.55</v>
      </c>
      <c r="J42" s="3">
        <v>4.3964999999999996</v>
      </c>
      <c r="K42" s="3">
        <v>0</v>
      </c>
      <c r="L42" s="2">
        <v>2.729444</v>
      </c>
      <c r="M42" s="2">
        <v>2.9568970000000001</v>
      </c>
      <c r="N42" s="2">
        <v>3.8667120000000001</v>
      </c>
      <c r="O42" s="2">
        <v>4.0941660000000004</v>
      </c>
      <c r="P42" s="2">
        <v>9.9920449999999992</v>
      </c>
      <c r="Q42" s="2">
        <v>10.165699999999999</v>
      </c>
      <c r="R42" s="2">
        <v>9.3813659999999999</v>
      </c>
      <c r="S42" s="2">
        <v>9.5576089999999994</v>
      </c>
      <c r="T42" s="2">
        <v>5.2802239999999996</v>
      </c>
      <c r="U42" s="2">
        <v>4.9378630000000001</v>
      </c>
      <c r="V42" s="2">
        <v>4.3137319999999999</v>
      </c>
      <c r="W42" s="2">
        <v>4.0089480000000002</v>
      </c>
      <c r="X42" s="2">
        <v>1.160026</v>
      </c>
      <c r="Y42" s="2">
        <v>1.1074310000000001</v>
      </c>
      <c r="Z42" s="2">
        <v>1.0358039999999999</v>
      </c>
      <c r="AA42" s="2">
        <v>0.99002279999999998</v>
      </c>
      <c r="AB42" s="2">
        <v>16.745650000000001</v>
      </c>
      <c r="AC42" s="2">
        <v>11.73879</v>
      </c>
      <c r="AD42" s="2">
        <v>7.2073770000000001</v>
      </c>
      <c r="AE42" s="2">
        <v>7.3274999999999997</v>
      </c>
      <c r="AF42" s="2">
        <v>8.0476469999999996</v>
      </c>
      <c r="AG42" s="2">
        <v>15.07776</v>
      </c>
      <c r="AH42" s="2">
        <v>16.336510000000001</v>
      </c>
      <c r="AI42" s="2">
        <v>6.3892379999999998</v>
      </c>
      <c r="AJ42" s="2">
        <v>10.97927</v>
      </c>
      <c r="AK42" s="2">
        <v>11.16784</v>
      </c>
      <c r="AL42" s="3">
        <v>1.418933</v>
      </c>
      <c r="AM42" s="3">
        <v>1.323197</v>
      </c>
      <c r="AN42" s="2">
        <v>15.40283</v>
      </c>
      <c r="AO42" s="2">
        <v>15.48573</v>
      </c>
      <c r="AP42" s="2">
        <v>15.973710000000001</v>
      </c>
      <c r="AQ42" s="2">
        <v>15.89507</v>
      </c>
      <c r="AR42" s="2">
        <v>-1.07134</v>
      </c>
      <c r="AS42" s="2">
        <v>-1.281687</v>
      </c>
      <c r="AT42" s="2">
        <v>-1.610287</v>
      </c>
      <c r="AU42" s="2">
        <v>-1.8554079999999999</v>
      </c>
      <c r="AV42" s="1" t="s">
        <v>6</v>
      </c>
      <c r="AW42" s="3">
        <v>1.3333330000000001</v>
      </c>
      <c r="AX42" s="3">
        <v>5.8</v>
      </c>
      <c r="AY42" s="2">
        <v>31.92313</v>
      </c>
      <c r="AZ42" s="2">
        <v>10.893800000000001</v>
      </c>
      <c r="BA42" s="2">
        <v>1.499279</v>
      </c>
      <c r="BB42" s="2">
        <v>-5.6848650000000003</v>
      </c>
      <c r="BC42" s="2">
        <v>1.60619</v>
      </c>
      <c r="BD42" s="3">
        <v>4.1784999999999997</v>
      </c>
      <c r="BE42" s="2">
        <v>5.2171830000000003</v>
      </c>
      <c r="BF42" s="3">
        <v>5.1980000000000004</v>
      </c>
      <c r="BG42" s="2">
        <v>-15.41939</v>
      </c>
      <c r="BH42" s="2">
        <v>25.479500000000002</v>
      </c>
      <c r="BI42" s="2">
        <v>31.937750000000001</v>
      </c>
      <c r="BJ42" s="2">
        <v>35.68139</v>
      </c>
      <c r="BK42" s="2">
        <v>38.662410000000001</v>
      </c>
      <c r="BL42" s="2">
        <v>30</v>
      </c>
      <c r="BM42" s="2">
        <v>26</v>
      </c>
      <c r="BN42" s="4">
        <v>33</v>
      </c>
      <c r="BO42" s="4">
        <v>1</v>
      </c>
      <c r="BP42" s="4">
        <v>2</v>
      </c>
      <c r="BQ42" s="4">
        <v>30</v>
      </c>
      <c r="BR42" s="2">
        <v>3.030303</v>
      </c>
      <c r="BS42" s="4">
        <v>24</v>
      </c>
      <c r="BT42" s="4">
        <v>0</v>
      </c>
      <c r="BU42" s="4">
        <v>33</v>
      </c>
      <c r="BV42" s="2">
        <v>72.727270000000004</v>
      </c>
      <c r="BW42" s="2">
        <v>10.3454</v>
      </c>
      <c r="BX42" s="2">
        <v>5632.2969999999996</v>
      </c>
      <c r="BY42" s="3">
        <v>11.93004</v>
      </c>
      <c r="BZ42" s="3">
        <v>0.2118149</v>
      </c>
      <c r="CA42" s="2">
        <v>1.30383</v>
      </c>
      <c r="CB42" s="3">
        <v>0.2118149</v>
      </c>
      <c r="CC42" s="3">
        <v>0.45275650000000001</v>
      </c>
      <c r="CD42" s="3">
        <v>0.43235699999999999</v>
      </c>
      <c r="CE42" s="2">
        <v>-4.5056339999999997</v>
      </c>
      <c r="CF42" s="3">
        <v>3220.1170000000002</v>
      </c>
      <c r="CG42" s="3">
        <v>3223.5439999999999</v>
      </c>
      <c r="CH42" s="2">
        <v>0.10644199999999999</v>
      </c>
      <c r="CI42" s="3">
        <v>6.0613739999999998</v>
      </c>
      <c r="CJ42" s="2">
        <v>-4.3121219999999996</v>
      </c>
      <c r="CK42" s="3">
        <v>25561.84</v>
      </c>
      <c r="CL42" s="3">
        <v>25745.24</v>
      </c>
      <c r="CM42" s="2">
        <v>0.71749689999999999</v>
      </c>
      <c r="CN42" s="3">
        <v>4.6077260000000004</v>
      </c>
      <c r="CO42" s="3">
        <v>4.4347750000000001</v>
      </c>
      <c r="CP42" s="3">
        <v>4.4250389999999999</v>
      </c>
      <c r="CQ42" s="2">
        <v>-4.5841570000000003</v>
      </c>
      <c r="CR42" s="2">
        <v>-0.86306930000000004</v>
      </c>
      <c r="CS42" s="2">
        <v>-0.64494609999999997</v>
      </c>
      <c r="CT42" s="2">
        <v>-3.7534830000000001</v>
      </c>
      <c r="CU42" s="2">
        <v>48.979799999999997</v>
      </c>
      <c r="CV42" s="3">
        <v>0.19779910000000001</v>
      </c>
      <c r="CW42" s="2">
        <v>18.573219999999999</v>
      </c>
      <c r="CX42" s="2">
        <v>4.0377679999999998</v>
      </c>
      <c r="CY42" s="2">
        <v>-8.5942150000000002</v>
      </c>
      <c r="CZ42" s="2">
        <v>29.757580000000001</v>
      </c>
    </row>
    <row r="43" spans="1:104" ht="15" customHeight="1" x14ac:dyDescent="0.2">
      <c r="A43" s="1">
        <f t="shared" si="0"/>
        <v>37</v>
      </c>
      <c r="B43" s="1" t="s">
        <v>121</v>
      </c>
      <c r="C43" s="1" t="s">
        <v>120</v>
      </c>
      <c r="D43" s="1" t="s">
        <v>122</v>
      </c>
      <c r="E43" s="1" t="s">
        <v>51</v>
      </c>
      <c r="F43" s="1" t="s">
        <v>107</v>
      </c>
      <c r="G43" s="2">
        <v>98585.87</v>
      </c>
      <c r="H43" s="2">
        <v>48.094099999999997</v>
      </c>
      <c r="I43" s="2">
        <v>47413.98</v>
      </c>
      <c r="J43" s="3">
        <v>56.75</v>
      </c>
      <c r="K43" s="3">
        <v>0</v>
      </c>
      <c r="L43" s="2">
        <v>1.325189</v>
      </c>
      <c r="M43" s="2">
        <v>1.688428</v>
      </c>
      <c r="N43" s="2">
        <v>2.029385</v>
      </c>
      <c r="O43" s="2">
        <v>2.6620279999999998</v>
      </c>
      <c r="P43" s="2">
        <v>18.75844</v>
      </c>
      <c r="Q43" s="2">
        <v>18.78267</v>
      </c>
      <c r="R43" s="2">
        <v>16.22823</v>
      </c>
      <c r="S43" s="2">
        <v>14.45947</v>
      </c>
      <c r="T43" s="2">
        <v>9.5941580000000002</v>
      </c>
      <c r="U43" s="2">
        <v>8.9182400000000008</v>
      </c>
      <c r="V43" s="2">
        <v>8.076257</v>
      </c>
      <c r="W43" s="2">
        <v>7.3032950000000003</v>
      </c>
      <c r="X43" s="2">
        <v>1.6515249999999999</v>
      </c>
      <c r="Y43" s="2">
        <v>1.564373</v>
      </c>
      <c r="Z43" s="2">
        <v>1.4783200000000001</v>
      </c>
      <c r="AA43" s="2">
        <v>1.3785909999999999</v>
      </c>
      <c r="AB43" s="2">
        <v>9.282591</v>
      </c>
      <c r="AC43" s="2">
        <v>10.082710000000001</v>
      </c>
      <c r="AD43" s="2">
        <v>9.0523550000000004</v>
      </c>
      <c r="AE43" s="2">
        <v>8.2013549999999995</v>
      </c>
      <c r="AF43" s="2">
        <v>6.113963</v>
      </c>
      <c r="AG43" s="2">
        <v>6.6330530000000003</v>
      </c>
      <c r="AH43" s="2">
        <v>7.2382419999999996</v>
      </c>
      <c r="AI43" s="2">
        <v>9.7765219999999999</v>
      </c>
      <c r="AJ43" s="2">
        <v>10.2079</v>
      </c>
      <c r="AK43" s="2">
        <v>10.70866</v>
      </c>
      <c r="AL43" s="3">
        <v>1.684021</v>
      </c>
      <c r="AM43" s="3">
        <v>1.4641500000000001</v>
      </c>
      <c r="AN43" s="2">
        <v>34.338769999999997</v>
      </c>
      <c r="AO43" s="2">
        <v>33.740020000000001</v>
      </c>
      <c r="AP43" s="2">
        <v>34.302599999999998</v>
      </c>
      <c r="AQ43" s="2">
        <v>34.859250000000003</v>
      </c>
      <c r="AR43" s="2">
        <v>3.5184950000000002</v>
      </c>
      <c r="AS43" s="2">
        <v>3.033064</v>
      </c>
      <c r="AT43" s="2">
        <v>2.5584229999999999</v>
      </c>
      <c r="AU43" s="2">
        <v>2.1327690000000001</v>
      </c>
      <c r="AV43" s="1" t="s">
        <v>6</v>
      </c>
      <c r="AW43" s="3">
        <v>1.4838709999999999</v>
      </c>
      <c r="AX43" s="3">
        <v>64.315049999999999</v>
      </c>
      <c r="AY43" s="2">
        <v>13.33048</v>
      </c>
      <c r="AZ43" s="2">
        <v>8.3288089999999997</v>
      </c>
      <c r="BA43" s="2">
        <v>11.18525</v>
      </c>
      <c r="BB43" s="2">
        <v>8.5293530000000004</v>
      </c>
      <c r="BC43" s="2">
        <v>0.8530259</v>
      </c>
      <c r="BD43" s="3">
        <v>45.545000000000002</v>
      </c>
      <c r="BE43" s="2">
        <v>24.602039999999999</v>
      </c>
      <c r="BF43" s="3">
        <v>58.21</v>
      </c>
      <c r="BG43" s="2">
        <v>-2.5081570000000002</v>
      </c>
      <c r="BH43" s="2">
        <v>24.279170000000001</v>
      </c>
      <c r="BI43" s="2">
        <v>29.653770000000002</v>
      </c>
      <c r="BJ43" s="2">
        <v>32.942360000000001</v>
      </c>
      <c r="BK43" s="2">
        <v>38.785769999999999</v>
      </c>
      <c r="BL43" s="2">
        <v>27</v>
      </c>
      <c r="BM43" s="2">
        <v>25</v>
      </c>
      <c r="BN43" s="4">
        <v>31</v>
      </c>
      <c r="BO43" s="4">
        <v>0</v>
      </c>
      <c r="BP43" s="4">
        <v>3</v>
      </c>
      <c r="BQ43" s="4">
        <v>29</v>
      </c>
      <c r="BR43" s="2">
        <v>0</v>
      </c>
      <c r="BS43" s="4">
        <v>20</v>
      </c>
      <c r="BT43" s="4">
        <v>3</v>
      </c>
      <c r="BU43" s="4">
        <v>31</v>
      </c>
      <c r="BV43" s="2">
        <v>64.516130000000004</v>
      </c>
      <c r="BW43" s="2">
        <v>8.1541899999999998</v>
      </c>
      <c r="BX43" s="2">
        <v>1737.1959999999999</v>
      </c>
      <c r="BY43" s="3">
        <v>1.4946120000000001</v>
      </c>
      <c r="BZ43" s="3">
        <v>8.6035879999999995E-2</v>
      </c>
      <c r="CA43" s="2">
        <v>1.02762</v>
      </c>
      <c r="CB43" s="3">
        <v>8.6035879999999995E-2</v>
      </c>
      <c r="CC43" s="3">
        <v>3.0612819999999998</v>
      </c>
      <c r="CD43" s="3">
        <v>3.0128180000000002</v>
      </c>
      <c r="CE43" s="2">
        <v>-1.5831470000000001</v>
      </c>
      <c r="CF43" s="3">
        <v>14662.14</v>
      </c>
      <c r="CG43" s="3">
        <v>14627.22</v>
      </c>
      <c r="CH43" s="2">
        <v>-0.23819799999999999</v>
      </c>
      <c r="CI43" s="3">
        <v>62.57743</v>
      </c>
      <c r="CJ43" s="2">
        <v>2.7767539999999999</v>
      </c>
      <c r="CK43" s="3">
        <v>57261.13</v>
      </c>
      <c r="CL43" s="3">
        <v>57703.15</v>
      </c>
      <c r="CM43" s="2">
        <v>0.77193979999999995</v>
      </c>
      <c r="CN43" s="3">
        <v>52.85333</v>
      </c>
      <c r="CO43" s="3">
        <v>55.93215</v>
      </c>
      <c r="CP43" s="3">
        <v>56.123840000000001</v>
      </c>
      <c r="CQ43" s="2">
        <v>7.3726060000000002</v>
      </c>
      <c r="CR43" s="2">
        <v>1.462221</v>
      </c>
      <c r="CS43" s="2">
        <v>1.1156680000000001</v>
      </c>
      <c r="CT43" s="2">
        <v>5.8252100000000002</v>
      </c>
      <c r="CU43" s="2">
        <v>76.734759999999994</v>
      </c>
      <c r="CV43" s="3">
        <v>7.7835459999999995E-2</v>
      </c>
      <c r="CW43" s="2">
        <v>25.88448</v>
      </c>
      <c r="CX43" s="2">
        <v>-3.426733</v>
      </c>
      <c r="CY43" s="2">
        <v>-3.853138</v>
      </c>
      <c r="CZ43" s="2">
        <v>29.848479999999999</v>
      </c>
    </row>
    <row r="44" spans="1:104" ht="15" customHeight="1" x14ac:dyDescent="0.2">
      <c r="A44" s="1">
        <f t="shared" si="0"/>
        <v>38</v>
      </c>
      <c r="B44" s="1" t="s">
        <v>124</v>
      </c>
      <c r="C44" s="1" t="s">
        <v>123</v>
      </c>
      <c r="D44" s="1" t="s">
        <v>16</v>
      </c>
      <c r="E44" s="1" t="s">
        <v>4</v>
      </c>
      <c r="F44" s="1" t="s">
        <v>125</v>
      </c>
      <c r="G44" s="2">
        <v>16036.38</v>
      </c>
      <c r="H44" s="2">
        <v>99.959100000000007</v>
      </c>
      <c r="I44" s="2">
        <v>16029.82</v>
      </c>
      <c r="J44" s="3">
        <v>20.149999999999999</v>
      </c>
      <c r="K44" s="3">
        <v>0</v>
      </c>
      <c r="L44" s="2">
        <v>8.2382139999999993</v>
      </c>
      <c r="M44" s="2">
        <v>8.5359800000000003</v>
      </c>
      <c r="N44" s="2">
        <v>8.4119109999999999</v>
      </c>
      <c r="O44" s="2">
        <v>8.6848639999999993</v>
      </c>
      <c r="P44" s="2">
        <v>9.2702489999999997</v>
      </c>
      <c r="Q44" s="2">
        <v>8.1320650000000008</v>
      </c>
      <c r="R44" s="2">
        <v>9.4158869999999997</v>
      </c>
      <c r="S44" s="2">
        <v>9.4158869999999997</v>
      </c>
      <c r="T44" s="2">
        <v>36.690240000000003</v>
      </c>
      <c r="U44" s="2">
        <v>22.873999999999999</v>
      </c>
      <c r="V44" s="2">
        <v>21.519449999999999</v>
      </c>
      <c r="W44" s="2">
        <v>20.069520000000001</v>
      </c>
      <c r="X44" s="2">
        <v>0.37356319999999998</v>
      </c>
      <c r="Y44" s="2">
        <v>0.46596989999999999</v>
      </c>
      <c r="Z44" s="2">
        <v>0.48298180000000002</v>
      </c>
      <c r="AA44" s="2">
        <v>0.4870679</v>
      </c>
      <c r="AB44" s="2">
        <v>7.9960319999999996</v>
      </c>
      <c r="AC44" s="2">
        <v>7.901961</v>
      </c>
      <c r="AD44" s="2">
        <v>8.4309619999999992</v>
      </c>
      <c r="AE44" s="2">
        <v>8.3834129999999991</v>
      </c>
      <c r="AF44" s="2">
        <v>2.9498470000000001</v>
      </c>
      <c r="AG44" s="2">
        <v>2.5802139999999998</v>
      </c>
      <c r="AH44" s="2">
        <v>2.4819529999999999</v>
      </c>
      <c r="AI44" s="2">
        <v>11.076269999999999</v>
      </c>
      <c r="AJ44" s="2">
        <v>9.5008990000000004</v>
      </c>
      <c r="AK44" s="2">
        <v>8.8040769999999995</v>
      </c>
      <c r="AL44" s="3" t="e">
        <v>#N/A</v>
      </c>
      <c r="AM44" s="3" t="e">
        <v>#N/A</v>
      </c>
      <c r="AN44" s="2">
        <v>88.234380000000002</v>
      </c>
      <c r="AO44" s="2">
        <v>86.638829999999999</v>
      </c>
      <c r="AP44" s="2">
        <v>85.440280000000001</v>
      </c>
      <c r="AQ44" s="2">
        <v>85.947620000000001</v>
      </c>
      <c r="AR44" s="2">
        <v>20.09263</v>
      </c>
      <c r="AS44" s="2">
        <v>16.377389999999998</v>
      </c>
      <c r="AT44" s="2">
        <v>15.67529</v>
      </c>
      <c r="AU44" s="2">
        <v>14.41173</v>
      </c>
      <c r="AV44" s="1" t="s">
        <v>6</v>
      </c>
      <c r="AW44" s="3">
        <v>1.4210529999999999</v>
      </c>
      <c r="AX44" s="3">
        <v>32</v>
      </c>
      <c r="AY44" s="2">
        <v>58.808929999999997</v>
      </c>
      <c r="AZ44" s="2">
        <v>5.7300310000000003</v>
      </c>
      <c r="BA44" s="2">
        <v>-0.42250280000000001</v>
      </c>
      <c r="BB44" s="2">
        <v>-56.090649999999997</v>
      </c>
      <c r="BC44" s="2">
        <v>-8.4922850000000007</v>
      </c>
      <c r="BD44" s="3">
        <v>18.585000000000001</v>
      </c>
      <c r="BE44" s="2">
        <v>8.4207769999999993</v>
      </c>
      <c r="BF44" s="3">
        <v>48.19</v>
      </c>
      <c r="BG44" s="2">
        <v>-58.186349999999997</v>
      </c>
      <c r="BH44" s="2">
        <v>75.266139999999993</v>
      </c>
      <c r="BI44" s="2">
        <v>67.999570000000006</v>
      </c>
      <c r="BJ44" s="2">
        <v>7155.2340000000004</v>
      </c>
      <c r="BK44" s="2">
        <v>107.86620000000001</v>
      </c>
      <c r="BL44" s="2">
        <v>12</v>
      </c>
      <c r="BM44" s="2">
        <v>11</v>
      </c>
      <c r="BN44" s="4">
        <v>19</v>
      </c>
      <c r="BO44" s="4">
        <v>0</v>
      </c>
      <c r="BP44" s="4">
        <v>1</v>
      </c>
      <c r="BQ44" s="4">
        <v>19</v>
      </c>
      <c r="BR44" s="2">
        <v>0</v>
      </c>
      <c r="BS44" s="4">
        <v>11</v>
      </c>
      <c r="BT44" s="4">
        <v>0</v>
      </c>
      <c r="BU44" s="4">
        <v>19</v>
      </c>
      <c r="BV44" s="2">
        <v>57.894739999999999</v>
      </c>
      <c r="BW44" s="2">
        <v>8.3255499999999998</v>
      </c>
      <c r="BX44" s="2">
        <v>795.85</v>
      </c>
      <c r="BY44" s="3">
        <v>2.757498</v>
      </c>
      <c r="BZ44" s="3">
        <v>0.34648459999999998</v>
      </c>
      <c r="CA44" s="2">
        <v>0.87007599999999996</v>
      </c>
      <c r="CB44" s="3">
        <v>0.34648459999999998</v>
      </c>
      <c r="CC44" s="3">
        <v>2.5241690000000001</v>
      </c>
      <c r="CD44" s="3">
        <v>2.3819569999999999</v>
      </c>
      <c r="CE44" s="2">
        <v>-5.6339980000000001</v>
      </c>
      <c r="CF44" s="3">
        <v>2768.9760000000001</v>
      </c>
      <c r="CG44" s="3">
        <v>2788.9940000000001</v>
      </c>
      <c r="CH44" s="2">
        <v>0.7229447</v>
      </c>
      <c r="CI44" s="3">
        <v>33.631250000000001</v>
      </c>
      <c r="CJ44" s="2">
        <v>-4.8503930000000004</v>
      </c>
      <c r="CK44" s="3">
        <v>2922.0529999999999</v>
      </c>
      <c r="CL44" s="3">
        <v>2970.5059999999999</v>
      </c>
      <c r="CM44" s="2">
        <v>1.658177</v>
      </c>
      <c r="CN44" s="3">
        <v>25.735050000000001</v>
      </c>
      <c r="CO44" s="3">
        <v>25.082750000000001</v>
      </c>
      <c r="CP44" s="3">
        <v>23.99577</v>
      </c>
      <c r="CQ44" s="2">
        <v>-21.702110000000001</v>
      </c>
      <c r="CR44" s="2">
        <v>-19.665900000000001</v>
      </c>
      <c r="CS44" s="2">
        <v>-16.026869999999999</v>
      </c>
      <c r="CT44" s="2">
        <v>-2.5346820000000001</v>
      </c>
      <c r="CU44" s="2">
        <v>80.489909999999995</v>
      </c>
      <c r="CV44" s="3">
        <v>0.50192079999999994</v>
      </c>
      <c r="CW44" s="2">
        <v>-34.615389999999998</v>
      </c>
      <c r="CX44" s="2">
        <v>-8.934094</v>
      </c>
      <c r="CY44" s="2">
        <v>13.26953</v>
      </c>
      <c r="CZ44" s="2">
        <v>29.848479999999999</v>
      </c>
    </row>
    <row r="45" spans="1:104" ht="15" customHeight="1" x14ac:dyDescent="0.2">
      <c r="A45" s="1">
        <f t="shared" si="0"/>
        <v>39</v>
      </c>
      <c r="B45" s="1" t="s">
        <v>127</v>
      </c>
      <c r="C45" s="1" t="s">
        <v>126</v>
      </c>
      <c r="D45" s="1" t="s">
        <v>16</v>
      </c>
      <c r="E45" s="1" t="s">
        <v>114</v>
      </c>
      <c r="F45" s="1" t="s">
        <v>115</v>
      </c>
      <c r="G45" s="2">
        <v>56214.31</v>
      </c>
      <c r="H45" s="2">
        <v>99.963800000000006</v>
      </c>
      <c r="I45" s="2">
        <v>56193.96</v>
      </c>
      <c r="J45" s="3">
        <v>57.22</v>
      </c>
      <c r="K45" s="3">
        <v>0</v>
      </c>
      <c r="L45" s="2">
        <v>4.1943380000000001</v>
      </c>
      <c r="M45" s="2">
        <v>4.1943380000000001</v>
      </c>
      <c r="N45" s="2">
        <v>4.5176509999999999</v>
      </c>
      <c r="O45" s="2">
        <v>4.858441</v>
      </c>
      <c r="P45" s="2">
        <v>7.2065489999999999</v>
      </c>
      <c r="Q45" s="2">
        <v>7.8769210000000003</v>
      </c>
      <c r="R45" s="2">
        <v>7.2021410000000001</v>
      </c>
      <c r="S45" s="2">
        <v>6.8613460000000002</v>
      </c>
      <c r="T45" s="2">
        <v>5.8672870000000001</v>
      </c>
      <c r="U45" s="2">
        <v>6.8266030000000004</v>
      </c>
      <c r="V45" s="2">
        <v>6.2737020000000001</v>
      </c>
      <c r="W45" s="2">
        <v>5.8661060000000003</v>
      </c>
      <c r="X45" s="2">
        <v>1.4497089999999999</v>
      </c>
      <c r="Y45" s="2">
        <v>1.3787579999999999</v>
      </c>
      <c r="Z45" s="2">
        <v>1.2925359999999999</v>
      </c>
      <c r="AA45" s="2">
        <v>1.194016</v>
      </c>
      <c r="AB45" s="2">
        <v>7.9252890000000003</v>
      </c>
      <c r="AC45" s="2">
        <v>6.9951100000000004</v>
      </c>
      <c r="AD45" s="2">
        <v>7.1169159999999998</v>
      </c>
      <c r="AE45" s="2">
        <v>5.5661699999999996</v>
      </c>
      <c r="AF45" s="2">
        <v>4.9415329999999997</v>
      </c>
      <c r="AG45" s="2">
        <v>7.1476940000000004</v>
      </c>
      <c r="AH45" s="2">
        <v>7.9980149999999997</v>
      </c>
      <c r="AI45" s="2">
        <v>7.6644030000000001</v>
      </c>
      <c r="AJ45" s="2">
        <v>10.71288</v>
      </c>
      <c r="AK45" s="2">
        <v>11.689970000000001</v>
      </c>
      <c r="AL45" s="3">
        <v>5.4137659999999999</v>
      </c>
      <c r="AM45" s="3">
        <v>5.0255419999999997</v>
      </c>
      <c r="AN45" s="2">
        <v>26.632370000000002</v>
      </c>
      <c r="AO45" s="2">
        <v>25.205159999999999</v>
      </c>
      <c r="AP45" s="2">
        <v>25.87293</v>
      </c>
      <c r="AQ45" s="2">
        <v>26.675429999999999</v>
      </c>
      <c r="AR45" s="2">
        <v>2.3539560000000002</v>
      </c>
      <c r="AS45" s="2">
        <v>2.4252319999999998</v>
      </c>
      <c r="AT45" s="2">
        <v>2.0878510000000001</v>
      </c>
      <c r="AU45" s="2">
        <v>1.8526469999999999</v>
      </c>
      <c r="AV45" s="1" t="s">
        <v>37</v>
      </c>
      <c r="AW45" s="3">
        <v>1.431818</v>
      </c>
      <c r="AX45" s="3">
        <v>75</v>
      </c>
      <c r="AY45" s="2">
        <v>31.073049999999999</v>
      </c>
      <c r="AZ45" s="2">
        <v>17.503769999999999</v>
      </c>
      <c r="BA45" s="2">
        <v>1</v>
      </c>
      <c r="BB45" s="2">
        <v>2.5999669999999999</v>
      </c>
      <c r="BC45" s="2">
        <v>18.40662</v>
      </c>
      <c r="BD45" s="3">
        <v>46.7</v>
      </c>
      <c r="BE45" s="2">
        <v>22.526759999999999</v>
      </c>
      <c r="BF45" s="3">
        <v>67.989999999999995</v>
      </c>
      <c r="BG45" s="2">
        <v>-15.84056</v>
      </c>
      <c r="BH45" s="2">
        <v>29.997920000000001</v>
      </c>
      <c r="BI45" s="2">
        <v>33.43609</v>
      </c>
      <c r="BJ45" s="2">
        <v>32.955759999999998</v>
      </c>
      <c r="BK45" s="2">
        <v>33.981009999999998</v>
      </c>
      <c r="BL45" s="2">
        <v>19</v>
      </c>
      <c r="BM45" s="2">
        <v>16</v>
      </c>
      <c r="BN45" s="4">
        <v>22</v>
      </c>
      <c r="BO45" s="4">
        <v>0</v>
      </c>
      <c r="BP45" s="4">
        <v>3</v>
      </c>
      <c r="BQ45" s="4">
        <v>21</v>
      </c>
      <c r="BR45" s="2">
        <v>0</v>
      </c>
      <c r="BS45" s="4">
        <v>14</v>
      </c>
      <c r="BT45" s="4">
        <v>0</v>
      </c>
      <c r="BU45" s="4">
        <v>22</v>
      </c>
      <c r="BV45" s="2">
        <v>63.636360000000003</v>
      </c>
      <c r="BW45" s="2">
        <v>10.3973</v>
      </c>
      <c r="BX45" s="2">
        <v>982.42409999999995</v>
      </c>
      <c r="BY45" s="3">
        <v>2.8613200000000001</v>
      </c>
      <c r="BZ45" s="3">
        <v>0.29125099999999998</v>
      </c>
      <c r="CA45" s="2">
        <v>1.1965699999999999</v>
      </c>
      <c r="CB45" s="3">
        <v>0.29125099999999998</v>
      </c>
      <c r="CC45" s="3">
        <v>8.0200449999999996</v>
      </c>
      <c r="CD45" s="3">
        <v>7.2739000000000003</v>
      </c>
      <c r="CE45" s="2">
        <v>-9.3035110000000003</v>
      </c>
      <c r="CF45" s="3">
        <v>10038.76</v>
      </c>
      <c r="CG45" s="3">
        <v>9481.5709999999999</v>
      </c>
      <c r="CH45" s="2">
        <v>-5.5503960000000001</v>
      </c>
      <c r="CI45" s="3">
        <v>75.611109999999996</v>
      </c>
      <c r="CJ45" s="2">
        <v>-0.80823299999999998</v>
      </c>
      <c r="CK45" s="3">
        <v>51661.89</v>
      </c>
      <c r="CL45" s="3">
        <v>50534.68</v>
      </c>
      <c r="CM45" s="2">
        <v>-2.1819169999999999</v>
      </c>
      <c r="CN45" s="3">
        <v>54.552230000000002</v>
      </c>
      <c r="CO45" s="3">
        <v>56.900500000000001</v>
      </c>
      <c r="CP45" s="3">
        <v>58.582689999999999</v>
      </c>
      <c r="CQ45" s="2">
        <v>4.8903109999999996</v>
      </c>
      <c r="CR45" s="2">
        <v>0.56151150000000005</v>
      </c>
      <c r="CS45" s="2">
        <v>-2.3260890000000001</v>
      </c>
      <c r="CT45" s="2">
        <v>4.3046239999999996</v>
      </c>
      <c r="CU45" s="2">
        <v>147.90270000000001</v>
      </c>
      <c r="CV45" s="3">
        <v>0.26310509999999998</v>
      </c>
      <c r="CW45" s="2">
        <v>6.0164710000000001</v>
      </c>
      <c r="CX45" s="2">
        <v>9.7549209999999997E-3</v>
      </c>
      <c r="CY45" s="2">
        <v>-4.0220399999999996</v>
      </c>
      <c r="CZ45" s="2">
        <v>30.171720000000001</v>
      </c>
    </row>
    <row r="46" spans="1:104" ht="15" customHeight="1" x14ac:dyDescent="0.2">
      <c r="A46" s="1">
        <f t="shared" si="0"/>
        <v>40</v>
      </c>
      <c r="B46" s="1" t="s">
        <v>129</v>
      </c>
      <c r="C46" s="1" t="s">
        <v>128</v>
      </c>
      <c r="D46" s="1" t="s">
        <v>35</v>
      </c>
      <c r="E46" s="1" t="s">
        <v>51</v>
      </c>
      <c r="F46" s="1" t="s">
        <v>130</v>
      </c>
      <c r="G46" s="2">
        <v>202086.5</v>
      </c>
      <c r="H46" s="2">
        <v>43.505299999999998</v>
      </c>
      <c r="I46" s="2">
        <v>87918.31</v>
      </c>
      <c r="J46" s="3">
        <v>377.6</v>
      </c>
      <c r="K46" s="3">
        <v>0</v>
      </c>
      <c r="L46" s="2">
        <v>1.588983</v>
      </c>
      <c r="M46" s="2">
        <v>1.6551910000000001</v>
      </c>
      <c r="N46" s="2">
        <v>1.801974</v>
      </c>
      <c r="O46" s="2">
        <v>1.9668779999999999</v>
      </c>
      <c r="P46" s="2">
        <v>33.534640000000003</v>
      </c>
      <c r="Q46" s="2">
        <v>32.05433</v>
      </c>
      <c r="R46" s="2">
        <v>29.592479999999998</v>
      </c>
      <c r="S46" s="2">
        <v>27.407</v>
      </c>
      <c r="T46" s="2">
        <v>20.19041</v>
      </c>
      <c r="U46" s="2">
        <v>21.151730000000001</v>
      </c>
      <c r="V46" s="2">
        <v>19.129180000000002</v>
      </c>
      <c r="W46" s="2">
        <v>17.985800000000001</v>
      </c>
      <c r="X46" s="2">
        <v>7.4698440000000002</v>
      </c>
      <c r="Y46" s="2">
        <v>6.7658120000000004</v>
      </c>
      <c r="Z46" s="2">
        <v>6.1330869999999997</v>
      </c>
      <c r="AA46" s="2">
        <v>5.5681279999999997</v>
      </c>
      <c r="AB46" s="2">
        <v>28.75216</v>
      </c>
      <c r="AC46" s="2">
        <v>25.464639999999999</v>
      </c>
      <c r="AD46" s="2">
        <v>23.733689999999999</v>
      </c>
      <c r="AE46" s="2">
        <v>21.969899999999999</v>
      </c>
      <c r="AF46" s="2">
        <v>3.2047400000000001</v>
      </c>
      <c r="AG46" s="2">
        <v>3.5008970000000001</v>
      </c>
      <c r="AH46" s="2">
        <v>3.697708</v>
      </c>
      <c r="AI46" s="2">
        <v>3.2006700000000001</v>
      </c>
      <c r="AJ46" s="2">
        <v>3.4491000000000001</v>
      </c>
      <c r="AK46" s="2">
        <v>3.579399</v>
      </c>
      <c r="AL46" s="3">
        <v>4.5711209999999998</v>
      </c>
      <c r="AM46" s="3">
        <v>4.206302</v>
      </c>
      <c r="AN46" s="2">
        <v>23.504470000000001</v>
      </c>
      <c r="AO46" s="2">
        <v>23.60754</v>
      </c>
      <c r="AP46" s="2">
        <v>24.086459999999999</v>
      </c>
      <c r="AQ46" s="2">
        <v>24.062819999999999</v>
      </c>
      <c r="AR46" s="2">
        <v>0.3372753</v>
      </c>
      <c r="AS46" s="2">
        <v>-2.69E-2</v>
      </c>
      <c r="AT46" s="2">
        <v>-0.28727900000000001</v>
      </c>
      <c r="AU46" s="2">
        <v>-0.59448060000000003</v>
      </c>
      <c r="AV46" s="1" t="s">
        <v>62</v>
      </c>
      <c r="AW46" s="3">
        <v>1.7592589999999999</v>
      </c>
      <c r="AX46" s="3">
        <v>390</v>
      </c>
      <c r="AY46" s="2">
        <v>3.2838940000000001</v>
      </c>
      <c r="AZ46" s="2">
        <v>21.107330000000001</v>
      </c>
      <c r="BA46" s="2">
        <v>7.6777220000000002</v>
      </c>
      <c r="BB46" s="2">
        <v>9.3700290000000006</v>
      </c>
      <c r="BC46" s="2">
        <v>13.189450000000001</v>
      </c>
      <c r="BD46" s="3">
        <v>300.45</v>
      </c>
      <c r="BE46" s="2">
        <v>25.678149999999999</v>
      </c>
      <c r="BF46" s="3">
        <v>393.6</v>
      </c>
      <c r="BG46" s="2">
        <v>-4.065042</v>
      </c>
      <c r="BH46" s="2">
        <v>53.295830000000002</v>
      </c>
      <c r="BI46" s="2">
        <v>50.17886</v>
      </c>
      <c r="BJ46" s="2">
        <v>50.556220000000003</v>
      </c>
      <c r="BK46" s="2">
        <v>53.364730000000002</v>
      </c>
      <c r="BL46" s="2">
        <v>25</v>
      </c>
      <c r="BM46" s="2">
        <v>21</v>
      </c>
      <c r="BN46" s="4">
        <v>27</v>
      </c>
      <c r="BO46" s="4">
        <v>0</v>
      </c>
      <c r="BP46" s="4">
        <v>1</v>
      </c>
      <c r="BQ46" s="4">
        <v>27</v>
      </c>
      <c r="BR46" s="2">
        <v>0</v>
      </c>
      <c r="BS46" s="4">
        <v>11</v>
      </c>
      <c r="BT46" s="4">
        <v>4</v>
      </c>
      <c r="BU46" s="4">
        <v>27</v>
      </c>
      <c r="BV46" s="2">
        <v>40.740740000000002</v>
      </c>
      <c r="BW46" s="2">
        <v>6.4791100000000004</v>
      </c>
      <c r="BX46" s="2">
        <v>535.1866</v>
      </c>
      <c r="BY46" s="3">
        <v>0.38846989999999998</v>
      </c>
      <c r="BZ46" s="3">
        <v>7.2585880000000005E-2</v>
      </c>
      <c r="CA46" s="2">
        <v>0.65111200000000002</v>
      </c>
      <c r="CB46" s="3">
        <v>7.2585880000000005E-2</v>
      </c>
      <c r="CC46" s="3">
        <v>11.840949999999999</v>
      </c>
      <c r="CD46" s="3">
        <v>11.85065</v>
      </c>
      <c r="CE46" s="2">
        <v>8.1884860000000004E-2</v>
      </c>
      <c r="CF46" s="3">
        <v>7973.5140000000001</v>
      </c>
      <c r="CG46" s="3">
        <v>7927.85</v>
      </c>
      <c r="CH46" s="2">
        <v>-0.57269930000000002</v>
      </c>
      <c r="CI46" s="3">
        <v>365.5</v>
      </c>
      <c r="CJ46" s="2">
        <v>6.7031499999999999</v>
      </c>
      <c r="CK46" s="3">
        <v>40601.18</v>
      </c>
      <c r="CL46" s="3">
        <v>40320.46</v>
      </c>
      <c r="CM46" s="2">
        <v>-0.69141390000000003</v>
      </c>
      <c r="CN46" s="3">
        <v>348.42</v>
      </c>
      <c r="CO46" s="3">
        <v>376.65289999999999</v>
      </c>
      <c r="CP46" s="3">
        <v>379.85</v>
      </c>
      <c r="CQ46" s="2">
        <v>8.3749529999999996</v>
      </c>
      <c r="CR46" s="2">
        <v>0.25146010000000002</v>
      </c>
      <c r="CS46" s="2">
        <v>-0.59233309999999995</v>
      </c>
      <c r="CT46" s="2">
        <v>8.1031209999999998</v>
      </c>
      <c r="CU46" s="2">
        <v>124.7303</v>
      </c>
      <c r="CV46" s="3">
        <v>6.1721249999999998E-2</v>
      </c>
      <c r="CW46" s="2" t="e">
        <v>#N/A</v>
      </c>
      <c r="CX46" s="2">
        <v>1.3664050000000001</v>
      </c>
      <c r="CY46" s="2" t="e">
        <v>#N/A</v>
      </c>
      <c r="CZ46" s="2">
        <v>30.626259999999998</v>
      </c>
    </row>
    <row r="47" spans="1:104" ht="15" customHeight="1" x14ac:dyDescent="0.2">
      <c r="A47" s="1">
        <f t="shared" si="0"/>
        <v>41</v>
      </c>
      <c r="B47" s="1" t="s">
        <v>132</v>
      </c>
      <c r="C47" s="1" t="s">
        <v>131</v>
      </c>
      <c r="D47" s="1" t="s">
        <v>35</v>
      </c>
      <c r="E47" s="1" t="s">
        <v>133</v>
      </c>
      <c r="F47" s="1" t="s">
        <v>134</v>
      </c>
      <c r="G47" s="2">
        <v>140575.29999999999</v>
      </c>
      <c r="H47" s="2">
        <v>91.353899999999996</v>
      </c>
      <c r="I47" s="2">
        <v>128421</v>
      </c>
      <c r="J47" s="3">
        <v>56.45</v>
      </c>
      <c r="K47" s="3">
        <v>0</v>
      </c>
      <c r="L47" s="2">
        <v>6.4901099999999996</v>
      </c>
      <c r="M47" s="2">
        <v>5.2020220000000004</v>
      </c>
      <c r="N47" s="2">
        <v>5.4251800000000001</v>
      </c>
      <c r="O47" s="2">
        <v>5.5895260000000002</v>
      </c>
      <c r="P47" s="2">
        <v>4.3428839999999997</v>
      </c>
      <c r="Q47" s="2">
        <v>5.4717289999999998</v>
      </c>
      <c r="R47" s="2">
        <v>6.1456</v>
      </c>
      <c r="S47" s="2">
        <v>6.5041289999999998</v>
      </c>
      <c r="T47" s="2">
        <v>2.882514</v>
      </c>
      <c r="U47" s="2">
        <v>2.9309530000000001</v>
      </c>
      <c r="V47" s="2">
        <v>3.4542160000000002</v>
      </c>
      <c r="W47" s="2">
        <v>3.6015109999999999</v>
      </c>
      <c r="X47" s="2">
        <v>1.3558749999999999</v>
      </c>
      <c r="Y47" s="2">
        <v>1.1910529999999999</v>
      </c>
      <c r="Z47" s="2">
        <v>1.0809660000000001</v>
      </c>
      <c r="AA47" s="2">
        <v>1.013781</v>
      </c>
      <c r="AB47" s="2">
        <v>3.374571</v>
      </c>
      <c r="AC47" s="2">
        <v>3.6213540000000002</v>
      </c>
      <c r="AD47" s="2">
        <v>3.979892</v>
      </c>
      <c r="AE47" s="2">
        <v>3.8231130000000002</v>
      </c>
      <c r="AF47" s="2">
        <v>15.76765</v>
      </c>
      <c r="AG47" s="2">
        <v>13.083830000000001</v>
      </c>
      <c r="AH47" s="2">
        <v>14.084709999999999</v>
      </c>
      <c r="AI47" s="2">
        <v>16.994579999999999</v>
      </c>
      <c r="AJ47" s="2">
        <v>13.82089</v>
      </c>
      <c r="AK47" s="2">
        <v>14.51666</v>
      </c>
      <c r="AL47" s="3">
        <v>3.7843049999999998</v>
      </c>
      <c r="AM47" s="3">
        <v>4.3455269999999997</v>
      </c>
      <c r="AN47" s="2">
        <v>23.90718</v>
      </c>
      <c r="AO47" s="2">
        <v>22.326149999999998</v>
      </c>
      <c r="AP47" s="2">
        <v>20.02589</v>
      </c>
      <c r="AQ47" s="2">
        <v>19.825240000000001</v>
      </c>
      <c r="AR47" s="2">
        <v>0.26549640000000002</v>
      </c>
      <c r="AS47" s="2">
        <v>0.21160109999999999</v>
      </c>
      <c r="AT47" s="2">
        <v>0.18421129999999999</v>
      </c>
      <c r="AU47" s="2">
        <v>0.10716290000000001</v>
      </c>
      <c r="AV47" s="1" t="s">
        <v>32</v>
      </c>
      <c r="AW47" s="3">
        <v>1.553571</v>
      </c>
      <c r="AX47" s="3">
        <v>67.556650000000005</v>
      </c>
      <c r="AY47" s="2">
        <v>19.6752</v>
      </c>
      <c r="AZ47" s="2">
        <v>21.767389999999999</v>
      </c>
      <c r="BA47" s="2">
        <v>1</v>
      </c>
      <c r="BB47" s="2">
        <v>23.387979999999999</v>
      </c>
      <c r="BC47" s="2">
        <v>-3.7510690000000002</v>
      </c>
      <c r="BD47" s="3">
        <v>44.005000000000003</v>
      </c>
      <c r="BE47" s="2">
        <v>28.28088</v>
      </c>
      <c r="BF47" s="3">
        <v>60.93</v>
      </c>
      <c r="BG47" s="2">
        <v>-7.3526980000000002</v>
      </c>
      <c r="BH47" s="2">
        <v>26.00732</v>
      </c>
      <c r="BI47" s="2">
        <v>29.411519999999999</v>
      </c>
      <c r="BJ47" s="2">
        <v>34.140520000000002</v>
      </c>
      <c r="BK47" s="2">
        <v>39.502029999999998</v>
      </c>
      <c r="BL47" s="2">
        <v>25</v>
      </c>
      <c r="BM47" s="2">
        <v>21</v>
      </c>
      <c r="BN47" s="4">
        <v>28</v>
      </c>
      <c r="BO47" s="4">
        <v>1</v>
      </c>
      <c r="BP47" s="4">
        <v>5</v>
      </c>
      <c r="BQ47" s="4">
        <v>23</v>
      </c>
      <c r="BR47" s="2">
        <v>3.4482759999999999</v>
      </c>
      <c r="BS47" s="4">
        <v>16</v>
      </c>
      <c r="BT47" s="4">
        <v>2</v>
      </c>
      <c r="BU47" s="4">
        <v>28</v>
      </c>
      <c r="BV47" s="2">
        <v>57.142859999999999</v>
      </c>
      <c r="BW47" s="2">
        <v>9.8063000000000002</v>
      </c>
      <c r="BX47" s="2">
        <v>2490.2620000000002</v>
      </c>
      <c r="BY47" s="3">
        <v>5.8518330000000001</v>
      </c>
      <c r="BZ47" s="3">
        <v>0.23498869999999999</v>
      </c>
      <c r="CA47" s="2">
        <v>0.96121599999999996</v>
      </c>
      <c r="CB47" s="3">
        <v>0.23498869999999999</v>
      </c>
      <c r="CC47" s="3">
        <v>11.432219999999999</v>
      </c>
      <c r="CD47" s="3">
        <v>10.488390000000001</v>
      </c>
      <c r="CE47" s="2">
        <v>-8.2558810000000005</v>
      </c>
      <c r="CF47" s="3">
        <v>41933.199999999997</v>
      </c>
      <c r="CG47" s="3">
        <v>39202.199999999997</v>
      </c>
      <c r="CH47" s="2">
        <v>-6.5127370000000004</v>
      </c>
      <c r="CI47" s="3">
        <v>64.196680000000001</v>
      </c>
      <c r="CJ47" s="2">
        <v>5.2338719999999999</v>
      </c>
      <c r="CK47" s="3">
        <v>239903.7</v>
      </c>
      <c r="CL47" s="3">
        <v>225703.4</v>
      </c>
      <c r="CM47" s="2">
        <v>-5.9191580000000004</v>
      </c>
      <c r="CN47" s="3">
        <v>54.278219999999997</v>
      </c>
      <c r="CO47" s="3">
        <v>58.37059</v>
      </c>
      <c r="CP47" s="3">
        <v>58.529620000000001</v>
      </c>
      <c r="CQ47" s="2">
        <v>4.0012119999999998</v>
      </c>
      <c r="CR47" s="2">
        <v>-3.2903310000000001</v>
      </c>
      <c r="CS47" s="2">
        <v>-3.5531100000000002</v>
      </c>
      <c r="CT47" s="2">
        <v>7.5396179999999999</v>
      </c>
      <c r="CU47" s="2">
        <v>286.85199999999998</v>
      </c>
      <c r="CV47" s="3">
        <v>0.20405580000000001</v>
      </c>
      <c r="CW47" s="2">
        <v>-3.4186869999999998</v>
      </c>
      <c r="CX47" s="2">
        <v>-13.85187</v>
      </c>
      <c r="CY47" s="2">
        <v>-5.7284889999999997</v>
      </c>
      <c r="CZ47" s="2">
        <v>30.929290000000002</v>
      </c>
    </row>
    <row r="48" spans="1:104" ht="15" customHeight="1" x14ac:dyDescent="0.2">
      <c r="A48" s="1">
        <f t="shared" si="0"/>
        <v>42</v>
      </c>
      <c r="B48" s="1" t="s">
        <v>136</v>
      </c>
      <c r="C48" s="1" t="s">
        <v>135</v>
      </c>
      <c r="D48" s="1" t="s">
        <v>35</v>
      </c>
      <c r="E48" s="1" t="s">
        <v>51</v>
      </c>
      <c r="F48" s="1" t="s">
        <v>137</v>
      </c>
      <c r="G48" s="2">
        <v>36866.959999999999</v>
      </c>
      <c r="H48" s="2">
        <v>91.389899999999997</v>
      </c>
      <c r="I48" s="2">
        <v>33692.68</v>
      </c>
      <c r="J48" s="3">
        <v>54.55</v>
      </c>
      <c r="K48" s="3">
        <v>0</v>
      </c>
      <c r="L48" s="2">
        <v>3.6663610000000002</v>
      </c>
      <c r="M48" s="2">
        <v>3.7580200000000001</v>
      </c>
      <c r="N48" s="2">
        <v>3.9413390000000001</v>
      </c>
      <c r="O48" s="2">
        <v>4.1142570000000003</v>
      </c>
      <c r="P48" s="2">
        <v>15.903790000000001</v>
      </c>
      <c r="Q48" s="2">
        <v>15.720459999999999</v>
      </c>
      <c r="R48" s="2">
        <v>14.66398</v>
      </c>
      <c r="S48" s="2">
        <v>13.810129999999999</v>
      </c>
      <c r="T48" s="2">
        <v>9.5943389999999997</v>
      </c>
      <c r="U48" s="2">
        <v>10.01333</v>
      </c>
      <c r="V48" s="2">
        <v>9.4235170000000004</v>
      </c>
      <c r="W48" s="2">
        <v>8.9079709999999999</v>
      </c>
      <c r="X48" s="2">
        <v>1.9529000000000001</v>
      </c>
      <c r="Y48" s="2">
        <v>1.881408</v>
      </c>
      <c r="Z48" s="2">
        <v>1.7949980000000001</v>
      </c>
      <c r="AA48" s="2">
        <v>1.7170000000000001</v>
      </c>
      <c r="AB48" s="2">
        <v>11.770440000000001</v>
      </c>
      <c r="AC48" s="2">
        <v>10.19773</v>
      </c>
      <c r="AD48" s="2">
        <v>9.5657700000000006</v>
      </c>
      <c r="AE48" s="2">
        <v>9.2762619999999991</v>
      </c>
      <c r="AF48" s="2">
        <v>4.4506439999999996</v>
      </c>
      <c r="AG48" s="2">
        <v>4.9189499999999997</v>
      </c>
      <c r="AH48" s="2">
        <v>5.2989179999999996</v>
      </c>
      <c r="AI48" s="2">
        <v>5.6036450000000002</v>
      </c>
      <c r="AJ48" s="2">
        <v>6.1016240000000002</v>
      </c>
      <c r="AK48" s="2">
        <v>6.4671110000000001</v>
      </c>
      <c r="AL48" s="3">
        <v>3.588991</v>
      </c>
      <c r="AM48" s="3">
        <v>3.3587500000000001</v>
      </c>
      <c r="AN48" s="2">
        <v>16.34525</v>
      </c>
      <c r="AO48" s="2">
        <v>16.453700000000001</v>
      </c>
      <c r="AP48" s="2">
        <v>16.90849</v>
      </c>
      <c r="AQ48" s="2">
        <v>17.290050000000001</v>
      </c>
      <c r="AR48" s="2">
        <v>2.235439</v>
      </c>
      <c r="AS48" s="2">
        <v>2.0603349999999998</v>
      </c>
      <c r="AT48" s="2">
        <v>1.826554</v>
      </c>
      <c r="AU48" s="2">
        <v>1.6091</v>
      </c>
      <c r="AV48" s="1" t="s">
        <v>62</v>
      </c>
      <c r="AW48" s="3">
        <v>1.84</v>
      </c>
      <c r="AX48" s="3">
        <v>56</v>
      </c>
      <c r="AY48" s="2">
        <v>2.6581169999999998</v>
      </c>
      <c r="AZ48" s="2">
        <v>11.967890000000001</v>
      </c>
      <c r="BA48" s="2">
        <v>4.8</v>
      </c>
      <c r="BB48" s="2">
        <v>2.7307030000000001</v>
      </c>
      <c r="BC48" s="2">
        <v>10.806419999999999</v>
      </c>
      <c r="BD48" s="3">
        <v>46.75</v>
      </c>
      <c r="BE48" s="2">
        <v>16.684480000000001</v>
      </c>
      <c r="BF48" s="3">
        <v>58.14</v>
      </c>
      <c r="BG48" s="2">
        <v>-6.1747490000000003</v>
      </c>
      <c r="BH48" s="2">
        <v>58.401649999999997</v>
      </c>
      <c r="BI48" s="2">
        <v>59.406120000000001</v>
      </c>
      <c r="BJ48" s="2">
        <v>58.599319999999999</v>
      </c>
      <c r="BK48" s="2">
        <v>57.254440000000002</v>
      </c>
      <c r="BL48" s="2">
        <v>22</v>
      </c>
      <c r="BM48" s="2">
        <v>20</v>
      </c>
      <c r="BN48" s="4">
        <v>25</v>
      </c>
      <c r="BO48" s="4">
        <v>2</v>
      </c>
      <c r="BP48" s="4">
        <v>4</v>
      </c>
      <c r="BQ48" s="4">
        <v>21</v>
      </c>
      <c r="BR48" s="2">
        <v>7.4074070000000001</v>
      </c>
      <c r="BS48" s="4">
        <v>11</v>
      </c>
      <c r="BT48" s="4">
        <v>6</v>
      </c>
      <c r="BU48" s="4">
        <v>25</v>
      </c>
      <c r="BV48" s="2">
        <v>44</v>
      </c>
      <c r="BW48" s="2">
        <v>5.8855700000000004</v>
      </c>
      <c r="BX48" s="2">
        <v>675.83799999999997</v>
      </c>
      <c r="BY48" s="3">
        <v>1.373756</v>
      </c>
      <c r="BZ48" s="3">
        <v>0.203267</v>
      </c>
      <c r="CA48" s="2">
        <v>0.51958300000000002</v>
      </c>
      <c r="CB48" s="3">
        <v>0.203267</v>
      </c>
      <c r="CC48" s="3">
        <v>3.5882109999999998</v>
      </c>
      <c r="CD48" s="3">
        <v>3.465786</v>
      </c>
      <c r="CE48" s="2">
        <v>-3.4118710000000001</v>
      </c>
      <c r="CF48" s="3">
        <v>3561.556</v>
      </c>
      <c r="CG48" s="3">
        <v>3450.4270000000001</v>
      </c>
      <c r="CH48" s="2">
        <v>-3.1202200000000002</v>
      </c>
      <c r="CI48" s="3">
        <v>56.552630000000001</v>
      </c>
      <c r="CJ48" s="2">
        <v>-0.97720030000000002</v>
      </c>
      <c r="CK48" s="3">
        <v>28774.26</v>
      </c>
      <c r="CL48" s="3">
        <v>27998.5</v>
      </c>
      <c r="CM48" s="2">
        <v>-2.6960190000000002</v>
      </c>
      <c r="CN48" s="3">
        <v>51.189680000000003</v>
      </c>
      <c r="CO48" s="3">
        <v>51.45393</v>
      </c>
      <c r="CP48" s="3">
        <v>52.826149999999998</v>
      </c>
      <c r="CQ48" s="2">
        <v>6.5644499999999999</v>
      </c>
      <c r="CR48" s="2">
        <v>6.0171720000000004</v>
      </c>
      <c r="CS48" s="2">
        <v>3.2632469999999998</v>
      </c>
      <c r="CT48" s="2">
        <v>0.51622389999999996</v>
      </c>
      <c r="CU48" s="2">
        <v>67.841949999999997</v>
      </c>
      <c r="CV48" s="3">
        <v>0.1840183</v>
      </c>
      <c r="CW48" s="2" t="e">
        <v>#N/A</v>
      </c>
      <c r="CX48" s="2">
        <v>0.93632950000000004</v>
      </c>
      <c r="CY48" s="2" t="e">
        <v>#N/A</v>
      </c>
      <c r="CZ48" s="2">
        <v>31.232320000000001</v>
      </c>
    </row>
    <row r="49" spans="1:104" ht="15" customHeight="1" x14ac:dyDescent="0.2">
      <c r="A49" s="1">
        <f t="shared" si="0"/>
        <v>43</v>
      </c>
      <c r="B49" s="1" t="s">
        <v>139</v>
      </c>
      <c r="C49" s="1" t="s">
        <v>138</v>
      </c>
      <c r="D49" s="1" t="s">
        <v>35</v>
      </c>
      <c r="E49" s="1" t="s">
        <v>17</v>
      </c>
      <c r="F49" s="1" t="s">
        <v>65</v>
      </c>
      <c r="G49" s="2">
        <v>96302.89</v>
      </c>
      <c r="H49" s="2">
        <v>74.061800000000005</v>
      </c>
      <c r="I49" s="2">
        <v>71323.649999999994</v>
      </c>
      <c r="J49" s="3">
        <v>122.18</v>
      </c>
      <c r="K49" s="3">
        <v>0</v>
      </c>
      <c r="L49" s="2">
        <v>1.473236</v>
      </c>
      <c r="M49" s="2">
        <v>1.6730579999999999</v>
      </c>
      <c r="N49" s="2">
        <v>2.1813709999999999</v>
      </c>
      <c r="O49" s="2">
        <v>2.7827790000000001</v>
      </c>
      <c r="P49" s="2">
        <v>22.62593</v>
      </c>
      <c r="Q49" s="2">
        <v>21.69697</v>
      </c>
      <c r="R49" s="2">
        <v>17.23488</v>
      </c>
      <c r="S49" s="2">
        <v>13.42291</v>
      </c>
      <c r="T49" s="2">
        <v>9.3582070000000002</v>
      </c>
      <c r="U49" s="2">
        <v>9.7811990000000009</v>
      </c>
      <c r="V49" s="2">
        <v>8.0623559999999994</v>
      </c>
      <c r="W49" s="2">
        <v>6.1757669999999996</v>
      </c>
      <c r="X49" s="2">
        <v>7.4273550000000004</v>
      </c>
      <c r="Y49" s="2">
        <v>6.0187200000000001</v>
      </c>
      <c r="Z49" s="2">
        <v>4.8426479999999996</v>
      </c>
      <c r="AA49" s="2">
        <v>3.8300939999999999</v>
      </c>
      <c r="AB49" s="2">
        <v>15.27406</v>
      </c>
      <c r="AC49" s="2">
        <v>17.57986</v>
      </c>
      <c r="AD49" s="2">
        <v>12.653689999999999</v>
      </c>
      <c r="AE49" s="2">
        <v>10.783759999999999</v>
      </c>
      <c r="AF49" s="2">
        <v>3.5589819999999999</v>
      </c>
      <c r="AG49" s="2">
        <v>6.2486350000000002</v>
      </c>
      <c r="AH49" s="2">
        <v>8.3127490000000002</v>
      </c>
      <c r="AI49" s="2">
        <v>3.1647159999999999</v>
      </c>
      <c r="AJ49" s="2">
        <v>5.3466279999999999</v>
      </c>
      <c r="AK49" s="2">
        <v>6.7510700000000003</v>
      </c>
      <c r="AL49" s="3">
        <v>1.071237</v>
      </c>
      <c r="AM49" s="3">
        <v>0.84471870000000004</v>
      </c>
      <c r="AN49" s="2">
        <v>14.197710000000001</v>
      </c>
      <c r="AO49" s="2">
        <v>13.53368</v>
      </c>
      <c r="AP49" s="2">
        <v>13.90868</v>
      </c>
      <c r="AQ49" s="2">
        <v>15.6187</v>
      </c>
      <c r="AR49" s="2">
        <v>-1.130409</v>
      </c>
      <c r="AS49" s="2">
        <v>-1.218561</v>
      </c>
      <c r="AT49" s="2">
        <v>-1.360166</v>
      </c>
      <c r="AU49" s="2">
        <v>-1.428599</v>
      </c>
      <c r="AV49" s="1" t="s">
        <v>6</v>
      </c>
      <c r="AW49" s="3">
        <v>1.3863639999999999</v>
      </c>
      <c r="AX49" s="3">
        <v>142.5</v>
      </c>
      <c r="AY49" s="2">
        <v>16.6312</v>
      </c>
      <c r="AZ49" s="2">
        <v>27.739899999999999</v>
      </c>
      <c r="BA49" s="2">
        <v>21.124600000000001</v>
      </c>
      <c r="BB49" s="2">
        <v>16.851569999999999</v>
      </c>
      <c r="BC49" s="2">
        <v>10.052250000000001</v>
      </c>
      <c r="BD49" s="3">
        <v>86.52</v>
      </c>
      <c r="BE49" s="2">
        <v>41.215910000000001</v>
      </c>
      <c r="BF49" s="3">
        <v>126.04</v>
      </c>
      <c r="BG49" s="2">
        <v>-3.062522</v>
      </c>
      <c r="BH49" s="2">
        <v>33.209879999999998</v>
      </c>
      <c r="BI49" s="2">
        <v>37.198880000000003</v>
      </c>
      <c r="BJ49" s="2">
        <v>36.625959999999999</v>
      </c>
      <c r="BK49" s="2">
        <v>35.196379999999998</v>
      </c>
      <c r="BL49" s="2">
        <v>19</v>
      </c>
      <c r="BM49" s="2">
        <v>18</v>
      </c>
      <c r="BN49" s="4">
        <v>22</v>
      </c>
      <c r="BO49" s="4">
        <v>1</v>
      </c>
      <c r="BP49" s="4">
        <v>5</v>
      </c>
      <c r="BQ49" s="4">
        <v>17</v>
      </c>
      <c r="BR49" s="2">
        <v>4.3478260000000004</v>
      </c>
      <c r="BS49" s="4">
        <v>17</v>
      </c>
      <c r="BT49" s="4">
        <v>2</v>
      </c>
      <c r="BU49" s="4">
        <v>22</v>
      </c>
      <c r="BV49" s="2">
        <v>77.272729999999996</v>
      </c>
      <c r="BW49" s="2">
        <v>12.995699999999999</v>
      </c>
      <c r="BX49" s="2">
        <v>788.20500000000004</v>
      </c>
      <c r="BY49" s="3">
        <v>1.3120130000000001</v>
      </c>
      <c r="BZ49" s="3">
        <v>0.16645570000000001</v>
      </c>
      <c r="CA49" s="2">
        <v>1.73953</v>
      </c>
      <c r="CB49" s="3">
        <v>0.16645570000000001</v>
      </c>
      <c r="CC49" s="3">
        <v>6.258318</v>
      </c>
      <c r="CD49" s="3">
        <v>5.5886899999999997</v>
      </c>
      <c r="CE49" s="2">
        <v>-10.6998</v>
      </c>
      <c r="CF49" s="3">
        <v>6803.37</v>
      </c>
      <c r="CG49" s="3">
        <v>6113.1959999999999</v>
      </c>
      <c r="CH49" s="2">
        <v>-10.144590000000001</v>
      </c>
      <c r="CI49" s="3">
        <v>144.72219999999999</v>
      </c>
      <c r="CJ49" s="2">
        <v>-1.5355110000000001</v>
      </c>
      <c r="CK49" s="3">
        <v>67631.05</v>
      </c>
      <c r="CL49" s="3">
        <v>64215.3</v>
      </c>
      <c r="CM49" s="2">
        <v>-5.0505699999999996</v>
      </c>
      <c r="CN49" s="3">
        <v>107.081</v>
      </c>
      <c r="CO49" s="3">
        <v>118.9498</v>
      </c>
      <c r="CP49" s="3">
        <v>120.9408</v>
      </c>
      <c r="CQ49" s="2">
        <v>14.10056</v>
      </c>
      <c r="CR49" s="2">
        <v>2.7155879999999999</v>
      </c>
      <c r="CS49" s="2">
        <v>1.024675</v>
      </c>
      <c r="CT49" s="2">
        <v>11.08398</v>
      </c>
      <c r="CU49" s="2">
        <v>134.33070000000001</v>
      </c>
      <c r="CV49" s="3">
        <v>0.13948769999999999</v>
      </c>
      <c r="CW49" s="2">
        <v>21.406479999999998</v>
      </c>
      <c r="CX49" s="2">
        <v>1.2862180000000001</v>
      </c>
      <c r="CY49" s="2">
        <v>10.163</v>
      </c>
      <c r="CZ49" s="2">
        <v>31.323229999999999</v>
      </c>
    </row>
    <row r="50" spans="1:104" ht="15" customHeight="1" x14ac:dyDescent="0.2">
      <c r="A50" s="1">
        <f t="shared" si="0"/>
        <v>44</v>
      </c>
      <c r="B50" s="1" t="s">
        <v>141</v>
      </c>
      <c r="C50" s="1" t="s">
        <v>140</v>
      </c>
      <c r="D50" s="1" t="s">
        <v>16</v>
      </c>
      <c r="E50" s="1" t="s">
        <v>142</v>
      </c>
      <c r="F50" s="1" t="s">
        <v>143</v>
      </c>
      <c r="G50" s="2">
        <v>51832.05</v>
      </c>
      <c r="H50" s="2">
        <v>76.828199999999995</v>
      </c>
      <c r="I50" s="2">
        <v>39821.629999999997</v>
      </c>
      <c r="J50" s="3">
        <v>41.2</v>
      </c>
      <c r="K50" s="3">
        <v>0</v>
      </c>
      <c r="L50" s="2">
        <v>4.490291</v>
      </c>
      <c r="M50" s="2">
        <v>4.5842270000000003</v>
      </c>
      <c r="N50" s="2">
        <v>4.7152649999999996</v>
      </c>
      <c r="O50" s="2">
        <v>4.7330100000000002</v>
      </c>
      <c r="P50" s="2">
        <v>9.5091680000000007</v>
      </c>
      <c r="Q50" s="2">
        <v>12.59939</v>
      </c>
      <c r="R50" s="2">
        <v>11.230309999999999</v>
      </c>
      <c r="S50" s="2">
        <v>9.7862229999999997</v>
      </c>
      <c r="T50" s="2">
        <v>4.8521780000000003</v>
      </c>
      <c r="U50" s="2">
        <v>6.333723</v>
      </c>
      <c r="V50" s="2">
        <v>6.052956</v>
      </c>
      <c r="W50" s="2">
        <v>5.5942720000000001</v>
      </c>
      <c r="X50" s="2">
        <v>2.1259600000000001</v>
      </c>
      <c r="Y50" s="2">
        <v>2.0196079999999998</v>
      </c>
      <c r="Z50" s="2">
        <v>1.8899079999999999</v>
      </c>
      <c r="AA50" s="2">
        <v>1.7024790000000001</v>
      </c>
      <c r="AB50" s="2">
        <v>4.6535489999999999</v>
      </c>
      <c r="AC50" s="2">
        <v>6.3010330000000003</v>
      </c>
      <c r="AD50" s="2">
        <v>5.418221</v>
      </c>
      <c r="AE50" s="2">
        <v>4.7712500000000002</v>
      </c>
      <c r="AF50" s="2">
        <v>4.2317809999999998</v>
      </c>
      <c r="AG50" s="2">
        <v>4.8701829999999999</v>
      </c>
      <c r="AH50" s="2">
        <v>4.6693429999999996</v>
      </c>
      <c r="AI50" s="2">
        <v>5.6035649999999997</v>
      </c>
      <c r="AJ50" s="2">
        <v>6.5143089999999999</v>
      </c>
      <c r="AK50" s="2">
        <v>6.190715</v>
      </c>
      <c r="AL50" s="3" t="e">
        <v>#N/A</v>
      </c>
      <c r="AM50" s="3" t="e">
        <v>#N/A</v>
      </c>
      <c r="AN50" s="2">
        <v>13.35614</v>
      </c>
      <c r="AO50" s="2">
        <v>12.834569999999999</v>
      </c>
      <c r="AP50" s="2">
        <v>13.06626</v>
      </c>
      <c r="AQ50" s="2">
        <v>13.66194</v>
      </c>
      <c r="AR50" s="2">
        <v>1.3432170000000001</v>
      </c>
      <c r="AS50" s="2">
        <v>1.5505310000000001</v>
      </c>
      <c r="AT50" s="2">
        <v>1.5276879999999999</v>
      </c>
      <c r="AU50" s="2">
        <v>1.374797</v>
      </c>
      <c r="AV50" s="1" t="s">
        <v>32</v>
      </c>
      <c r="AW50" s="3">
        <v>1.529412</v>
      </c>
      <c r="AX50" s="3">
        <v>49</v>
      </c>
      <c r="AY50" s="2">
        <v>18.932030000000001</v>
      </c>
      <c r="AZ50" s="2">
        <v>16.029409999999999</v>
      </c>
      <c r="BA50" s="2">
        <v>-0.47209370000000001</v>
      </c>
      <c r="BB50" s="2">
        <v>-6.5335749999999999</v>
      </c>
      <c r="BC50" s="2">
        <v>17.111989999999999</v>
      </c>
      <c r="BD50" s="3">
        <v>29.675000000000001</v>
      </c>
      <c r="BE50" s="2">
        <v>38.837409999999998</v>
      </c>
      <c r="BF50" s="3">
        <v>47.34</v>
      </c>
      <c r="BG50" s="2">
        <v>-12.97</v>
      </c>
      <c r="BH50" s="2">
        <v>42.698929999999997</v>
      </c>
      <c r="BI50" s="2">
        <v>55.929099999999998</v>
      </c>
      <c r="BJ50" s="2">
        <v>52.890090000000001</v>
      </c>
      <c r="BK50" s="2">
        <v>48.085410000000003</v>
      </c>
      <c r="BL50" s="2">
        <v>14</v>
      </c>
      <c r="BM50" s="2">
        <v>12</v>
      </c>
      <c r="BN50" s="4">
        <v>17</v>
      </c>
      <c r="BO50" s="4">
        <v>0</v>
      </c>
      <c r="BP50" s="4">
        <v>1</v>
      </c>
      <c r="BQ50" s="4">
        <v>11</v>
      </c>
      <c r="BR50" s="2">
        <v>0</v>
      </c>
      <c r="BS50" s="4">
        <v>10</v>
      </c>
      <c r="BT50" s="4">
        <v>1</v>
      </c>
      <c r="BU50" s="4">
        <v>17</v>
      </c>
      <c r="BV50" s="2">
        <v>58.823529999999998</v>
      </c>
      <c r="BW50" s="2">
        <v>8.1892800000000001</v>
      </c>
      <c r="BX50" s="2">
        <v>1258.059</v>
      </c>
      <c r="BY50" s="3">
        <v>2.8970600000000002</v>
      </c>
      <c r="BZ50" s="3">
        <v>0.23028000000000001</v>
      </c>
      <c r="CA50" s="2">
        <v>0.97272400000000003</v>
      </c>
      <c r="CB50" s="3">
        <v>0.23028000000000001</v>
      </c>
      <c r="CC50" s="3">
        <v>3.5202849999999999</v>
      </c>
      <c r="CD50" s="3">
        <v>3.2697270000000001</v>
      </c>
      <c r="CE50" s="2">
        <v>-7.1175689999999996</v>
      </c>
      <c r="CF50" s="3">
        <v>7023.8680000000004</v>
      </c>
      <c r="CG50" s="3">
        <v>6504.51</v>
      </c>
      <c r="CH50" s="2">
        <v>-7.3941889999999999</v>
      </c>
      <c r="CI50" s="3">
        <v>51.493749999999999</v>
      </c>
      <c r="CJ50" s="2">
        <v>-4.8428240000000002</v>
      </c>
      <c r="CK50" s="3">
        <v>87360.54</v>
      </c>
      <c r="CL50" s="3">
        <v>85665.43</v>
      </c>
      <c r="CM50" s="2">
        <v>-1.940358</v>
      </c>
      <c r="CN50" s="3">
        <v>37.183489999999999</v>
      </c>
      <c r="CO50" s="3">
        <v>40.06147</v>
      </c>
      <c r="CP50" s="3">
        <v>40.862119999999997</v>
      </c>
      <c r="CQ50" s="2">
        <v>10.801880000000001</v>
      </c>
      <c r="CR50" s="2">
        <v>2.8419729999999999</v>
      </c>
      <c r="CS50" s="2">
        <v>0.82688329999999999</v>
      </c>
      <c r="CT50" s="2">
        <v>7.7399370000000003</v>
      </c>
      <c r="CU50" s="2">
        <v>100.62430000000001</v>
      </c>
      <c r="CV50" s="3">
        <v>0.19413530000000001</v>
      </c>
      <c r="CW50" s="2">
        <v>9.3311580000000003</v>
      </c>
      <c r="CX50" s="2">
        <v>1.4648749999999999</v>
      </c>
      <c r="CY50" s="2">
        <v>-2.6661510000000002</v>
      </c>
      <c r="CZ50" s="2">
        <v>31.434339999999999</v>
      </c>
    </row>
    <row r="51" spans="1:104" ht="15" customHeight="1" x14ac:dyDescent="0.2">
      <c r="A51" s="1">
        <f t="shared" si="0"/>
        <v>45</v>
      </c>
      <c r="B51" s="1" t="s">
        <v>145</v>
      </c>
      <c r="C51" s="1" t="s">
        <v>144</v>
      </c>
      <c r="D51" s="1" t="s">
        <v>16</v>
      </c>
      <c r="E51" s="1" t="s">
        <v>51</v>
      </c>
      <c r="F51" s="1" t="s">
        <v>52</v>
      </c>
      <c r="G51" s="2">
        <v>26632.799999999999</v>
      </c>
      <c r="H51" s="2">
        <v>88.168899999999994</v>
      </c>
      <c r="I51" s="2">
        <v>23481.85</v>
      </c>
      <c r="J51" s="3">
        <v>147.96</v>
      </c>
      <c r="K51" s="3">
        <v>0</v>
      </c>
      <c r="L51" s="2">
        <v>0.47310079999999999</v>
      </c>
      <c r="M51" s="2">
        <v>0.47310079999999999</v>
      </c>
      <c r="N51" s="2">
        <v>0.97323599999999999</v>
      </c>
      <c r="O51" s="2">
        <v>1.9501520000000001</v>
      </c>
      <c r="P51" s="2">
        <v>118.36799999999999</v>
      </c>
      <c r="Q51" s="2" t="e">
        <v>#N/A</v>
      </c>
      <c r="R51" s="2">
        <v>38.13402</v>
      </c>
      <c r="S51" s="2">
        <v>20.751750000000001</v>
      </c>
      <c r="T51" s="2">
        <v>13.670120000000001</v>
      </c>
      <c r="U51" s="2">
        <v>35.366549999999997</v>
      </c>
      <c r="V51" s="2">
        <v>11.82615</v>
      </c>
      <c r="W51" s="2">
        <v>8.3825149999999997</v>
      </c>
      <c r="X51" s="2">
        <v>5.3357380000000001</v>
      </c>
      <c r="Y51" s="2">
        <v>6.0713990000000004</v>
      </c>
      <c r="Z51" s="2">
        <v>5.3439579999999998</v>
      </c>
      <c r="AA51" s="2">
        <v>4.3011629999999998</v>
      </c>
      <c r="AB51" s="2" t="e">
        <v>#N/A</v>
      </c>
      <c r="AC51" s="2">
        <v>13.41611</v>
      </c>
      <c r="AD51" s="2">
        <v>13.81461</v>
      </c>
      <c r="AE51" s="2">
        <v>10.59801</v>
      </c>
      <c r="AF51" s="2">
        <v>2.4293439999999999</v>
      </c>
      <c r="AG51" s="2">
        <v>3.1383399999999999</v>
      </c>
      <c r="AH51" s="2">
        <v>5.3939709999999996</v>
      </c>
      <c r="AI51" s="2">
        <v>2.6517750000000002</v>
      </c>
      <c r="AJ51" s="2">
        <v>3.383419</v>
      </c>
      <c r="AK51" s="2">
        <v>5.6459200000000003</v>
      </c>
      <c r="AL51" s="3" t="e">
        <v>#N/A</v>
      </c>
      <c r="AM51" s="3">
        <v>1.2090380000000001</v>
      </c>
      <c r="AN51" s="2">
        <v>8.3248189999999997</v>
      </c>
      <c r="AO51" s="2">
        <v>3.972934</v>
      </c>
      <c r="AP51" s="2">
        <v>10.71538</v>
      </c>
      <c r="AQ51" s="2">
        <v>13.460649999999999</v>
      </c>
      <c r="AR51" s="2">
        <v>1.4274279999999999</v>
      </c>
      <c r="AS51" s="2">
        <v>2.966545</v>
      </c>
      <c r="AT51" s="2">
        <v>0.85663219999999995</v>
      </c>
      <c r="AU51" s="2">
        <v>0.37406909999999999</v>
      </c>
      <c r="AV51" s="1" t="s">
        <v>62</v>
      </c>
      <c r="AW51" s="3">
        <v>1.9117649999999999</v>
      </c>
      <c r="AX51" s="3">
        <v>147</v>
      </c>
      <c r="AY51" s="2">
        <v>-0.64882640000000003</v>
      </c>
      <c r="AZ51" s="2">
        <v>-10.98264</v>
      </c>
      <c r="BA51" s="2">
        <v>6.0604430000000002</v>
      </c>
      <c r="BB51" s="2">
        <v>-28.209610000000001</v>
      </c>
      <c r="BC51" s="2">
        <v>16.083480000000002</v>
      </c>
      <c r="BD51" s="3">
        <v>93.4</v>
      </c>
      <c r="BE51" s="2">
        <v>58.415419999999997</v>
      </c>
      <c r="BF51" s="3">
        <v>220.8</v>
      </c>
      <c r="BG51" s="2">
        <v>-32.989130000000003</v>
      </c>
      <c r="BH51" s="2">
        <v>85.611630000000005</v>
      </c>
      <c r="BI51" s="2" t="e">
        <v>#N/A</v>
      </c>
      <c r="BJ51" s="2">
        <v>41.520789999999998</v>
      </c>
      <c r="BK51" s="2">
        <v>41.005339999999997</v>
      </c>
      <c r="BL51" s="2">
        <v>31</v>
      </c>
      <c r="BM51" s="2">
        <v>31</v>
      </c>
      <c r="BN51" s="4">
        <v>34</v>
      </c>
      <c r="BO51" s="4">
        <v>1</v>
      </c>
      <c r="BP51" s="4">
        <v>4</v>
      </c>
      <c r="BQ51" s="4">
        <v>25</v>
      </c>
      <c r="BR51" s="2">
        <v>3.3333330000000001</v>
      </c>
      <c r="BS51" s="4">
        <v>8</v>
      </c>
      <c r="BT51" s="4">
        <v>6</v>
      </c>
      <c r="BU51" s="4">
        <v>34</v>
      </c>
      <c r="BV51" s="2">
        <v>23.529409999999999</v>
      </c>
      <c r="BW51" s="2">
        <v>10.202199999999999</v>
      </c>
      <c r="BX51" s="2">
        <v>180</v>
      </c>
      <c r="BY51" s="3">
        <v>0.73003320000000005</v>
      </c>
      <c r="BZ51" s="3">
        <v>0.40557399999999999</v>
      </c>
      <c r="CA51" s="2">
        <v>0.86917699999999998</v>
      </c>
      <c r="CB51" s="3">
        <v>0.40557399999999999</v>
      </c>
      <c r="CC51" s="3">
        <v>4.8539700000000003</v>
      </c>
      <c r="CD51" s="3">
        <v>-2.1850040000000002</v>
      </c>
      <c r="CE51" s="2">
        <v>-145.01480000000001</v>
      </c>
      <c r="CF51" s="3">
        <v>1344.069</v>
      </c>
      <c r="CG51" s="3">
        <v>-278.28210000000001</v>
      </c>
      <c r="CH51" s="2">
        <v>-120.70440000000001</v>
      </c>
      <c r="CI51" s="3">
        <v>131.33789999999999</v>
      </c>
      <c r="CJ51" s="2">
        <v>11.92501</v>
      </c>
      <c r="CK51" s="3">
        <v>24186.13</v>
      </c>
      <c r="CL51" s="3">
        <v>20943</v>
      </c>
      <c r="CM51" s="2">
        <v>-13.409039999999999</v>
      </c>
      <c r="CN51" s="3">
        <v>142.5763</v>
      </c>
      <c r="CO51" s="3">
        <v>145.29679999999999</v>
      </c>
      <c r="CP51" s="3">
        <v>144.1508</v>
      </c>
      <c r="CQ51" s="2">
        <v>3.7760500000000001</v>
      </c>
      <c r="CR51" s="2">
        <v>1.8329139999999999</v>
      </c>
      <c r="CS51" s="2">
        <v>2.6425239999999999</v>
      </c>
      <c r="CT51" s="2">
        <v>1.9081589999999999</v>
      </c>
      <c r="CU51" s="2">
        <v>90.541589999999999</v>
      </c>
      <c r="CV51" s="3">
        <v>0.33996270000000001</v>
      </c>
      <c r="CW51" s="2">
        <v>-1.754761</v>
      </c>
      <c r="CX51" s="2">
        <v>-6.3868479999999996</v>
      </c>
      <c r="CY51" s="2">
        <v>3.8975819999999999</v>
      </c>
      <c r="CZ51" s="2">
        <v>31.85859</v>
      </c>
    </row>
    <row r="52" spans="1:104" ht="15" customHeight="1" x14ac:dyDescent="0.2">
      <c r="A52" s="1">
        <f t="shared" si="0"/>
        <v>46</v>
      </c>
      <c r="B52" s="1" t="s">
        <v>147</v>
      </c>
      <c r="C52" s="1" t="s">
        <v>146</v>
      </c>
      <c r="D52" s="1" t="s">
        <v>35</v>
      </c>
      <c r="E52" s="1" t="s">
        <v>51</v>
      </c>
      <c r="F52" s="1" t="s">
        <v>148</v>
      </c>
      <c r="G52" s="2">
        <v>70124.800000000003</v>
      </c>
      <c r="H52" s="2">
        <v>57.531300000000002</v>
      </c>
      <c r="I52" s="2">
        <v>40343.71</v>
      </c>
      <c r="J52" s="3">
        <v>565.20000000000005</v>
      </c>
      <c r="K52" s="3">
        <v>0</v>
      </c>
      <c r="L52" s="2">
        <v>2.4769990000000002</v>
      </c>
      <c r="M52" s="2">
        <v>2.6539280000000001</v>
      </c>
      <c r="N52" s="2">
        <v>2.996178</v>
      </c>
      <c r="O52" s="2">
        <v>3.2898200000000002</v>
      </c>
      <c r="P52" s="2">
        <v>19.290099999999999</v>
      </c>
      <c r="Q52" s="2">
        <v>17.252749999999999</v>
      </c>
      <c r="R52" s="2">
        <v>15.438409999999999</v>
      </c>
      <c r="S52" s="2">
        <v>13.97545</v>
      </c>
      <c r="T52" s="2">
        <v>8.4495740000000001</v>
      </c>
      <c r="U52" s="2">
        <v>9.2331230000000009</v>
      </c>
      <c r="V52" s="2">
        <v>8.2394230000000004</v>
      </c>
      <c r="W52" s="2">
        <v>7.3382240000000003</v>
      </c>
      <c r="X52" s="2">
        <v>4.9784199999999998</v>
      </c>
      <c r="Y52" s="2">
        <v>4.2792380000000003</v>
      </c>
      <c r="Z52" s="2">
        <v>3.7082959999999998</v>
      </c>
      <c r="AA52" s="2">
        <v>3.2223489999999999</v>
      </c>
      <c r="AB52" s="2">
        <v>16.271509999999999</v>
      </c>
      <c r="AC52" s="2">
        <v>12.381159999999999</v>
      </c>
      <c r="AD52" s="2">
        <v>11.581630000000001</v>
      </c>
      <c r="AE52" s="2">
        <v>10.51906</v>
      </c>
      <c r="AF52" s="2">
        <v>6.6980639999999996</v>
      </c>
      <c r="AG52" s="2">
        <v>7.108244</v>
      </c>
      <c r="AH52" s="2">
        <v>7.8606579999999999</v>
      </c>
      <c r="AI52" s="2">
        <v>6.751792</v>
      </c>
      <c r="AJ52" s="2">
        <v>6.9534089999999997</v>
      </c>
      <c r="AK52" s="2">
        <v>7.4246080000000001</v>
      </c>
      <c r="AL52" s="3">
        <v>1.7561960000000001</v>
      </c>
      <c r="AM52" s="3">
        <v>1.5777060000000001</v>
      </c>
      <c r="AN52" s="2">
        <v>35.649349999999998</v>
      </c>
      <c r="AO52" s="2">
        <v>35.233280000000001</v>
      </c>
      <c r="AP52" s="2">
        <v>35.741129999999998</v>
      </c>
      <c r="AQ52" s="2">
        <v>36.008940000000003</v>
      </c>
      <c r="AR52" s="2">
        <v>0.31784980000000002</v>
      </c>
      <c r="AS52" s="2">
        <v>7.3473319999999995E-2</v>
      </c>
      <c r="AT52" s="2">
        <v>-0.18347250000000001</v>
      </c>
      <c r="AU52" s="2">
        <v>-0.4309772</v>
      </c>
      <c r="AV52" s="1" t="s">
        <v>32</v>
      </c>
      <c r="AW52" s="3">
        <v>1.518519</v>
      </c>
      <c r="AX52" s="3">
        <v>632.5</v>
      </c>
      <c r="AY52" s="2">
        <v>11.90729</v>
      </c>
      <c r="AZ52" s="2">
        <v>24.803229999999999</v>
      </c>
      <c r="BA52" s="2">
        <v>9</v>
      </c>
      <c r="BB52" s="2">
        <v>0.1062751</v>
      </c>
      <c r="BC52" s="2">
        <v>18.864360000000001</v>
      </c>
      <c r="BD52" s="3">
        <v>427.55</v>
      </c>
      <c r="BE52" s="2">
        <v>32.195070000000001</v>
      </c>
      <c r="BF52" s="3">
        <v>608.29999999999995</v>
      </c>
      <c r="BG52" s="2">
        <v>-7.085318</v>
      </c>
      <c r="BH52" s="2">
        <v>47.337879999999998</v>
      </c>
      <c r="BI52" s="2">
        <v>46.269289999999998</v>
      </c>
      <c r="BJ52" s="2">
        <v>46.114199999999997</v>
      </c>
      <c r="BK52" s="2">
        <v>46.852370000000001</v>
      </c>
      <c r="BL52" s="2">
        <v>25</v>
      </c>
      <c r="BM52" s="2">
        <v>24</v>
      </c>
      <c r="BN52" s="4">
        <v>27</v>
      </c>
      <c r="BO52" s="4">
        <v>0</v>
      </c>
      <c r="BP52" s="4">
        <v>3</v>
      </c>
      <c r="BQ52" s="4">
        <v>24</v>
      </c>
      <c r="BR52" s="2">
        <v>0</v>
      </c>
      <c r="BS52" s="4">
        <v>14</v>
      </c>
      <c r="BT52" s="4">
        <v>0</v>
      </c>
      <c r="BU52" s="4">
        <v>27</v>
      </c>
      <c r="BV52" s="2">
        <v>51.851849999999999</v>
      </c>
      <c r="BW52" s="2">
        <v>9.5588700000000006</v>
      </c>
      <c r="BX52" s="2">
        <v>124.07080000000001</v>
      </c>
      <c r="BY52" s="3">
        <v>0.2120457</v>
      </c>
      <c r="BZ52" s="3">
        <v>0.17090710000000001</v>
      </c>
      <c r="CA52" s="2">
        <v>0.98528700000000002</v>
      </c>
      <c r="CB52" s="3">
        <v>0.17090710000000001</v>
      </c>
      <c r="CC52" s="3">
        <v>34.063110000000002</v>
      </c>
      <c r="CD52" s="3">
        <v>32.702979999999997</v>
      </c>
      <c r="CE52" s="2">
        <v>-3.992969</v>
      </c>
      <c r="CF52" s="3">
        <v>6221.1440000000002</v>
      </c>
      <c r="CG52" s="3">
        <v>5990.6319999999996</v>
      </c>
      <c r="CH52" s="2">
        <v>-3.7052930000000002</v>
      </c>
      <c r="CI52" s="3">
        <v>629.65390000000002</v>
      </c>
      <c r="CJ52" s="2">
        <v>0.45201780000000003</v>
      </c>
      <c r="CK52" s="3">
        <v>22094.17</v>
      </c>
      <c r="CL52" s="3">
        <v>21727</v>
      </c>
      <c r="CM52" s="2">
        <v>-1.6618489999999999</v>
      </c>
      <c r="CN52" s="3">
        <v>520.53120000000001</v>
      </c>
      <c r="CO52" s="3">
        <v>559.80200000000002</v>
      </c>
      <c r="CP52" s="3">
        <v>572.64239999999995</v>
      </c>
      <c r="CQ52" s="2">
        <v>8.5813880000000005</v>
      </c>
      <c r="CR52" s="2">
        <v>0.96427200000000002</v>
      </c>
      <c r="CS52" s="2">
        <v>-1.299655</v>
      </c>
      <c r="CT52" s="2">
        <v>7.5443740000000004</v>
      </c>
      <c r="CU52" s="2">
        <v>119.32599999999999</v>
      </c>
      <c r="CV52" s="3">
        <v>0.17016239999999999</v>
      </c>
      <c r="CW52" s="2" t="e">
        <v>#N/A</v>
      </c>
      <c r="CX52" s="2">
        <v>-3.2057150000000001</v>
      </c>
      <c r="CY52" s="2" t="e">
        <v>#N/A</v>
      </c>
      <c r="CZ52" s="2">
        <v>32.333329999999997</v>
      </c>
    </row>
    <row r="53" spans="1:104" ht="15" customHeight="1" x14ac:dyDescent="0.2">
      <c r="A53" s="1">
        <f t="shared" si="0"/>
        <v>47</v>
      </c>
      <c r="B53" s="1" t="s">
        <v>150</v>
      </c>
      <c r="C53" s="1" t="s">
        <v>149</v>
      </c>
      <c r="D53" s="1" t="s">
        <v>16</v>
      </c>
      <c r="E53" s="1" t="s">
        <v>89</v>
      </c>
      <c r="F53" s="1" t="s">
        <v>151</v>
      </c>
      <c r="G53" s="2">
        <v>42622</v>
      </c>
      <c r="H53" s="2">
        <v>99.988</v>
      </c>
      <c r="I53" s="2">
        <v>42616.89</v>
      </c>
      <c r="J53" s="3">
        <v>46.405000000000001</v>
      </c>
      <c r="K53" s="3">
        <v>0</v>
      </c>
      <c r="L53" s="2">
        <v>7.326797</v>
      </c>
      <c r="M53" s="2">
        <v>7.326797</v>
      </c>
      <c r="N53" s="2">
        <v>7.326797</v>
      </c>
      <c r="O53" s="2">
        <v>7.326797</v>
      </c>
      <c r="P53" s="2">
        <v>6.6673850000000003</v>
      </c>
      <c r="Q53" s="2">
        <v>10.79186</v>
      </c>
      <c r="R53" s="2">
        <v>8.9257550000000005</v>
      </c>
      <c r="S53" s="2">
        <v>8.0634230000000002</v>
      </c>
      <c r="T53" s="2">
        <v>5.47471</v>
      </c>
      <c r="U53" s="2">
        <v>6.7107229999999998</v>
      </c>
      <c r="V53" s="2">
        <v>6.1011620000000004</v>
      </c>
      <c r="W53" s="2">
        <v>5.7454640000000001</v>
      </c>
      <c r="X53" s="2">
        <v>1.05281</v>
      </c>
      <c r="Y53" s="2">
        <v>1.038143</v>
      </c>
      <c r="Z53" s="2">
        <v>1.004437</v>
      </c>
      <c r="AA53" s="2">
        <v>0.96458100000000002</v>
      </c>
      <c r="AB53" s="2">
        <v>5.4292749999999996</v>
      </c>
      <c r="AC53" s="2">
        <v>5.2257879999999997</v>
      </c>
      <c r="AD53" s="2">
        <v>5.3366429999999996</v>
      </c>
      <c r="AE53" s="2">
        <v>4.8357679999999998</v>
      </c>
      <c r="AF53" s="2">
        <v>4.4893159999999996</v>
      </c>
      <c r="AG53" s="2">
        <v>2.677073</v>
      </c>
      <c r="AH53" s="2">
        <v>3.5292680000000001</v>
      </c>
      <c r="AI53" s="2">
        <v>6.3847339999999999</v>
      </c>
      <c r="AJ53" s="2">
        <v>3.8957069999999998</v>
      </c>
      <c r="AK53" s="2">
        <v>5.337345</v>
      </c>
      <c r="AL53" s="3" t="e">
        <v>#N/A</v>
      </c>
      <c r="AM53" s="3" t="e">
        <v>#N/A</v>
      </c>
      <c r="AN53" s="2">
        <v>12.324260000000001</v>
      </c>
      <c r="AO53" s="2">
        <v>10.751720000000001</v>
      </c>
      <c r="AP53" s="2">
        <v>11.85089</v>
      </c>
      <c r="AQ53" s="2">
        <v>12.46585</v>
      </c>
      <c r="AR53" s="2">
        <v>1.515725</v>
      </c>
      <c r="AS53" s="2">
        <v>1.9921930000000001</v>
      </c>
      <c r="AT53" s="2">
        <v>1.908531</v>
      </c>
      <c r="AU53" s="2">
        <v>1.946332</v>
      </c>
      <c r="AV53" s="1" t="s">
        <v>62</v>
      </c>
      <c r="AW53" s="3">
        <v>1.8541669999999999</v>
      </c>
      <c r="AX53" s="3">
        <v>53</v>
      </c>
      <c r="AY53" s="2">
        <v>14.211830000000001</v>
      </c>
      <c r="AZ53" s="2">
        <v>9.6196870000000008</v>
      </c>
      <c r="BA53" s="2">
        <v>-7.5585899999999997</v>
      </c>
      <c r="BB53" s="2">
        <v>-15.102449999999999</v>
      </c>
      <c r="BC53" s="2">
        <v>3.232956E-2</v>
      </c>
      <c r="BD53" s="3">
        <v>37.9</v>
      </c>
      <c r="BE53" s="2">
        <v>22.440619999999999</v>
      </c>
      <c r="BF53" s="3">
        <v>56.06</v>
      </c>
      <c r="BG53" s="2">
        <v>-17.222629999999999</v>
      </c>
      <c r="BH53" s="2">
        <v>49.158459999999998</v>
      </c>
      <c r="BI53" s="2">
        <v>74.808710000000005</v>
      </c>
      <c r="BJ53" s="2">
        <v>65.547169999999994</v>
      </c>
      <c r="BK53" s="2">
        <v>58.43</v>
      </c>
      <c r="BL53" s="2">
        <v>21</v>
      </c>
      <c r="BM53" s="2">
        <v>19</v>
      </c>
      <c r="BN53" s="4">
        <v>24</v>
      </c>
      <c r="BO53" s="4">
        <v>0</v>
      </c>
      <c r="BP53" s="4">
        <v>3</v>
      </c>
      <c r="BQ53" s="4">
        <v>19</v>
      </c>
      <c r="BR53" s="2">
        <v>0</v>
      </c>
      <c r="BS53" s="4">
        <v>8</v>
      </c>
      <c r="BT53" s="4">
        <v>4</v>
      </c>
      <c r="BU53" s="4">
        <v>24</v>
      </c>
      <c r="BV53" s="2">
        <v>33.33334</v>
      </c>
      <c r="BW53" s="2">
        <v>9.4973200000000002</v>
      </c>
      <c r="BX53" s="2">
        <v>918.4787</v>
      </c>
      <c r="BY53" s="3">
        <v>3.2173129999999999</v>
      </c>
      <c r="BZ53" s="3">
        <v>0.35028720000000002</v>
      </c>
      <c r="CA53" s="2">
        <v>1.24011</v>
      </c>
      <c r="CB53" s="3">
        <v>0.35028720000000002</v>
      </c>
      <c r="CC53" s="3">
        <v>4.7932240000000004</v>
      </c>
      <c r="CD53" s="3">
        <v>4.5579409999999996</v>
      </c>
      <c r="CE53" s="2">
        <v>-4.9086569999999998</v>
      </c>
      <c r="CF53" s="3">
        <v>5209.7629999999999</v>
      </c>
      <c r="CG53" s="3">
        <v>5034.0569999999998</v>
      </c>
      <c r="CH53" s="2">
        <v>-3.3726389999999999</v>
      </c>
      <c r="CI53" s="3">
        <v>55.01905</v>
      </c>
      <c r="CJ53" s="2">
        <v>-3.669721</v>
      </c>
      <c r="CK53" s="3">
        <v>82717.03</v>
      </c>
      <c r="CL53" s="3">
        <v>83426.559999999998</v>
      </c>
      <c r="CM53" s="2">
        <v>0.85778239999999994</v>
      </c>
      <c r="CN53" s="3">
        <v>46.299840000000003</v>
      </c>
      <c r="CO53" s="3">
        <v>51.269309999999997</v>
      </c>
      <c r="CP53" s="3">
        <v>50.063270000000003</v>
      </c>
      <c r="CQ53" s="2">
        <v>0.22714139999999999</v>
      </c>
      <c r="CR53" s="2">
        <v>-9.4877610000000008</v>
      </c>
      <c r="CS53" s="2">
        <v>-7.3072970000000002</v>
      </c>
      <c r="CT53" s="2">
        <v>10.733230000000001</v>
      </c>
      <c r="CU53" s="2">
        <v>134.28399999999999</v>
      </c>
      <c r="CV53" s="3">
        <v>0.3150578</v>
      </c>
      <c r="CW53" s="2">
        <v>-83.189220000000006</v>
      </c>
      <c r="CX53" s="2">
        <v>-2.188933</v>
      </c>
      <c r="CY53" s="2">
        <v>-1.671368</v>
      </c>
      <c r="CZ53" s="2">
        <v>32.505049999999997</v>
      </c>
    </row>
    <row r="54" spans="1:104" ht="15" customHeight="1" x14ac:dyDescent="0.2">
      <c r="A54" s="1">
        <f t="shared" si="0"/>
        <v>48</v>
      </c>
      <c r="B54" s="1" t="s">
        <v>153</v>
      </c>
      <c r="C54" s="1" t="s">
        <v>152</v>
      </c>
      <c r="D54" s="1" t="s">
        <v>3</v>
      </c>
      <c r="E54" s="1" t="s">
        <v>133</v>
      </c>
      <c r="F54" s="1" t="s">
        <v>134</v>
      </c>
      <c r="G54" s="2">
        <v>46572.2</v>
      </c>
      <c r="H54" s="2">
        <v>63.143300000000004</v>
      </c>
      <c r="I54" s="2">
        <v>29407.22</v>
      </c>
      <c r="J54" s="3">
        <v>13.04</v>
      </c>
      <c r="K54" s="3">
        <v>0</v>
      </c>
      <c r="L54" s="2">
        <v>6.7484659999999996</v>
      </c>
      <c r="M54" s="2">
        <v>7.2085889999999999</v>
      </c>
      <c r="N54" s="2">
        <v>7.2147240000000004</v>
      </c>
      <c r="O54" s="2">
        <v>7.4686500000000002</v>
      </c>
      <c r="P54" s="2">
        <v>3.449735</v>
      </c>
      <c r="Q54" s="2">
        <v>4.862501</v>
      </c>
      <c r="R54" s="2">
        <v>5.7150749999999997</v>
      </c>
      <c r="S54" s="2">
        <v>5.7268340000000002</v>
      </c>
      <c r="T54" s="2">
        <v>2.1633170000000002</v>
      </c>
      <c r="U54" s="2">
        <v>2.5054400000000001</v>
      </c>
      <c r="V54" s="2">
        <v>2.684431</v>
      </c>
      <c r="W54" s="2">
        <v>2.8282219999999998</v>
      </c>
      <c r="X54" s="2">
        <v>0.82892500000000002</v>
      </c>
      <c r="Y54" s="2">
        <v>0.74286540000000001</v>
      </c>
      <c r="Z54" s="2">
        <v>0.68647650000000004</v>
      </c>
      <c r="AA54" s="2">
        <v>0.63167150000000005</v>
      </c>
      <c r="AB54" s="2">
        <v>2.5548820000000001</v>
      </c>
      <c r="AC54" s="2">
        <v>2.6245210000000001</v>
      </c>
      <c r="AD54" s="2">
        <v>2.6218319999999999</v>
      </c>
      <c r="AE54" s="2">
        <v>2.3510089999999999</v>
      </c>
      <c r="AF54" s="2">
        <v>12.73246</v>
      </c>
      <c r="AG54" s="2">
        <v>11.93271</v>
      </c>
      <c r="AH54" s="2">
        <v>10.04635</v>
      </c>
      <c r="AI54" s="2">
        <v>16.080960000000001</v>
      </c>
      <c r="AJ54" s="2">
        <v>14.48953</v>
      </c>
      <c r="AK54" s="2">
        <v>12.4716</v>
      </c>
      <c r="AL54" s="3" t="e">
        <v>#N/A</v>
      </c>
      <c r="AM54" s="3" t="e">
        <v>#N/A</v>
      </c>
      <c r="AN54" s="2">
        <v>20.772069999999999</v>
      </c>
      <c r="AO54" s="2">
        <v>21.429130000000001</v>
      </c>
      <c r="AP54" s="2">
        <v>20.401879999999998</v>
      </c>
      <c r="AQ54" s="2">
        <v>21.78407</v>
      </c>
      <c r="AR54" s="2">
        <v>0.43584689999999998</v>
      </c>
      <c r="AS54" s="2">
        <v>0.52170209999999995</v>
      </c>
      <c r="AT54" s="2">
        <v>0.47369339999999999</v>
      </c>
      <c r="AU54" s="2">
        <v>0.54997989999999997</v>
      </c>
      <c r="AV54" s="1" t="s">
        <v>37</v>
      </c>
      <c r="AW54" s="3">
        <v>1.461538</v>
      </c>
      <c r="AX54" s="3">
        <v>16.5</v>
      </c>
      <c r="AY54" s="2">
        <v>26.533750000000001</v>
      </c>
      <c r="AZ54" s="2">
        <v>15.27744</v>
      </c>
      <c r="BA54" s="2">
        <v>-4.7309570000000001</v>
      </c>
      <c r="BB54" s="2">
        <v>0.47773120000000002</v>
      </c>
      <c r="BC54" s="2">
        <v>-1.851577</v>
      </c>
      <c r="BD54" s="3">
        <v>10.423999999999999</v>
      </c>
      <c r="BE54" s="2">
        <v>25.095939999999999</v>
      </c>
      <c r="BF54" s="3">
        <v>14.98</v>
      </c>
      <c r="BG54" s="2">
        <v>-12.9506</v>
      </c>
      <c r="BH54" s="2">
        <v>23.206939999999999</v>
      </c>
      <c r="BI54" s="2">
        <v>33.279209999999999</v>
      </c>
      <c r="BJ54" s="2">
        <v>39.042140000000003</v>
      </c>
      <c r="BK54" s="2">
        <v>41.922739999999997</v>
      </c>
      <c r="BL54" s="2">
        <v>22</v>
      </c>
      <c r="BM54" s="2">
        <v>20</v>
      </c>
      <c r="BN54" s="4">
        <v>26</v>
      </c>
      <c r="BO54" s="4">
        <v>1</v>
      </c>
      <c r="BP54" s="4">
        <v>2</v>
      </c>
      <c r="BQ54" s="4">
        <v>21</v>
      </c>
      <c r="BR54" s="2">
        <v>4.1666670000000003</v>
      </c>
      <c r="BS54" s="4">
        <v>15</v>
      </c>
      <c r="BT54" s="4">
        <v>0</v>
      </c>
      <c r="BU54" s="4">
        <v>26</v>
      </c>
      <c r="BV54" s="2">
        <v>57.692309999999999</v>
      </c>
      <c r="BW54" s="2">
        <v>10.8588</v>
      </c>
      <c r="BX54" s="2">
        <v>3571.4879999999998</v>
      </c>
      <c r="BY54" s="3">
        <v>12.922929999999999</v>
      </c>
      <c r="BZ54" s="3">
        <v>0.36183589999999999</v>
      </c>
      <c r="CA54" s="2">
        <v>1.1680200000000001</v>
      </c>
      <c r="CB54" s="3">
        <v>0.36183589999999999</v>
      </c>
      <c r="CC54" s="3">
        <v>2.855934</v>
      </c>
      <c r="CD54" s="3">
        <v>2.7767490000000001</v>
      </c>
      <c r="CE54" s="2">
        <v>-2.7726410000000001</v>
      </c>
      <c r="CF54" s="3">
        <v>17604.72</v>
      </c>
      <c r="CG54" s="3">
        <v>15327.9</v>
      </c>
      <c r="CH54" s="2">
        <v>-12.93303</v>
      </c>
      <c r="CI54" s="3">
        <v>17.111789999999999</v>
      </c>
      <c r="CJ54" s="2">
        <v>-3.5752709999999999</v>
      </c>
      <c r="CK54" s="3">
        <v>111359.7</v>
      </c>
      <c r="CL54" s="3">
        <v>105544</v>
      </c>
      <c r="CM54" s="2">
        <v>-5.2224399999999997</v>
      </c>
      <c r="CN54" s="3">
        <v>12.762269999999999</v>
      </c>
      <c r="CO54" s="3">
        <v>13.95839</v>
      </c>
      <c r="CP54" s="3">
        <v>13.831379999999999</v>
      </c>
      <c r="CQ54" s="2">
        <v>2.1762130000000002</v>
      </c>
      <c r="CR54" s="2">
        <v>-6.5795060000000003</v>
      </c>
      <c r="CS54" s="2">
        <v>-5.7216589999999998</v>
      </c>
      <c r="CT54" s="2">
        <v>9.3723659999999995</v>
      </c>
      <c r="CU54" s="2">
        <v>161.0718</v>
      </c>
      <c r="CV54" s="3">
        <v>0.34585389999999999</v>
      </c>
      <c r="CW54" s="2">
        <v>-1.402577</v>
      </c>
      <c r="CX54" s="2">
        <v>42.295760000000001</v>
      </c>
      <c r="CY54" s="2">
        <v>-3.5365419999999999</v>
      </c>
      <c r="CZ54" s="2">
        <v>32.686869999999999</v>
      </c>
    </row>
    <row r="55" spans="1:104" ht="15" customHeight="1" x14ac:dyDescent="0.2">
      <c r="A55" s="1">
        <f t="shared" si="0"/>
        <v>49</v>
      </c>
      <c r="B55" s="1" t="s">
        <v>155</v>
      </c>
      <c r="C55" s="1" t="s">
        <v>154</v>
      </c>
      <c r="D55" s="1" t="s">
        <v>35</v>
      </c>
      <c r="E55" s="1" t="s">
        <v>114</v>
      </c>
      <c r="F55" s="1" t="s">
        <v>156</v>
      </c>
      <c r="G55" s="2">
        <v>71153.55</v>
      </c>
      <c r="H55" s="2">
        <v>66.742500000000007</v>
      </c>
      <c r="I55" s="2">
        <v>47489.66</v>
      </c>
      <c r="J55" s="3">
        <v>158.94999999999999</v>
      </c>
      <c r="K55" s="3">
        <v>0</v>
      </c>
      <c r="L55" s="2">
        <v>2.0320860000000001</v>
      </c>
      <c r="M55" s="2">
        <v>2.1579109999999999</v>
      </c>
      <c r="N55" s="2">
        <v>2.3969800000000001</v>
      </c>
      <c r="O55" s="2">
        <v>2.6200760000000001</v>
      </c>
      <c r="P55" s="2">
        <v>32.908900000000003</v>
      </c>
      <c r="Q55" s="2">
        <v>23.54815</v>
      </c>
      <c r="R55" s="2">
        <v>21.19333</v>
      </c>
      <c r="S55" s="2">
        <v>19.336980000000001</v>
      </c>
      <c r="T55" s="2">
        <v>13.55203</v>
      </c>
      <c r="U55" s="2">
        <v>11.92338</v>
      </c>
      <c r="V55" s="2">
        <v>10.905749999999999</v>
      </c>
      <c r="W55" s="2">
        <v>9.8478349999999999</v>
      </c>
      <c r="X55" s="2">
        <v>1.883893</v>
      </c>
      <c r="Y55" s="2">
        <v>1.83545</v>
      </c>
      <c r="Z55" s="2">
        <v>1.762257</v>
      </c>
      <c r="AA55" s="2">
        <v>1.700156</v>
      </c>
      <c r="AB55" s="2">
        <v>13.711349999999999</v>
      </c>
      <c r="AC55" s="2">
        <v>12.569000000000001</v>
      </c>
      <c r="AD55" s="2">
        <v>11.50653</v>
      </c>
      <c r="AE55" s="2">
        <v>10.8314</v>
      </c>
      <c r="AF55" s="2">
        <v>4.0115990000000004</v>
      </c>
      <c r="AG55" s="2">
        <v>4.6490679999999998</v>
      </c>
      <c r="AH55" s="2">
        <v>5.3938990000000002</v>
      </c>
      <c r="AI55" s="2">
        <v>4.377586</v>
      </c>
      <c r="AJ55" s="2">
        <v>4.9630200000000002</v>
      </c>
      <c r="AK55" s="2">
        <v>5.6049449999999998</v>
      </c>
      <c r="AL55" s="3">
        <v>1.062934</v>
      </c>
      <c r="AM55" s="3">
        <v>0.96605779999999997</v>
      </c>
      <c r="AN55" s="2">
        <v>25.281700000000001</v>
      </c>
      <c r="AO55" s="2">
        <v>25.68186</v>
      </c>
      <c r="AP55" s="2">
        <v>26.098849999999999</v>
      </c>
      <c r="AQ55" s="2">
        <v>26.78415</v>
      </c>
      <c r="AR55" s="2">
        <v>1.320791</v>
      </c>
      <c r="AS55" s="2">
        <v>0.99685199999999996</v>
      </c>
      <c r="AT55" s="2">
        <v>0.68987799999999999</v>
      </c>
      <c r="AU55" s="2">
        <v>0.37080449999999998</v>
      </c>
      <c r="AV55" s="1" t="s">
        <v>6</v>
      </c>
      <c r="AW55" s="3">
        <v>1.470588</v>
      </c>
      <c r="AX55" s="3">
        <v>185</v>
      </c>
      <c r="AY55" s="2">
        <v>16.388809999999999</v>
      </c>
      <c r="AZ55" s="2">
        <v>7.7944570000000004</v>
      </c>
      <c r="BA55" s="2">
        <v>22.04278</v>
      </c>
      <c r="BB55" s="2">
        <v>0.29656890000000002</v>
      </c>
      <c r="BC55" s="2">
        <v>-6.0579179999999999</v>
      </c>
      <c r="BD55" s="3">
        <v>132.69999999999999</v>
      </c>
      <c r="BE55" s="2">
        <v>19.781459999999999</v>
      </c>
      <c r="BF55" s="3">
        <v>184.7</v>
      </c>
      <c r="BG55" s="2">
        <v>-13.94153</v>
      </c>
      <c r="BH55" s="2">
        <v>68.612840000000006</v>
      </c>
      <c r="BI55" s="2">
        <v>50.960169999999998</v>
      </c>
      <c r="BJ55" s="2">
        <v>51.1492</v>
      </c>
      <c r="BK55" s="2">
        <v>51.365499999999997</v>
      </c>
      <c r="BL55" s="2">
        <v>16</v>
      </c>
      <c r="BM55" s="2">
        <v>14</v>
      </c>
      <c r="BN55" s="4">
        <v>17</v>
      </c>
      <c r="BO55" s="4">
        <v>0</v>
      </c>
      <c r="BP55" s="4">
        <v>2</v>
      </c>
      <c r="BQ55" s="4">
        <v>13</v>
      </c>
      <c r="BR55" s="2">
        <v>0</v>
      </c>
      <c r="BS55" s="4">
        <v>11</v>
      </c>
      <c r="BT55" s="4">
        <v>1</v>
      </c>
      <c r="BU55" s="4">
        <v>17</v>
      </c>
      <c r="BV55" s="2">
        <v>64.705889999999997</v>
      </c>
      <c r="BW55" s="2">
        <v>7.83744</v>
      </c>
      <c r="BX55" s="2">
        <v>447.64729999999997</v>
      </c>
      <c r="BY55" s="3">
        <v>0.50640549999999995</v>
      </c>
      <c r="BZ55" s="3">
        <v>0.113126</v>
      </c>
      <c r="CA55" s="2">
        <v>0.93509900000000001</v>
      </c>
      <c r="CB55" s="3">
        <v>0.113126</v>
      </c>
      <c r="CC55" s="3">
        <v>6.8911249999999997</v>
      </c>
      <c r="CD55" s="3">
        <v>6.7840290000000003</v>
      </c>
      <c r="CE55" s="2">
        <v>-1.5541199999999999</v>
      </c>
      <c r="CF55" s="3">
        <v>4487.2640000000001</v>
      </c>
      <c r="CG55" s="3">
        <v>4376.3029999999999</v>
      </c>
      <c r="CH55" s="2">
        <v>-2.4727999999999999</v>
      </c>
      <c r="CI55" s="3">
        <v>185.78819999999999</v>
      </c>
      <c r="CJ55" s="2">
        <v>-0.42426589999999997</v>
      </c>
      <c r="CK55" s="3">
        <v>25746.2</v>
      </c>
      <c r="CL55" s="3">
        <v>25421.57</v>
      </c>
      <c r="CM55" s="2">
        <v>-1.260883</v>
      </c>
      <c r="CN55" s="3">
        <v>160.3674</v>
      </c>
      <c r="CO55" s="3">
        <v>169.9657</v>
      </c>
      <c r="CP55" s="3">
        <v>167.69229999999999</v>
      </c>
      <c r="CQ55" s="2">
        <v>-0.88382959999999999</v>
      </c>
      <c r="CR55" s="2">
        <v>-6.4811170000000002</v>
      </c>
      <c r="CS55" s="2">
        <v>-5.2133139999999996</v>
      </c>
      <c r="CT55" s="2">
        <v>5.985188</v>
      </c>
      <c r="CU55" s="2">
        <v>83.646870000000007</v>
      </c>
      <c r="CV55" s="3">
        <v>0.1175583</v>
      </c>
      <c r="CW55" s="2" t="e">
        <v>#N/A</v>
      </c>
      <c r="CX55" s="2">
        <v>-0.40793439999999997</v>
      </c>
      <c r="CY55" s="2" t="e">
        <v>#N/A</v>
      </c>
      <c r="CZ55" s="2">
        <v>33.74747</v>
      </c>
    </row>
    <row r="56" spans="1:104" ht="15" customHeight="1" x14ac:dyDescent="0.2">
      <c r="A56" s="1">
        <f t="shared" si="0"/>
        <v>50</v>
      </c>
      <c r="B56" s="1" t="s">
        <v>158</v>
      </c>
      <c r="C56" s="1" t="s">
        <v>157</v>
      </c>
      <c r="D56" s="1" t="s">
        <v>46</v>
      </c>
      <c r="E56" s="1" t="s">
        <v>95</v>
      </c>
      <c r="F56" s="1" t="s">
        <v>96</v>
      </c>
      <c r="G56" s="2">
        <v>42017.42</v>
      </c>
      <c r="H56" s="2">
        <v>95.275700000000001</v>
      </c>
      <c r="I56" s="2">
        <v>40032.39</v>
      </c>
      <c r="J56" s="3">
        <v>1356</v>
      </c>
      <c r="K56" s="3">
        <v>0</v>
      </c>
      <c r="L56" s="2">
        <v>0</v>
      </c>
      <c r="M56" s="2">
        <v>0</v>
      </c>
      <c r="N56" s="2">
        <v>0</v>
      </c>
      <c r="O56" s="2">
        <v>0</v>
      </c>
      <c r="P56" s="2">
        <v>74.620679999999993</v>
      </c>
      <c r="Q56" s="2">
        <v>60.533070000000002</v>
      </c>
      <c r="R56" s="2">
        <v>44.371729999999999</v>
      </c>
      <c r="S56" s="2">
        <v>32.646299999999997</v>
      </c>
      <c r="T56" s="2">
        <v>47.953409999999998</v>
      </c>
      <c r="U56" s="2">
        <v>45.648110000000003</v>
      </c>
      <c r="V56" s="2">
        <v>32.19021</v>
      </c>
      <c r="W56" s="2">
        <v>19.294129999999999</v>
      </c>
      <c r="X56" s="2">
        <v>17.431470000000001</v>
      </c>
      <c r="Y56" s="2">
        <v>13.622909999999999</v>
      </c>
      <c r="Z56" s="2">
        <v>10.600899999999999</v>
      </c>
      <c r="AA56" s="2">
        <v>8.0122169999999997</v>
      </c>
      <c r="AB56" s="2">
        <v>70.335669999999993</v>
      </c>
      <c r="AC56" s="2">
        <v>55.144370000000002</v>
      </c>
      <c r="AD56" s="2">
        <v>41.544119999999999</v>
      </c>
      <c r="AE56" s="2">
        <v>31.44631</v>
      </c>
      <c r="AF56" s="2">
        <v>2.5066389999999998</v>
      </c>
      <c r="AG56" s="2">
        <v>3.4821110000000002</v>
      </c>
      <c r="AH56" s="2">
        <v>6.5825620000000002</v>
      </c>
      <c r="AI56" s="2">
        <v>2.3362579999999999</v>
      </c>
      <c r="AJ56" s="2">
        <v>3.1734960000000001</v>
      </c>
      <c r="AK56" s="2">
        <v>5.0460459999999996</v>
      </c>
      <c r="AL56" s="3">
        <v>1.7338819999999999</v>
      </c>
      <c r="AM56" s="3">
        <v>1.268743</v>
      </c>
      <c r="AN56" s="2">
        <v>56.023069999999997</v>
      </c>
      <c r="AO56" s="2">
        <v>49.90681</v>
      </c>
      <c r="AP56" s="2">
        <v>52.975879999999997</v>
      </c>
      <c r="AQ56" s="2">
        <v>58.205840000000002</v>
      </c>
      <c r="AR56" s="2">
        <v>-6.8392150000000003</v>
      </c>
      <c r="AS56" s="2">
        <v>-3.3290670000000002</v>
      </c>
      <c r="AT56" s="2">
        <v>-3.1304249999999998</v>
      </c>
      <c r="AU56" s="2">
        <v>-5.8750450000000001</v>
      </c>
      <c r="AV56" s="1" t="s">
        <v>6</v>
      </c>
      <c r="AW56" s="3">
        <v>1.469697</v>
      </c>
      <c r="AX56" s="3">
        <v>1625</v>
      </c>
      <c r="AY56" s="2">
        <v>19.837759999999999</v>
      </c>
      <c r="AZ56" s="2">
        <v>22.504899999999999</v>
      </c>
      <c r="BA56" s="2">
        <v>29</v>
      </c>
      <c r="BB56" s="2">
        <v>-16.635929999999998</v>
      </c>
      <c r="BC56" s="2">
        <v>5.2468180000000002</v>
      </c>
      <c r="BD56" s="3">
        <v>1148</v>
      </c>
      <c r="BE56" s="2">
        <v>18.118469999999999</v>
      </c>
      <c r="BF56" s="3">
        <v>1934.8</v>
      </c>
      <c r="BG56" s="2">
        <v>-29.915240000000001</v>
      </c>
      <c r="BH56" s="2">
        <v>0</v>
      </c>
      <c r="BI56" s="2">
        <v>0</v>
      </c>
      <c r="BJ56" s="2">
        <v>3.470812</v>
      </c>
      <c r="BK56" s="2">
        <v>7.9471410000000002</v>
      </c>
      <c r="BL56" s="2">
        <v>30</v>
      </c>
      <c r="BM56" s="2">
        <v>27</v>
      </c>
      <c r="BN56" s="4">
        <v>33</v>
      </c>
      <c r="BO56" s="4">
        <v>1</v>
      </c>
      <c r="BP56" s="4">
        <v>2</v>
      </c>
      <c r="BQ56" s="4">
        <v>31</v>
      </c>
      <c r="BR56" s="2">
        <v>2.941176</v>
      </c>
      <c r="BS56" s="4">
        <v>20</v>
      </c>
      <c r="BT56" s="4">
        <v>1</v>
      </c>
      <c r="BU56" s="4">
        <v>33</v>
      </c>
      <c r="BV56" s="2">
        <v>60.606059999999999</v>
      </c>
      <c r="BW56" s="2">
        <v>12.2638</v>
      </c>
      <c r="BX56" s="2">
        <v>30.9863</v>
      </c>
      <c r="BY56" s="3">
        <v>9.0539560000000005E-2</v>
      </c>
      <c r="BZ56" s="3">
        <v>0.29219230000000002</v>
      </c>
      <c r="CA56" s="2">
        <v>1.4441299999999999</v>
      </c>
      <c r="CB56" s="3">
        <v>0.29219230000000002</v>
      </c>
      <c r="CC56" s="3">
        <v>25.58257</v>
      </c>
      <c r="CD56" s="3">
        <v>22.881589999999999</v>
      </c>
      <c r="CE56" s="2">
        <v>-10.557869999999999</v>
      </c>
      <c r="CF56" s="3">
        <v>994.26390000000004</v>
      </c>
      <c r="CG56" s="3">
        <v>787.57709999999997</v>
      </c>
      <c r="CH56" s="2">
        <v>-20.78792</v>
      </c>
      <c r="CI56" s="3">
        <v>1781.5619999999999</v>
      </c>
      <c r="CJ56" s="2">
        <v>-8.7879299999999994</v>
      </c>
      <c r="CK56" s="3">
        <v>1757.5039999999999</v>
      </c>
      <c r="CL56" s="3">
        <v>1730.0920000000001</v>
      </c>
      <c r="CM56" s="2">
        <v>-1.5597110000000001</v>
      </c>
      <c r="CN56" s="3">
        <v>1434.1949999999999</v>
      </c>
      <c r="CO56" s="3">
        <v>1377.357</v>
      </c>
      <c r="CP56" s="3">
        <v>1379.538</v>
      </c>
      <c r="CQ56" s="2">
        <v>-5.4521740000000003</v>
      </c>
      <c r="CR56" s="2">
        <v>-1.550567</v>
      </c>
      <c r="CS56" s="2">
        <v>-1.7062489999999999</v>
      </c>
      <c r="CT56" s="2">
        <v>-3.9630589999999999</v>
      </c>
      <c r="CU56" s="2">
        <v>126.4462</v>
      </c>
      <c r="CV56" s="3">
        <v>0.30093750000000002</v>
      </c>
      <c r="CW56" s="2">
        <v>-13.573740000000001</v>
      </c>
      <c r="CX56" s="2" t="e">
        <v>#N/A</v>
      </c>
      <c r="CY56" s="2" t="e">
        <v>#N/A</v>
      </c>
      <c r="CZ56" s="2">
        <v>34.343429999999998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figaresdurcudoy figaresdurcudoy</cp:lastModifiedBy>
  <dcterms:created xsi:type="dcterms:W3CDTF">2023-03-15T05:45:01Z</dcterms:created>
  <dcterms:modified xsi:type="dcterms:W3CDTF">2023-03-15T05:45:01Z</dcterms:modified>
  <cp:category/>
</cp:coreProperties>
</file>