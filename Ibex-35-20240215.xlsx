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7AE0A606-A194-4ADB-8607-E480FA86879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<sst xmlns="http://schemas.openxmlformats.org/spreadsheetml/2006/main" count="380" uniqueCount="311">
  <si>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</si>
  <si>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BBVA-ES</t>
  </si>
  <si>
    <t>Banco Bilbao Vizcaya Argentaria, S.A.</t>
  </si>
  <si>
    <t>Finance</t>
  </si>
  <si>
    <t>Major Banks</t>
  </si>
  <si>
    <t>Overweight (1.50)</t>
  </si>
  <si>
    <t>FER-ES</t>
  </si>
  <si>
    <t>Ferrovial SE</t>
  </si>
  <si>
    <t>Industrial Services</t>
  </si>
  <si>
    <t>Engineering &amp; Construction</t>
  </si>
  <si>
    <t>Overweight (1.25)</t>
  </si>
  <si>
    <t>CABK-ES</t>
  </si>
  <si>
    <t>CaixaBank SA</t>
  </si>
  <si>
    <t>Regional Banks</t>
  </si>
  <si>
    <t>Buy (1.00)</t>
  </si>
  <si>
    <t>SCYR-ES</t>
  </si>
  <si>
    <t>Sacyr SA</t>
  </si>
  <si>
    <t>SAN-ES</t>
  </si>
  <si>
    <t>Banco Santander, S.A.</t>
  </si>
  <si>
    <t>ROVI-ES</t>
  </si>
  <si>
    <t>Laboratorios Farmaceuticos Rovi, S.A.</t>
  </si>
  <si>
    <t>Health Technology</t>
  </si>
  <si>
    <t>Pharmaceuticals: Major</t>
  </si>
  <si>
    <t>AENA-ES</t>
  </si>
  <si>
    <t>Aena SME SA</t>
  </si>
  <si>
    <t>Transportation</t>
  </si>
  <si>
    <t>Other Transportation</t>
  </si>
  <si>
    <t>MRL-ES</t>
  </si>
  <si>
    <t>MERLIN Properties SOCIMI, S.A.</t>
  </si>
  <si>
    <t>Real Estate Investment Trusts</t>
  </si>
  <si>
    <t>BKT-ES</t>
  </si>
  <si>
    <t>Bankinter SA</t>
  </si>
  <si>
    <t>ACX-ES</t>
  </si>
  <si>
    <t>Acerinox SA</t>
  </si>
  <si>
    <t>Non-Energy Minerals</t>
  </si>
  <si>
    <t>Steel</t>
  </si>
  <si>
    <t>IDR-ES</t>
  </si>
  <si>
    <t>Indra Sistemas, S.A. Class A</t>
  </si>
  <si>
    <t>Technology Services</t>
  </si>
  <si>
    <t>Information Technology Services</t>
  </si>
  <si>
    <t>MTS-ES</t>
  </si>
  <si>
    <t>ArcelorMittal SA</t>
  </si>
  <si>
    <t>LOG-ES</t>
  </si>
  <si>
    <t>Compania de Distribucion Integral Logista Holdings S.A.</t>
  </si>
  <si>
    <t>Air Freight/Couriers</t>
  </si>
  <si>
    <t>ITX-ES</t>
  </si>
  <si>
    <t>Industria de Diseno Textil, S.A.</t>
  </si>
  <si>
    <t>Retail Trade</t>
  </si>
  <si>
    <t>Apparel/Footwear Retail</t>
  </si>
  <si>
    <t>GRF-ES</t>
  </si>
  <si>
    <t>Grifols, S.A. Class A</t>
  </si>
  <si>
    <t>IAG-ES</t>
  </si>
  <si>
    <t>International Consolidated Airlines Group SA</t>
  </si>
  <si>
    <t>Airlines</t>
  </si>
  <si>
    <t>SAB-ES</t>
  </si>
  <si>
    <t>Banco de Sabadell SA</t>
  </si>
  <si>
    <t>REP-ES</t>
  </si>
  <si>
    <t>Repsol SA</t>
  </si>
  <si>
    <t>Energy Minerals</t>
  </si>
  <si>
    <t>Integrated Oil</t>
  </si>
  <si>
    <t>UNI-ES</t>
  </si>
  <si>
    <t>Unicaja Banco S.A.</t>
  </si>
  <si>
    <t>AMS-ES</t>
  </si>
  <si>
    <t>Amadeus IT Group SA Class A</t>
  </si>
  <si>
    <t>TEF-ES</t>
  </si>
  <si>
    <t>Telefonica SA</t>
  </si>
  <si>
    <t>Communications</t>
  </si>
  <si>
    <t>Specialty Telecommunications</t>
  </si>
  <si>
    <t>Hold (2.00)</t>
  </si>
  <si>
    <t>IBE-ES</t>
  </si>
  <si>
    <t>Iberdrola SA</t>
  </si>
  <si>
    <t>Utilities</t>
  </si>
  <si>
    <t>Electric Utilities</t>
  </si>
  <si>
    <t>CLNX-ES</t>
  </si>
  <si>
    <t>Cellnex Telecom S.A.</t>
  </si>
  <si>
    <t>MEL-ES</t>
  </si>
  <si>
    <t>Melia Hotels International, S.A.</t>
  </si>
  <si>
    <t>Consumer Services</t>
  </si>
  <si>
    <t>Hotels/Resorts/Cruiselines</t>
  </si>
  <si>
    <t>ACS-ES</t>
  </si>
  <si>
    <t>ACS Actividades de Construccion y Servicios SA</t>
  </si>
  <si>
    <t>RED-ES</t>
  </si>
  <si>
    <t>Redeia Corporacion SA</t>
  </si>
  <si>
    <t>ANA-ES</t>
  </si>
  <si>
    <t>Acciona SA</t>
  </si>
  <si>
    <t>MAP-ES</t>
  </si>
  <si>
    <t>Mapfre SA</t>
  </si>
  <si>
    <t>Multi-Line Insurance</t>
  </si>
  <si>
    <t>SLR-ES</t>
  </si>
  <si>
    <t>Solaria Energia y Medio Ambiente, S.A.</t>
  </si>
  <si>
    <t>Alternative Power Generation</t>
  </si>
  <si>
    <t>ENG-ES</t>
  </si>
  <si>
    <t>Enagas SA</t>
  </si>
  <si>
    <t>Gas Distributors</t>
  </si>
  <si>
    <t>FDR-ES</t>
  </si>
  <si>
    <t>Fluidra, S.A.</t>
  </si>
  <si>
    <t>Consumer Durables</t>
  </si>
  <si>
    <t>Recreational Products</t>
  </si>
  <si>
    <t>ELE-ES</t>
  </si>
  <si>
    <t>Endesa S.A.</t>
  </si>
  <si>
    <t>COL-ES</t>
  </si>
  <si>
    <t>Inmobiliaria Colonial SOCIMI SA</t>
  </si>
  <si>
    <t>Hold (1.75)</t>
  </si>
  <si>
    <t>ANE-ES</t>
  </si>
  <si>
    <t>Corporacion Acciona Energias Renovables SA</t>
  </si>
  <si>
    <t>NTGY-ES</t>
  </si>
  <si>
    <t>Naturgy Energy Group, S.A.</t>
  </si>
  <si>
    <t>Sell (3.00)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</si>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</sst>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72C8-B27E-4EEB-B9EC-E2001DCCFF5B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53627.32</v>
      </c>
      <c r="G7" s="2">
        <v>99.837599999999995</v>
      </c>
      <c r="H7" s="2">
        <v>53540.23</v>
      </c>
      <c r="I7" s="3">
        <v>9.1859999999999999</v>
      </c>
      <c r="J7" s="3">
        <v>0</v>
      </c>
      <c r="K7" s="2">
        <v>5.9873719999999997</v>
      </c>
      <c r="L7" s="2">
        <v>7.0766010000000001</v>
      </c>
      <c r="M7" s="2">
        <v>6.9126940000000001</v>
      </c>
      <c r="N7" s="2">
        <v>7.0759850000000002</v>
      </c>
      <c r="O7" s="2">
        <v>6.9590909999999999</v>
      </c>
      <c r="P7" s="2">
        <v>6.5849460000000004</v>
      </c>
      <c r="Q7" s="2">
        <v>6.7544120000000003</v>
      </c>
      <c r="R7" s="2">
        <v>6.9885250000000001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1.0367949999999999</v>
      </c>
      <c r="X7" s="2">
        <v>0.96796629999999995</v>
      </c>
      <c r="Y7" s="2">
        <v>0.90995539999999997</v>
      </c>
      <c r="Z7" s="2">
        <v>0.84585639999999995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 t="e">
        <v>#N/A</v>
      </c>
      <c r="AL7" s="3" t="e">
        <v>#N/A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1.5</v>
      </c>
      <c r="AW7" s="3">
        <v>10.5</v>
      </c>
      <c r="AX7" s="2">
        <v>14.30438</v>
      </c>
      <c r="AY7" s="2">
        <v>14.699680000000001</v>
      </c>
      <c r="AZ7" s="2" t="e">
        <v>#N/A</v>
      </c>
      <c r="BA7" s="2">
        <v>33.614539999999998</v>
      </c>
      <c r="BB7" s="2">
        <v>11.670310000000001</v>
      </c>
      <c r="BC7" s="3">
        <v>5.7350000000000003</v>
      </c>
      <c r="BD7" s="2">
        <v>60.17436</v>
      </c>
      <c r="BE7" s="3">
        <v>9.36</v>
      </c>
      <c r="BF7" s="2">
        <v>-1.8589739999999999</v>
      </c>
      <c r="BG7" s="2">
        <v>43.752160000000003</v>
      </c>
      <c r="BH7" s="2">
        <v>46.240160000000003</v>
      </c>
      <c r="BI7" s="2">
        <v>47.670299999999997</v>
      </c>
      <c r="BJ7" s="2">
        <v>47.91283</v>
      </c>
      <c r="BK7" s="2">
        <v>24</v>
      </c>
      <c r="BL7" s="2">
        <v>15</v>
      </c>
      <c r="BM7" s="4">
        <v>26</v>
      </c>
      <c r="BN7" s="4">
        <v>2</v>
      </c>
      <c r="BO7" s="4">
        <v>2</v>
      </c>
      <c r="BP7" s="4">
        <v>22</v>
      </c>
      <c r="BQ7" s="2">
        <v>7.6923079999999997</v>
      </c>
      <c r="BR7" s="4">
        <v>14</v>
      </c>
      <c r="BS7" s="4">
        <v>0</v>
      </c>
      <c r="BT7" s="4">
        <v>26</v>
      </c>
      <c r="BU7" s="2">
        <v>53.846159999999998</v>
      </c>
      <c r="BV7" s="2">
        <v>8.8797800000000002</v>
      </c>
      <c r="BW7" s="2">
        <v>5837.94</v>
      </c>
      <c r="BX7" s="3">
        <v>15.443860000000001</v>
      </c>
      <c r="BY7" s="3">
        <v>0.26454299999999997</v>
      </c>
      <c r="BZ7" s="2">
        <v>1.4847699999999999</v>
      </c>
      <c r="CA7" s="3">
        <v>0.26454299999999997</v>
      </c>
      <c r="CB7" s="3">
        <v>1.301161</v>
      </c>
      <c r="CC7" s="3">
        <v>1.374644</v>
      </c>
      <c r="CD7" s="2">
        <v>5.6474570000000002</v>
      </c>
      <c r="CE7" s="3">
        <v>17326.830000000002</v>
      </c>
      <c r="CF7" s="3">
        <v>19279.169999999998</v>
      </c>
      <c r="CG7" s="2">
        <v>11.26773</v>
      </c>
      <c r="CH7" s="3">
        <v>9.4903999999999993</v>
      </c>
      <c r="CI7" s="2">
        <v>10.638120000000001</v>
      </c>
      <c r="CJ7" s="3">
        <v>30599.89</v>
      </c>
      <c r="CK7" s="3">
        <v>31480.35</v>
      </c>
      <c r="CL7" s="2">
        <v>2.8773070000000001</v>
      </c>
      <c r="CM7" s="3">
        <v>7.5478719999999999</v>
      </c>
      <c r="CN7" s="3">
        <v>8.4531369999999999</v>
      </c>
      <c r="CO7" s="3">
        <v>8.5497700000000005</v>
      </c>
      <c r="CP7" s="2">
        <v>21.70317</v>
      </c>
      <c r="CQ7" s="2">
        <v>8.6697100000000002</v>
      </c>
      <c r="CR7" s="2">
        <v>7.4414850000000001</v>
      </c>
      <c r="CS7" s="2">
        <v>11.993650000000001</v>
      </c>
      <c r="CT7" s="2">
        <v>86.100790000000003</v>
      </c>
      <c r="CU7" s="3">
        <v>0.160554</v>
      </c>
      <c r="CV7" s="2">
        <v>12.061299999999999</v>
      </c>
      <c r="CW7" s="2">
        <v>1.8441350000000001</v>
      </c>
      <c r="CX7" s="2">
        <v>6.7883630000000004</v>
      </c>
      <c r="CY7" s="2">
        <v>9.1111109999999993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26190.74</v>
      </c>
      <c r="G8" s="2">
        <v>66.3108</v>
      </c>
      <c r="H8" s="2">
        <v>17367.29</v>
      </c>
      <c r="I8" s="3">
        <v>35.36</v>
      </c>
      <c r="J8" s="3">
        <v>0</v>
      </c>
      <c r="K8" s="2">
        <v>2.0361989999999999</v>
      </c>
      <c r="L8" s="2">
        <v>2.0361989999999999</v>
      </c>
      <c r="M8" s="2">
        <v>2.121041</v>
      </c>
      <c r="N8" s="2">
        <v>2.2624439999999999</v>
      </c>
      <c r="O8" s="2">
        <v>138.66669999999999</v>
      </c>
      <c r="P8" s="2">
        <v>88.87012</v>
      </c>
      <c r="Q8" s="2">
        <v>52</v>
      </c>
      <c r="R8" s="2">
        <v>42.705309999999997</v>
      </c>
      <c r="S8" s="2">
        <v>32.491799999999998</v>
      </c>
      <c r="T8" s="2">
        <v>31.070709999999998</v>
      </c>
      <c r="U8" s="2">
        <v>25.472280000000001</v>
      </c>
      <c r="V8" s="2">
        <v>21.425080000000001</v>
      </c>
      <c r="W8" s="2">
        <v>6.24735</v>
      </c>
      <c r="X8" s="2">
        <v>6.6217949999999997</v>
      </c>
      <c r="Y8" s="2">
        <v>6.6847640000000004</v>
      </c>
      <c r="Z8" s="2">
        <v>6.3369179999999998</v>
      </c>
      <c r="AA8" s="2">
        <v>48.43835</v>
      </c>
      <c r="AB8" s="2">
        <v>39.210819999999998</v>
      </c>
      <c r="AC8" s="2">
        <v>25.818149999999999</v>
      </c>
      <c r="AD8" s="2">
        <v>22.379750000000001</v>
      </c>
      <c r="AE8" s="2">
        <v>1.372484</v>
      </c>
      <c r="AF8" s="2">
        <v>1.890865</v>
      </c>
      <c r="AG8" s="2">
        <v>3.0338829999999999</v>
      </c>
      <c r="AH8" s="2">
        <v>1.706545</v>
      </c>
      <c r="AI8" s="2">
        <v>2.3314759999999999</v>
      </c>
      <c r="AJ8" s="2">
        <v>3.6656749999999998</v>
      </c>
      <c r="AK8" s="3">
        <v>2.1529530000000001</v>
      </c>
      <c r="AL8" s="3">
        <v>1.3325100000000001</v>
      </c>
      <c r="AM8" s="2">
        <v>9.6411079999999991</v>
      </c>
      <c r="AN8" s="2">
        <v>11.84653</v>
      </c>
      <c r="AO8" s="2">
        <v>14.607659999999999</v>
      </c>
      <c r="AP8" s="2">
        <v>16.38017</v>
      </c>
      <c r="AQ8" s="2">
        <v>8.0405219999999993</v>
      </c>
      <c r="AR8" s="2">
        <v>6.4240740000000001</v>
      </c>
      <c r="AS8" s="2">
        <v>4.8138540000000001</v>
      </c>
      <c r="AT8" s="2">
        <v>3.692688</v>
      </c>
      <c r="AU8" s="1" t="s">
        <v>10</v>
      </c>
      <c r="AV8" s="3">
        <v>1.568182</v>
      </c>
      <c r="AW8" s="3">
        <v>37.6</v>
      </c>
      <c r="AX8" s="2">
        <v>6.3348409999999999</v>
      </c>
      <c r="AY8" s="2">
        <v>7.451092</v>
      </c>
      <c r="AZ8" s="2">
        <v>38.495530000000002</v>
      </c>
      <c r="BA8" s="2">
        <v>28.816030000000001</v>
      </c>
      <c r="BB8" s="2">
        <v>7.0866110000000004</v>
      </c>
      <c r="BC8" s="3">
        <v>25.38</v>
      </c>
      <c r="BD8" s="2">
        <v>39.322299999999998</v>
      </c>
      <c r="BE8" s="3">
        <v>36.1</v>
      </c>
      <c r="BF8" s="2">
        <v>-2.0498569999999998</v>
      </c>
      <c r="BG8" s="2">
        <v>314.09269999999998</v>
      </c>
      <c r="BH8" s="2">
        <v>173.5573</v>
      </c>
      <c r="BI8" s="2">
        <v>113.39490000000001</v>
      </c>
      <c r="BJ8" s="2">
        <v>92.751599999999996</v>
      </c>
      <c r="BK8" s="2">
        <v>20</v>
      </c>
      <c r="BL8" s="2">
        <v>19</v>
      </c>
      <c r="BM8" s="4">
        <v>22</v>
      </c>
      <c r="BN8" s="4">
        <v>1</v>
      </c>
      <c r="BO8" s="4">
        <v>0</v>
      </c>
      <c r="BP8" s="4">
        <v>22</v>
      </c>
      <c r="BQ8" s="2">
        <v>4.3478260000000004</v>
      </c>
      <c r="BR8" s="4">
        <v>12</v>
      </c>
      <c r="BS8" s="4">
        <v>2</v>
      </c>
      <c r="BT8" s="4">
        <v>22</v>
      </c>
      <c r="BU8" s="2">
        <v>54.545459999999999</v>
      </c>
      <c r="BV8" s="2">
        <v>5.4644399999999997</v>
      </c>
      <c r="BW8" s="2">
        <v>740.6884</v>
      </c>
      <c r="BX8" s="3">
        <v>0.99158539999999995</v>
      </c>
      <c r="BY8" s="3">
        <v>0.13387350000000001</v>
      </c>
      <c r="BZ8" s="2">
        <v>0.73943400000000004</v>
      </c>
      <c r="CA8" s="3">
        <v>0.13387350000000001</v>
      </c>
      <c r="CB8" s="3">
        <v>0.41355360000000002</v>
      </c>
      <c r="CC8" s="3">
        <v>0.42664570000000002</v>
      </c>
      <c r="CD8" s="2">
        <v>3.1657700000000002</v>
      </c>
      <c r="CE8" s="3">
        <v>593.96969999999999</v>
      </c>
      <c r="CF8" s="3">
        <v>598.3587</v>
      </c>
      <c r="CG8" s="2">
        <v>0.73893070000000005</v>
      </c>
      <c r="CH8" s="3">
        <v>31.082630000000002</v>
      </c>
      <c r="CI8" s="2">
        <v>20.967880000000001</v>
      </c>
      <c r="CJ8" s="3">
        <v>8157.5190000000002</v>
      </c>
      <c r="CK8" s="3">
        <v>8349.0650000000005</v>
      </c>
      <c r="CL8" s="2">
        <v>2.3481010000000002</v>
      </c>
      <c r="CM8" s="3">
        <v>30.516159999999999</v>
      </c>
      <c r="CN8" s="3">
        <v>33.971969999999999</v>
      </c>
      <c r="CO8" s="3">
        <v>35.033079999999998</v>
      </c>
      <c r="CP8" s="2">
        <v>15.873049999999999</v>
      </c>
      <c r="CQ8" s="2">
        <v>4.0858270000000001</v>
      </c>
      <c r="CR8" s="2">
        <v>0.93318219999999996</v>
      </c>
      <c r="CS8" s="2">
        <v>11.32452</v>
      </c>
      <c r="CT8" s="2">
        <v>30.479310000000002</v>
      </c>
      <c r="CU8" s="3">
        <v>0.1163744</v>
      </c>
      <c r="CV8" s="2">
        <v>36.363639999999997</v>
      </c>
      <c r="CW8" s="2">
        <v>39.322189999999999</v>
      </c>
      <c r="CX8" s="2">
        <v>-17.913910000000001</v>
      </c>
      <c r="CY8" s="2">
        <v>12.37374</v>
      </c>
    </row>
    <row r="9" spans="1:103" ht="15" customHeight="1" x14ac:dyDescent="0.2">
      <c r="A9" s="1">
        <f t="shared" ref="A9:A41" si="0">1+A8</f>
        <v>3</v>
      </c>
      <c r="B9" s="1" t="s">
        <v>12</v>
      </c>
      <c r="C9" s="1" t="s">
        <v>11</v>
      </c>
      <c r="D9" s="1" t="s">
        <v>3</v>
      </c>
      <c r="E9" s="1" t="s">
        <v>13</v>
      </c>
      <c r="F9" s="2">
        <v>29941.01</v>
      </c>
      <c r="G9" s="2">
        <v>53.741199999999999</v>
      </c>
      <c r="H9" s="2">
        <v>16090.66</v>
      </c>
      <c r="I9" s="3">
        <v>3.9910000000000001</v>
      </c>
      <c r="J9" s="3">
        <v>0</v>
      </c>
      <c r="K9" s="2">
        <v>9.7719869999999993</v>
      </c>
      <c r="L9" s="2">
        <v>10.273110000000001</v>
      </c>
      <c r="M9" s="2">
        <v>9.4641450000000003</v>
      </c>
      <c r="N9" s="2">
        <v>9.73766</v>
      </c>
      <c r="O9" s="2">
        <v>6.235938</v>
      </c>
      <c r="P9" s="2">
        <v>6.0469689999999998</v>
      </c>
      <c r="Q9" s="2">
        <v>6.6060920000000003</v>
      </c>
      <c r="R9" s="2">
        <v>6.5502950000000002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0.82282560000000005</v>
      </c>
      <c r="X9" s="2">
        <v>0.76961550000000001</v>
      </c>
      <c r="Y9" s="2">
        <v>0.73575310000000005</v>
      </c>
      <c r="Z9" s="2">
        <v>0.69894920000000005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0.98581549999999996</v>
      </c>
      <c r="AL9" s="3">
        <v>1.0565070000000001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14</v>
      </c>
      <c r="AV9" s="3">
        <v>1.4166669999999999</v>
      </c>
      <c r="AW9" s="3">
        <v>5.09</v>
      </c>
      <c r="AX9" s="2">
        <v>27.536960000000001</v>
      </c>
      <c r="AY9" s="2">
        <v>12.72729</v>
      </c>
      <c r="AZ9" s="2">
        <v>6.2065380000000001</v>
      </c>
      <c r="BA9" s="2">
        <v>-0.20005110000000001</v>
      </c>
      <c r="BB9" s="2">
        <v>7.1121809999999996</v>
      </c>
      <c r="BC9" s="3">
        <v>3.1230000000000002</v>
      </c>
      <c r="BD9" s="2">
        <v>27.793790000000001</v>
      </c>
      <c r="BE9" s="3">
        <v>4.2300000000000004</v>
      </c>
      <c r="BF9" s="2">
        <v>-5.6501210000000004</v>
      </c>
      <c r="BG9" s="2">
        <v>63.237000000000002</v>
      </c>
      <c r="BH9" s="2">
        <v>62.645629999999997</v>
      </c>
      <c r="BI9" s="2">
        <v>63.732140000000001</v>
      </c>
      <c r="BJ9" s="2">
        <v>66.068730000000002</v>
      </c>
      <c r="BK9" s="2">
        <v>21</v>
      </c>
      <c r="BL9" s="2">
        <v>13</v>
      </c>
      <c r="BM9" s="4">
        <v>24</v>
      </c>
      <c r="BN9" s="4">
        <v>1</v>
      </c>
      <c r="BO9" s="4">
        <v>1</v>
      </c>
      <c r="BP9" s="4">
        <v>24</v>
      </c>
      <c r="BQ9" s="2">
        <v>3.8461539999999999</v>
      </c>
      <c r="BR9" s="4">
        <v>16</v>
      </c>
      <c r="BS9" s="4">
        <v>1</v>
      </c>
      <c r="BT9" s="4">
        <v>24</v>
      </c>
      <c r="BU9" s="2">
        <v>66.666669999999996</v>
      </c>
      <c r="BV9" s="2">
        <v>7.2789000000000001</v>
      </c>
      <c r="BW9" s="2">
        <v>7502.1319999999996</v>
      </c>
      <c r="BX9" s="3">
        <v>11.976889999999999</v>
      </c>
      <c r="BY9" s="3">
        <v>0.15964639999999999</v>
      </c>
      <c r="BZ9" s="2">
        <v>0.62457099999999999</v>
      </c>
      <c r="CA9" s="3">
        <v>0.15964639999999999</v>
      </c>
      <c r="CB9" s="3">
        <v>0.62330059999999998</v>
      </c>
      <c r="CC9" s="3">
        <v>0.65228399999999997</v>
      </c>
      <c r="CD9" s="2">
        <v>4.649985</v>
      </c>
      <c r="CE9" s="3">
        <v>8208.3889999999992</v>
      </c>
      <c r="CF9" s="3">
        <v>8537.8539999999994</v>
      </c>
      <c r="CG9" s="2">
        <v>4.0137530000000003</v>
      </c>
      <c r="CH9" s="3">
        <v>5.2759090000000004</v>
      </c>
      <c r="CI9" s="2">
        <v>-3.5237310000000002</v>
      </c>
      <c r="CJ9" s="3">
        <v>14359.94</v>
      </c>
      <c r="CK9" s="3">
        <v>14631.95</v>
      </c>
      <c r="CL9" s="2">
        <v>1.894188</v>
      </c>
      <c r="CM9" s="3">
        <v>3.774324</v>
      </c>
      <c r="CN9" s="3">
        <v>3.8695089999999999</v>
      </c>
      <c r="CO9" s="3">
        <v>3.907346</v>
      </c>
      <c r="CP9" s="2">
        <v>5.7407859999999999</v>
      </c>
      <c r="CQ9" s="2">
        <v>3.1396869999999999</v>
      </c>
      <c r="CR9" s="2">
        <v>2.1409389999999999</v>
      </c>
      <c r="CS9" s="2">
        <v>2.5219200000000002</v>
      </c>
      <c r="CT9" s="2">
        <v>44.611530000000002</v>
      </c>
      <c r="CU9" s="3">
        <v>0.14899809999999999</v>
      </c>
      <c r="CV9" s="2">
        <v>-3.1429360000000002</v>
      </c>
      <c r="CW9" s="2">
        <v>11.424329999999999</v>
      </c>
      <c r="CX9" s="2">
        <v>-0.16492209999999999</v>
      </c>
      <c r="CY9" s="2">
        <v>12.58586</v>
      </c>
    </row>
    <row r="10" spans="1:103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8</v>
      </c>
      <c r="E10" s="1" t="s">
        <v>9</v>
      </c>
      <c r="F10" s="2">
        <v>2149.4549999999999</v>
      </c>
      <c r="G10" s="2">
        <v>56.1374</v>
      </c>
      <c r="H10" s="2">
        <v>1206.6479999999999</v>
      </c>
      <c r="I10" s="3">
        <v>3.09</v>
      </c>
      <c r="J10" s="3">
        <v>0</v>
      </c>
      <c r="K10" s="2">
        <v>3.7216830000000001</v>
      </c>
      <c r="L10" s="2">
        <v>4.33657</v>
      </c>
      <c r="M10" s="2">
        <v>4.5307449999999996</v>
      </c>
      <c r="N10" s="2">
        <v>4.5813410000000001</v>
      </c>
      <c r="O10" s="2">
        <v>18.176469999999998</v>
      </c>
      <c r="P10" s="2">
        <v>12.335330000000001</v>
      </c>
      <c r="Q10" s="2">
        <v>12.848229999999999</v>
      </c>
      <c r="R10" s="2">
        <v>11.44444</v>
      </c>
      <c r="S10" s="2">
        <v>6.1178530000000002</v>
      </c>
      <c r="T10" s="2">
        <v>7.1354920000000002</v>
      </c>
      <c r="U10" s="2">
        <v>7.0786199999999999</v>
      </c>
      <c r="V10" s="2">
        <v>7.0104990000000003</v>
      </c>
      <c r="W10" s="2">
        <v>3.7460849999999999</v>
      </c>
      <c r="X10" s="2">
        <v>2.8256730000000001</v>
      </c>
      <c r="Y10" s="2">
        <v>2.2960050000000001</v>
      </c>
      <c r="Z10" s="2">
        <v>1.8122579999999999</v>
      </c>
      <c r="AA10" s="2">
        <v>15.72974</v>
      </c>
      <c r="AB10" s="2">
        <v>44.310720000000003</v>
      </c>
      <c r="AC10" s="2">
        <v>6.4145370000000002</v>
      </c>
      <c r="AD10" s="2">
        <v>3.7318449999999999</v>
      </c>
      <c r="AE10" s="2">
        <v>1.916803</v>
      </c>
      <c r="AF10" s="2">
        <v>2.6603409999999998</v>
      </c>
      <c r="AG10" s="2">
        <v>2.3732129999999998</v>
      </c>
      <c r="AH10" s="2">
        <v>8.7836219999999994</v>
      </c>
      <c r="AI10" s="2">
        <v>12.78463</v>
      </c>
      <c r="AJ10" s="2">
        <v>11.463369999999999</v>
      </c>
      <c r="AK10" s="3" t="e">
        <v>#N/A</v>
      </c>
      <c r="AL10" s="3" t="e">
        <v>#N/A</v>
      </c>
      <c r="AM10" s="2">
        <v>25.666440000000001</v>
      </c>
      <c r="AN10" s="2">
        <v>30.754239999999999</v>
      </c>
      <c r="AO10" s="2">
        <v>31.736709999999999</v>
      </c>
      <c r="AP10" s="2">
        <v>31.487189999999998</v>
      </c>
      <c r="AQ10" s="2">
        <v>4.9866840000000003</v>
      </c>
      <c r="AR10" s="2">
        <v>5.5863680000000002</v>
      </c>
      <c r="AS10" s="2">
        <v>5.6056379999999999</v>
      </c>
      <c r="AT10" s="2">
        <v>5.559145</v>
      </c>
      <c r="AU10" s="1" t="s">
        <v>14</v>
      </c>
      <c r="AV10" s="3">
        <v>1.0555559999999999</v>
      </c>
      <c r="AW10" s="3">
        <v>4.0999999999999996</v>
      </c>
      <c r="AX10" s="2">
        <v>32.68609</v>
      </c>
      <c r="AY10" s="2">
        <v>22.907150000000001</v>
      </c>
      <c r="AZ10" s="2" t="e">
        <v>#N/A</v>
      </c>
      <c r="BA10" s="2">
        <v>5.1735879999999996</v>
      </c>
      <c r="BB10" s="2">
        <v>-1.1516329999999999</v>
      </c>
      <c r="BC10" s="3">
        <v>2.6040000000000001</v>
      </c>
      <c r="BD10" s="2">
        <v>18.663589999999999</v>
      </c>
      <c r="BE10" s="3">
        <v>3.3279999999999998</v>
      </c>
      <c r="BF10" s="2">
        <v>-7.1514490000000004</v>
      </c>
      <c r="BG10" s="2">
        <v>66.351060000000004</v>
      </c>
      <c r="BH10" s="2">
        <v>54.689399999999999</v>
      </c>
      <c r="BI10" s="2">
        <v>60.207769999999996</v>
      </c>
      <c r="BJ10" s="2">
        <v>50.659170000000003</v>
      </c>
      <c r="BK10" s="2">
        <v>8</v>
      </c>
      <c r="BL10" s="2">
        <v>7</v>
      </c>
      <c r="BM10" s="4">
        <v>9</v>
      </c>
      <c r="BN10" s="4">
        <v>1</v>
      </c>
      <c r="BO10" s="4">
        <v>0</v>
      </c>
      <c r="BP10" s="4">
        <v>9</v>
      </c>
      <c r="BQ10" s="2">
        <v>10</v>
      </c>
      <c r="BR10" s="4">
        <v>9</v>
      </c>
      <c r="BS10" s="4">
        <v>0</v>
      </c>
      <c r="BT10" s="4">
        <v>9</v>
      </c>
      <c r="BU10" s="2">
        <v>100</v>
      </c>
      <c r="BV10" s="2">
        <v>7.8103100000000003</v>
      </c>
      <c r="BW10" s="2">
        <v>695.61649999999997</v>
      </c>
      <c r="BX10" s="3">
        <v>2.0775860000000002</v>
      </c>
      <c r="BY10" s="3">
        <v>0.2986683</v>
      </c>
      <c r="BZ10" s="2">
        <v>1.30758</v>
      </c>
      <c r="CA10" s="3">
        <v>0.2986683</v>
      </c>
      <c r="CB10" s="3">
        <v>0.21321029999999999</v>
      </c>
      <c r="CC10" s="3">
        <v>0.2362301</v>
      </c>
      <c r="CD10" s="2">
        <v>10.79679</v>
      </c>
      <c r="CE10" s="3">
        <v>1207.4970000000001</v>
      </c>
      <c r="CF10" s="3">
        <v>1213.9870000000001</v>
      </c>
      <c r="CG10" s="2">
        <v>0.53746700000000003</v>
      </c>
      <c r="CH10" s="3">
        <v>3.82</v>
      </c>
      <c r="CI10" s="2">
        <v>7.3298449999999997</v>
      </c>
      <c r="CJ10" s="3">
        <v>4724.1469999999999</v>
      </c>
      <c r="CK10" s="3">
        <v>4759.8909999999996</v>
      </c>
      <c r="CL10" s="2">
        <v>0.7566214</v>
      </c>
      <c r="CM10" s="3">
        <v>2.9763980000000001</v>
      </c>
      <c r="CN10" s="3">
        <v>3.1310989999999999</v>
      </c>
      <c r="CO10" s="3">
        <v>3.105</v>
      </c>
      <c r="CP10" s="2">
        <v>3.816748</v>
      </c>
      <c r="CQ10" s="2">
        <v>-1.312608</v>
      </c>
      <c r="CR10" s="2">
        <v>-0.48308970000000001</v>
      </c>
      <c r="CS10" s="2">
        <v>5.1975850000000001</v>
      </c>
      <c r="CT10" s="2">
        <v>7.1676539999999997</v>
      </c>
      <c r="CU10" s="3">
        <v>0.33346379999999998</v>
      </c>
      <c r="CV10" s="2" t="e">
        <v>#N/A</v>
      </c>
      <c r="CW10" s="2" t="e">
        <v>#N/A</v>
      </c>
      <c r="CX10" s="2" t="e">
        <v>#N/A</v>
      </c>
      <c r="CY10" s="2">
        <v>12.85859</v>
      </c>
    </row>
    <row r="11" spans="1:103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3</v>
      </c>
      <c r="E11" s="1" t="s">
        <v>4</v>
      </c>
      <c r="F11" s="2">
        <v>58064.05</v>
      </c>
      <c r="G11" s="2">
        <v>98.965400000000002</v>
      </c>
      <c r="H11" s="2">
        <v>57463.32</v>
      </c>
      <c r="I11" s="3">
        <v>3.669</v>
      </c>
      <c r="J11" s="3">
        <v>-5.9604639999999998E-6</v>
      </c>
      <c r="K11" s="2">
        <v>4.6334150000000003</v>
      </c>
      <c r="L11" s="2">
        <v>5.1785230000000002</v>
      </c>
      <c r="M11" s="2">
        <v>5.5918650000000003</v>
      </c>
      <c r="N11" s="2">
        <v>5.9961840000000004</v>
      </c>
      <c r="O11" s="2">
        <v>5.6446160000000001</v>
      </c>
      <c r="P11" s="2">
        <v>5.3173909999999998</v>
      </c>
      <c r="Q11" s="2">
        <v>4.9952350000000001</v>
      </c>
      <c r="R11" s="2">
        <v>4.9581080000000002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0.61081430000000003</v>
      </c>
      <c r="X11" s="2">
        <v>0.56620369999999998</v>
      </c>
      <c r="Y11" s="2">
        <v>0.52190610000000004</v>
      </c>
      <c r="Z11" s="2">
        <v>0.48301129999999998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3" t="e">
        <v>#N/A</v>
      </c>
      <c r="AL11" s="3" t="e">
        <v>#N/A</v>
      </c>
      <c r="AM11" s="2" t="e">
        <v>#N/A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1" t="s">
        <v>14</v>
      </c>
      <c r="AV11" s="3">
        <v>1.4423079999999999</v>
      </c>
      <c r="AW11" s="3">
        <v>5</v>
      </c>
      <c r="AX11" s="2">
        <v>36.276910000000001</v>
      </c>
      <c r="AY11" s="2">
        <v>10.648149999999999</v>
      </c>
      <c r="AZ11" s="2" t="e">
        <v>#N/A</v>
      </c>
      <c r="BA11" s="2">
        <v>4.8136000000000001</v>
      </c>
      <c r="BB11" s="2">
        <v>-2.923667</v>
      </c>
      <c r="BC11" s="3">
        <v>2.9420000000000002</v>
      </c>
      <c r="BD11" s="2">
        <v>24.711079999999999</v>
      </c>
      <c r="BE11" s="3">
        <v>3.9695</v>
      </c>
      <c r="BF11" s="2">
        <v>-7.5702249999999998</v>
      </c>
      <c r="BG11" s="2">
        <v>27.055769999999999</v>
      </c>
      <c r="BH11" s="2">
        <v>30.360880000000002</v>
      </c>
      <c r="BI11" s="2">
        <v>31.442699999999999</v>
      </c>
      <c r="BJ11" s="2">
        <v>30.753640000000001</v>
      </c>
      <c r="BK11" s="2">
        <v>23</v>
      </c>
      <c r="BL11" s="2">
        <v>15</v>
      </c>
      <c r="BM11" s="4">
        <v>26</v>
      </c>
      <c r="BN11" s="4">
        <v>0</v>
      </c>
      <c r="BO11" s="4">
        <v>0</v>
      </c>
      <c r="BP11" s="4">
        <v>25</v>
      </c>
      <c r="BQ11" s="2">
        <v>0</v>
      </c>
      <c r="BR11" s="4">
        <v>16</v>
      </c>
      <c r="BS11" s="4">
        <v>1</v>
      </c>
      <c r="BT11" s="4">
        <v>26</v>
      </c>
      <c r="BU11" s="2">
        <v>61.538460000000001</v>
      </c>
      <c r="BV11" s="2">
        <v>8.2038899999999995</v>
      </c>
      <c r="BW11" s="2">
        <v>15825.58</v>
      </c>
      <c r="BX11" s="3">
        <v>40.223640000000003</v>
      </c>
      <c r="BY11" s="3">
        <v>0.25416850000000002</v>
      </c>
      <c r="BZ11" s="2">
        <v>1.3756900000000001</v>
      </c>
      <c r="CA11" s="3">
        <v>0.25416850000000002</v>
      </c>
      <c r="CB11" s="3">
        <v>0.68229289999999998</v>
      </c>
      <c r="CC11" s="3">
        <v>0.70315570000000005</v>
      </c>
      <c r="CD11" s="2">
        <v>3.0577540000000001</v>
      </c>
      <c r="CE11" s="3">
        <v>33184.49</v>
      </c>
      <c r="CF11" s="3">
        <v>33603.440000000002</v>
      </c>
      <c r="CG11" s="2">
        <v>1.2624979999999999</v>
      </c>
      <c r="CH11" s="3">
        <v>4.8269570000000002</v>
      </c>
      <c r="CI11" s="2">
        <v>3.5849329999999999</v>
      </c>
      <c r="CJ11" s="3">
        <v>59845.64</v>
      </c>
      <c r="CK11" s="3">
        <v>59856.68</v>
      </c>
      <c r="CL11" s="2">
        <v>1.8441679999999998E-2</v>
      </c>
      <c r="CM11" s="3">
        <v>3.5422690000000001</v>
      </c>
      <c r="CN11" s="3">
        <v>3.7762549999999999</v>
      </c>
      <c r="CO11" s="3">
        <v>3.71075</v>
      </c>
      <c r="CP11" s="2">
        <v>3.5776849999999998</v>
      </c>
      <c r="CQ11" s="2">
        <v>-2.8402449999999999</v>
      </c>
      <c r="CR11" s="2">
        <v>-1.125121</v>
      </c>
      <c r="CS11" s="2">
        <v>6.6055539999999997</v>
      </c>
      <c r="CT11" s="2">
        <v>124.38079999999999</v>
      </c>
      <c r="CU11" s="3">
        <v>0.21421299999999999</v>
      </c>
      <c r="CV11" s="2">
        <v>17.243500000000001</v>
      </c>
      <c r="CW11" s="2">
        <v>0.31278309999999998</v>
      </c>
      <c r="CX11" s="2">
        <v>0.61995480000000003</v>
      </c>
      <c r="CY11" s="2">
        <v>13.646459999999999</v>
      </c>
    </row>
    <row r="12" spans="1:103" ht="15" customHeight="1" x14ac:dyDescent="0.2">
      <c r="A12" s="1">
        <f t="shared" si="0"/>
        <v>6</v>
      </c>
      <c r="B12" s="1" t="s">
        <v>20</v>
      </c>
      <c r="C12" s="1" t="s">
        <v>19</v>
      </c>
      <c r="D12" s="1" t="s">
        <v>21</v>
      </c>
      <c r="E12" s="1" t="s">
        <v>22</v>
      </c>
      <c r="F12" s="2">
        <v>3737.9180000000001</v>
      </c>
      <c r="G12" s="2">
        <v>35.635300000000001</v>
      </c>
      <c r="H12" s="2">
        <v>1332.018</v>
      </c>
      <c r="I12" s="3">
        <v>69.2</v>
      </c>
      <c r="J12" s="3">
        <v>0</v>
      </c>
      <c r="K12" s="2">
        <v>1.8641620000000001</v>
      </c>
      <c r="L12" s="2">
        <v>1.575145</v>
      </c>
      <c r="M12" s="2">
        <v>1.4884390000000001</v>
      </c>
      <c r="N12" s="2">
        <v>1.7341040000000001</v>
      </c>
      <c r="O12" s="2">
        <v>18.7027</v>
      </c>
      <c r="P12" s="2">
        <v>22.250800000000002</v>
      </c>
      <c r="Q12" s="2">
        <v>23.457630000000002</v>
      </c>
      <c r="R12" s="2">
        <v>19.438199999999998</v>
      </c>
      <c r="S12" s="2">
        <v>6.7914779999999997</v>
      </c>
      <c r="T12" s="2">
        <v>13.576320000000001</v>
      </c>
      <c r="U12" s="2">
        <v>16.06908</v>
      </c>
      <c r="V12" s="2">
        <v>13.301780000000001</v>
      </c>
      <c r="W12" s="2">
        <v>7.1933470000000002</v>
      </c>
      <c r="X12" s="2">
        <v>6.3428040000000001</v>
      </c>
      <c r="Y12" s="2">
        <v>5.5635199999999996</v>
      </c>
      <c r="Z12" s="2">
        <v>4.4516150000000003</v>
      </c>
      <c r="AA12" s="2">
        <v>15.59074</v>
      </c>
      <c r="AB12" s="2">
        <v>19.659089999999999</v>
      </c>
      <c r="AC12" s="2">
        <v>19.181170000000002</v>
      </c>
      <c r="AD12" s="2">
        <v>17.097239999999999</v>
      </c>
      <c r="AE12" s="2">
        <v>2.4397139999999999</v>
      </c>
      <c r="AF12" s="2">
        <v>4.2537310000000002</v>
      </c>
      <c r="AG12" s="2">
        <v>4.78789</v>
      </c>
      <c r="AH12" s="2">
        <v>2.4142999999999999</v>
      </c>
      <c r="AI12" s="2">
        <v>4.1693280000000001</v>
      </c>
      <c r="AJ12" s="2">
        <v>4.5662430000000001</v>
      </c>
      <c r="AK12" s="3" t="e">
        <v>#N/A</v>
      </c>
      <c r="AL12" s="3" t="e">
        <v>#N/A</v>
      </c>
      <c r="AM12" s="2">
        <v>34.120089999999998</v>
      </c>
      <c r="AN12" s="2">
        <v>28.829059999999998</v>
      </c>
      <c r="AO12" s="2">
        <v>28.428930000000001</v>
      </c>
      <c r="AP12" s="2">
        <v>31.199069999999999</v>
      </c>
      <c r="AQ12" s="2">
        <v>-0.1899642</v>
      </c>
      <c r="AR12" s="2">
        <v>-0.16453010000000001</v>
      </c>
      <c r="AS12" s="2">
        <v>-0.32529649999999999</v>
      </c>
      <c r="AT12" s="2">
        <v>-0.64567540000000001</v>
      </c>
      <c r="AU12" s="1" t="s">
        <v>14</v>
      </c>
      <c r="AV12" s="3">
        <v>1.3</v>
      </c>
      <c r="AW12" s="3">
        <v>66.25</v>
      </c>
      <c r="AX12" s="2">
        <v>-4.263001</v>
      </c>
      <c r="AY12" s="2">
        <v>28.505960000000002</v>
      </c>
      <c r="AZ12" s="2">
        <v>-2</v>
      </c>
      <c r="BA12" s="2">
        <v>69.19314</v>
      </c>
      <c r="BB12" s="2">
        <v>14.95016</v>
      </c>
      <c r="BC12" s="3">
        <v>37</v>
      </c>
      <c r="BD12" s="2">
        <v>87.027019999999993</v>
      </c>
      <c r="BE12" s="3">
        <v>69.5</v>
      </c>
      <c r="BF12" s="2">
        <v>-0.43165680000000001</v>
      </c>
      <c r="BG12" s="2">
        <v>33.133690000000001</v>
      </c>
      <c r="BH12" s="2">
        <v>36.24297</v>
      </c>
      <c r="BI12" s="2">
        <v>34.476889999999997</v>
      </c>
      <c r="BJ12" s="2">
        <v>33.807340000000003</v>
      </c>
      <c r="BK12" s="2">
        <v>9</v>
      </c>
      <c r="BL12" s="2">
        <v>10</v>
      </c>
      <c r="BM12" s="4">
        <v>10</v>
      </c>
      <c r="BN12" s="4">
        <v>0</v>
      </c>
      <c r="BO12" s="4">
        <v>1</v>
      </c>
      <c r="BP12" s="4">
        <v>9</v>
      </c>
      <c r="BQ12" s="2">
        <v>0</v>
      </c>
      <c r="BR12" s="4">
        <v>7</v>
      </c>
      <c r="BS12" s="4">
        <v>0</v>
      </c>
      <c r="BT12" s="4">
        <v>10</v>
      </c>
      <c r="BU12" s="2">
        <v>70</v>
      </c>
      <c r="BV12" s="2">
        <v>8.8668899999999997</v>
      </c>
      <c r="BW12" s="2">
        <v>54.016159999999999</v>
      </c>
      <c r="BX12" s="3">
        <v>0.1080776</v>
      </c>
      <c r="BY12" s="3">
        <v>0.20008390000000001</v>
      </c>
      <c r="BZ12" s="2">
        <v>0.52079600000000004</v>
      </c>
      <c r="CA12" s="3">
        <v>0.20008390000000001</v>
      </c>
      <c r="CB12" s="3">
        <v>2.9745879999999998</v>
      </c>
      <c r="CC12" s="3">
        <v>3.0064229999999998</v>
      </c>
      <c r="CD12" s="2">
        <v>1.0702370000000001</v>
      </c>
      <c r="CE12" s="3">
        <v>203.37780000000001</v>
      </c>
      <c r="CF12" s="3">
        <v>206.81290000000001</v>
      </c>
      <c r="CG12" s="2">
        <v>1.6890529999999999</v>
      </c>
      <c r="CH12" s="3">
        <v>61.3</v>
      </c>
      <c r="CI12" s="2">
        <v>8.0750469999999996</v>
      </c>
      <c r="CJ12" s="3">
        <v>803.2</v>
      </c>
      <c r="CK12" s="3">
        <v>810.05330000000004</v>
      </c>
      <c r="CL12" s="2">
        <v>0.85324049999999996</v>
      </c>
      <c r="CM12" s="3">
        <v>51.026679999999999</v>
      </c>
      <c r="CN12" s="3">
        <v>61.614699999999999</v>
      </c>
      <c r="CO12" s="3">
        <v>64.113460000000003</v>
      </c>
      <c r="CP12" s="2">
        <v>35.61533</v>
      </c>
      <c r="CQ12" s="2">
        <v>12.31086</v>
      </c>
      <c r="CR12" s="2">
        <v>7.9336520000000004</v>
      </c>
      <c r="CS12" s="2">
        <v>20.749960000000002</v>
      </c>
      <c r="CT12" s="2">
        <v>4.229527</v>
      </c>
      <c r="CU12" s="3">
        <v>0.113152</v>
      </c>
      <c r="CV12" s="2" t="e">
        <v>#N/A</v>
      </c>
      <c r="CW12" s="2" t="e">
        <v>#N/A</v>
      </c>
      <c r="CX12" s="2" t="e">
        <v>#N/A</v>
      </c>
      <c r="CY12" s="2">
        <v>14.0303</v>
      </c>
    </row>
    <row r="13" spans="1:103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25</v>
      </c>
      <c r="E13" s="1" t="s">
        <v>26</v>
      </c>
      <c r="F13" s="2">
        <v>24892.5</v>
      </c>
      <c r="G13" s="2">
        <v>48.971699999999998</v>
      </c>
      <c r="H13" s="2">
        <v>12190.28</v>
      </c>
      <c r="I13" s="3">
        <v>165.95</v>
      </c>
      <c r="J13" s="3">
        <v>0</v>
      </c>
      <c r="K13" s="2">
        <v>2.8623080000000001</v>
      </c>
      <c r="L13" s="2">
        <v>4.6383900000000002</v>
      </c>
      <c r="M13" s="2">
        <v>5.1220249999999998</v>
      </c>
      <c r="N13" s="2">
        <v>5.5381119999999999</v>
      </c>
      <c r="O13" s="2">
        <v>27.612310000000001</v>
      </c>
      <c r="P13" s="2">
        <v>17.19689</v>
      </c>
      <c r="Q13" s="2">
        <v>15.39425</v>
      </c>
      <c r="R13" s="2">
        <v>14.254530000000001</v>
      </c>
      <c r="S13" s="2">
        <v>11.46668</v>
      </c>
      <c r="T13" s="2">
        <v>11.06279</v>
      </c>
      <c r="U13" s="2">
        <v>9.9028519999999993</v>
      </c>
      <c r="V13" s="2">
        <v>9.1776619999999998</v>
      </c>
      <c r="W13" s="2">
        <v>3.7058949999999999</v>
      </c>
      <c r="X13" s="2">
        <v>3.3593120000000001</v>
      </c>
      <c r="Y13" s="2">
        <v>3.15916</v>
      </c>
      <c r="Z13" s="2">
        <v>2.955476</v>
      </c>
      <c r="AA13" s="2">
        <v>13.66344</v>
      </c>
      <c r="AB13" s="2">
        <v>11.228009999999999</v>
      </c>
      <c r="AC13" s="2">
        <v>10.42066</v>
      </c>
      <c r="AD13" s="2">
        <v>9.8376570000000001</v>
      </c>
      <c r="AE13" s="2">
        <v>4.1266499999999997</v>
      </c>
      <c r="AF13" s="2">
        <v>5.6056460000000001</v>
      </c>
      <c r="AG13" s="2">
        <v>6.0930660000000003</v>
      </c>
      <c r="AH13" s="2">
        <v>5.1377350000000002</v>
      </c>
      <c r="AI13" s="2">
        <v>6.8596399999999997</v>
      </c>
      <c r="AJ13" s="2">
        <v>7.3326070000000003</v>
      </c>
      <c r="AK13" s="3">
        <v>1.0940209999999999</v>
      </c>
      <c r="AL13" s="3">
        <v>0.954766</v>
      </c>
      <c r="AM13" s="2">
        <v>49.708129999999997</v>
      </c>
      <c r="AN13" s="2">
        <v>55.825099999999999</v>
      </c>
      <c r="AO13" s="2">
        <v>56.778640000000003</v>
      </c>
      <c r="AP13" s="2">
        <v>57.83182</v>
      </c>
      <c r="AQ13" s="2">
        <v>3.0030399999999999</v>
      </c>
      <c r="AR13" s="2">
        <v>2.1967829999999999</v>
      </c>
      <c r="AS13" s="2">
        <v>1.810316</v>
      </c>
      <c r="AT13" s="2">
        <v>1.551439</v>
      </c>
      <c r="AU13" s="1" t="s">
        <v>14</v>
      </c>
      <c r="AV13" s="3">
        <v>1.5172410000000001</v>
      </c>
      <c r="AW13" s="3">
        <v>176</v>
      </c>
      <c r="AX13" s="2">
        <v>6.0560460000000003</v>
      </c>
      <c r="AY13" s="2">
        <v>19.534410000000001</v>
      </c>
      <c r="AZ13" s="2">
        <v>19.94183</v>
      </c>
      <c r="BA13" s="2">
        <v>17.90408</v>
      </c>
      <c r="BB13" s="2">
        <v>1.1273500000000001</v>
      </c>
      <c r="BC13" s="3">
        <v>131.5</v>
      </c>
      <c r="BD13" s="2">
        <v>26.19772</v>
      </c>
      <c r="BE13" s="3">
        <v>172.15</v>
      </c>
      <c r="BF13" s="2">
        <v>-3.6015090000000001</v>
      </c>
      <c r="BG13" s="2">
        <v>70.704520000000002</v>
      </c>
      <c r="BH13" s="2">
        <v>81.137829999999994</v>
      </c>
      <c r="BI13" s="2">
        <v>79.763499999999993</v>
      </c>
      <c r="BJ13" s="2">
        <v>79.878510000000006</v>
      </c>
      <c r="BK13" s="2">
        <v>25</v>
      </c>
      <c r="BL13" s="2">
        <v>25</v>
      </c>
      <c r="BM13" s="4">
        <v>29</v>
      </c>
      <c r="BN13" s="4">
        <v>1</v>
      </c>
      <c r="BO13" s="4">
        <v>0</v>
      </c>
      <c r="BP13" s="4">
        <v>26</v>
      </c>
      <c r="BQ13" s="2">
        <v>3.7037040000000001</v>
      </c>
      <c r="BR13" s="4">
        <v>18</v>
      </c>
      <c r="BS13" s="4">
        <v>3</v>
      </c>
      <c r="BT13" s="4">
        <v>29</v>
      </c>
      <c r="BU13" s="2">
        <v>62.068959999999997</v>
      </c>
      <c r="BV13" s="2">
        <v>7.0101699999999996</v>
      </c>
      <c r="BW13" s="2">
        <v>150</v>
      </c>
      <c r="BX13" s="3">
        <v>0.15029970000000001</v>
      </c>
      <c r="BY13" s="3">
        <v>0.10019980000000001</v>
      </c>
      <c r="BZ13" s="2">
        <v>1.18028</v>
      </c>
      <c r="CA13" s="3">
        <v>0.10019980000000001</v>
      </c>
      <c r="CB13" s="3">
        <v>9.2976650000000003</v>
      </c>
      <c r="CC13" s="3">
        <v>9.4533810000000003</v>
      </c>
      <c r="CD13" s="2">
        <v>1.6747829999999999</v>
      </c>
      <c r="CE13" s="3">
        <v>1899.498</v>
      </c>
      <c r="CF13" s="3">
        <v>1934.0260000000001</v>
      </c>
      <c r="CG13" s="2">
        <v>1.8177270000000001</v>
      </c>
      <c r="CH13" s="3">
        <v>162.74199999999999</v>
      </c>
      <c r="CI13" s="2">
        <v>8.1466309999999993</v>
      </c>
      <c r="CJ13" s="3">
        <v>4916.9660000000003</v>
      </c>
      <c r="CK13" s="3">
        <v>4945.5550000000003</v>
      </c>
      <c r="CL13" s="2">
        <v>0.58141949999999998</v>
      </c>
      <c r="CM13" s="3">
        <v>149.98580000000001</v>
      </c>
      <c r="CN13" s="3">
        <v>164.4059</v>
      </c>
      <c r="CO13" s="3">
        <v>165.47120000000001</v>
      </c>
      <c r="CP13" s="2">
        <v>10.64378</v>
      </c>
      <c r="CQ13" s="2">
        <v>0.93920230000000005</v>
      </c>
      <c r="CR13" s="2">
        <v>0.28938059999999999</v>
      </c>
      <c r="CS13" s="2">
        <v>9.6142649999999996</v>
      </c>
      <c r="CT13" s="2">
        <v>20.182009999999998</v>
      </c>
      <c r="CU13" s="3">
        <v>8.1076659999999995E-2</v>
      </c>
      <c r="CV13" s="2">
        <v>9.3867010000000004</v>
      </c>
      <c r="CW13" s="2">
        <v>-0.57723780000000002</v>
      </c>
      <c r="CX13" s="2">
        <v>2.8116449999999999</v>
      </c>
      <c r="CY13" s="2">
        <v>14.87879</v>
      </c>
    </row>
    <row r="14" spans="1:103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3</v>
      </c>
      <c r="E14" s="1" t="s">
        <v>29</v>
      </c>
      <c r="F14" s="2">
        <v>4274.9139999999998</v>
      </c>
      <c r="G14" s="2">
        <v>66.606499999999997</v>
      </c>
      <c r="H14" s="2">
        <v>2847.3710000000001</v>
      </c>
      <c r="I14" s="3">
        <v>9.1</v>
      </c>
      <c r="J14" s="3">
        <v>0</v>
      </c>
      <c r="K14" s="2">
        <v>13.076919999999999</v>
      </c>
      <c r="L14" s="2">
        <v>4.8494169999999999</v>
      </c>
      <c r="M14" s="2">
        <v>5.0141920000000004</v>
      </c>
      <c r="N14" s="2">
        <v>5.3296700000000001</v>
      </c>
      <c r="O14" s="2">
        <v>14.91803</v>
      </c>
      <c r="P14" s="2">
        <v>14.91803</v>
      </c>
      <c r="Q14" s="2">
        <v>14.51356</v>
      </c>
      <c r="R14" s="2">
        <v>13.582090000000001</v>
      </c>
      <c r="S14" s="2">
        <v>24.397189999999998</v>
      </c>
      <c r="T14" s="2">
        <v>24.349799999999998</v>
      </c>
      <c r="U14" s="2">
        <v>21.966290000000001</v>
      </c>
      <c r="V14" s="2">
        <v>20.623290000000001</v>
      </c>
      <c r="W14" s="2">
        <v>0.62414270000000005</v>
      </c>
      <c r="X14" s="2">
        <v>0.67010309999999995</v>
      </c>
      <c r="Y14" s="2">
        <v>0.69881490000000002</v>
      </c>
      <c r="Z14" s="2">
        <v>0.69402839999999999</v>
      </c>
      <c r="AA14" s="2">
        <v>15.65559</v>
      </c>
      <c r="AB14" s="2">
        <v>15.54921</v>
      </c>
      <c r="AC14" s="2">
        <v>15.79585</v>
      </c>
      <c r="AD14" s="2">
        <v>13.50858</v>
      </c>
      <c r="AE14" s="2">
        <v>1.5388550000000001</v>
      </c>
      <c r="AF14" s="2">
        <v>2.9452199999999999</v>
      </c>
      <c r="AG14" s="2">
        <v>1.938077</v>
      </c>
      <c r="AH14" s="2">
        <v>3.0194540000000001</v>
      </c>
      <c r="AI14" s="2">
        <v>5.8446619999999996</v>
      </c>
      <c r="AJ14" s="2">
        <v>3.8988610000000001</v>
      </c>
      <c r="AK14" s="3">
        <v>2.7451859999999999</v>
      </c>
      <c r="AL14" s="3">
        <v>2.623094</v>
      </c>
      <c r="AM14" s="2">
        <v>72.453199999999995</v>
      </c>
      <c r="AN14" s="2">
        <v>74.513050000000007</v>
      </c>
      <c r="AO14" s="2">
        <v>74.594279999999998</v>
      </c>
      <c r="AP14" s="2">
        <v>74.199290000000005</v>
      </c>
      <c r="AQ14" s="2">
        <v>11.83755</v>
      </c>
      <c r="AR14" s="2">
        <v>11.33081</v>
      </c>
      <c r="AS14" s="2">
        <v>10.897119999999999</v>
      </c>
      <c r="AT14" s="2">
        <v>10.371700000000001</v>
      </c>
      <c r="AU14" s="1" t="s">
        <v>14</v>
      </c>
      <c r="AV14" s="3">
        <v>1.35</v>
      </c>
      <c r="AW14" s="3">
        <v>10.8</v>
      </c>
      <c r="AX14" s="2">
        <v>18.68131</v>
      </c>
      <c r="AY14" s="2">
        <v>4.4919000000000002</v>
      </c>
      <c r="AZ14" s="2">
        <v>5.5016100000000003</v>
      </c>
      <c r="BA14" s="2">
        <v>-0.7633567</v>
      </c>
      <c r="BB14" s="2">
        <v>-9.5427459999999993</v>
      </c>
      <c r="BC14" s="3">
        <v>7.4349999999999996</v>
      </c>
      <c r="BD14" s="2">
        <v>22.394079999999999</v>
      </c>
      <c r="BE14" s="3">
        <v>10.18</v>
      </c>
      <c r="BF14" s="2">
        <v>-10.60904</v>
      </c>
      <c r="BG14" s="2">
        <v>199.0436</v>
      </c>
      <c r="BH14" s="2">
        <v>74.134060000000005</v>
      </c>
      <c r="BI14" s="2">
        <v>72.752510000000001</v>
      </c>
      <c r="BJ14" s="2">
        <v>70.968699999999998</v>
      </c>
      <c r="BK14" s="2">
        <v>17</v>
      </c>
      <c r="BL14" s="2">
        <v>10</v>
      </c>
      <c r="BM14" s="4">
        <v>20</v>
      </c>
      <c r="BN14" s="4">
        <v>2</v>
      </c>
      <c r="BO14" s="4">
        <v>3</v>
      </c>
      <c r="BP14" s="4">
        <v>16</v>
      </c>
      <c r="BQ14" s="2">
        <v>9.523809</v>
      </c>
      <c r="BR14" s="4">
        <v>14</v>
      </c>
      <c r="BS14" s="4">
        <v>0</v>
      </c>
      <c r="BT14" s="4">
        <v>20</v>
      </c>
      <c r="BU14" s="2">
        <v>70</v>
      </c>
      <c r="BV14" s="2">
        <v>7.3368599999999997</v>
      </c>
      <c r="BW14" s="2">
        <v>469.77080000000001</v>
      </c>
      <c r="BX14" s="3">
        <v>0.72489119999999996</v>
      </c>
      <c r="BY14" s="3">
        <v>0.15430740000000001</v>
      </c>
      <c r="BZ14" s="2">
        <v>0.91936200000000001</v>
      </c>
      <c r="CA14" s="3">
        <v>0.15430740000000001</v>
      </c>
      <c r="CB14" s="3">
        <v>0.60012069999999995</v>
      </c>
      <c r="CC14" s="3">
        <v>0.60253159999999995</v>
      </c>
      <c r="CD14" s="2">
        <v>0.40173530000000002</v>
      </c>
      <c r="CE14" s="3">
        <v>333.27629999999999</v>
      </c>
      <c r="CF14" s="3">
        <v>322.9332</v>
      </c>
      <c r="CG14" s="2">
        <v>-3.1034649999999999</v>
      </c>
      <c r="CH14" s="3">
        <v>10.118</v>
      </c>
      <c r="CI14" s="2">
        <v>6.7404630000000001</v>
      </c>
      <c r="CJ14" s="3">
        <v>470.49180000000001</v>
      </c>
      <c r="CK14" s="3">
        <v>482.86540000000002</v>
      </c>
      <c r="CL14" s="2">
        <v>2.6299359999999998</v>
      </c>
      <c r="CM14" s="3">
        <v>8.5026100000000007</v>
      </c>
      <c r="CN14" s="3">
        <v>9.6215670000000006</v>
      </c>
      <c r="CO14" s="3">
        <v>9.3882700000000003</v>
      </c>
      <c r="CP14" s="2">
        <v>7.025957</v>
      </c>
      <c r="CQ14" s="2">
        <v>-5.4208040000000004</v>
      </c>
      <c r="CR14" s="2">
        <v>-3.0705330000000002</v>
      </c>
      <c r="CS14" s="2">
        <v>13.160159999999999</v>
      </c>
      <c r="CT14" s="2">
        <v>7.1091850000000001</v>
      </c>
      <c r="CU14" s="3">
        <v>0.16630010000000001</v>
      </c>
      <c r="CV14" s="2">
        <v>7.1428580000000004</v>
      </c>
      <c r="CW14" s="2">
        <v>5.1184799999999999</v>
      </c>
      <c r="CX14" s="2">
        <v>1.36958</v>
      </c>
      <c r="CY14" s="2">
        <v>15.212120000000001</v>
      </c>
    </row>
    <row r="15" spans="1:103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3</v>
      </c>
      <c r="E15" s="1" t="s">
        <v>4</v>
      </c>
      <c r="F15" s="2">
        <v>5172.076</v>
      </c>
      <c r="G15" s="2">
        <v>70.796599999999998</v>
      </c>
      <c r="H15" s="2">
        <v>3661.654</v>
      </c>
      <c r="I15" s="3">
        <v>5.7539999999999996</v>
      </c>
      <c r="J15" s="3">
        <v>0</v>
      </c>
      <c r="K15" s="2">
        <v>8.1648870000000002</v>
      </c>
      <c r="L15" s="2">
        <v>8.2311060000000005</v>
      </c>
      <c r="M15" s="2">
        <v>7.6468540000000003</v>
      </c>
      <c r="N15" s="2">
        <v>7.6468540000000003</v>
      </c>
      <c r="O15" s="2">
        <v>6.3230769999999996</v>
      </c>
      <c r="P15" s="2">
        <v>6.1870969999999996</v>
      </c>
      <c r="Q15" s="2">
        <v>6.9325299999999999</v>
      </c>
      <c r="R15" s="2">
        <v>6.769412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>
        <v>0.97195949999999998</v>
      </c>
      <c r="X15" s="2">
        <v>0.90379690000000001</v>
      </c>
      <c r="Y15" s="2">
        <v>0.85316809999999998</v>
      </c>
      <c r="Z15" s="2">
        <v>0.81271190000000004</v>
      </c>
      <c r="AA15" s="2" t="e">
        <v>#N/A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3" t="e">
        <v>#N/A</v>
      </c>
      <c r="AL15" s="3" t="e">
        <v>#N/A</v>
      </c>
      <c r="AM15" s="2" t="e">
        <v>#N/A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1" t="s">
        <v>14</v>
      </c>
      <c r="AV15" s="3">
        <v>1.55</v>
      </c>
      <c r="AW15" s="3">
        <v>7.625</v>
      </c>
      <c r="AX15" s="2">
        <v>32.516500000000001</v>
      </c>
      <c r="AY15" s="2">
        <v>14.60777</v>
      </c>
      <c r="AZ15" s="2">
        <v>-1</v>
      </c>
      <c r="BA15" s="2">
        <v>-12.79175</v>
      </c>
      <c r="BB15" s="2">
        <v>-0.72463149999999998</v>
      </c>
      <c r="BC15" s="3">
        <v>4.9960000000000004</v>
      </c>
      <c r="BD15" s="2">
        <v>15.17215</v>
      </c>
      <c r="BE15" s="3">
        <v>6.9340000000000002</v>
      </c>
      <c r="BF15" s="2">
        <v>-17.017589999999998</v>
      </c>
      <c r="BG15" s="2">
        <v>50.763249999999999</v>
      </c>
      <c r="BH15" s="2">
        <v>50.948520000000002</v>
      </c>
      <c r="BI15" s="2">
        <v>52.155830000000002</v>
      </c>
      <c r="BJ15" s="2">
        <v>52.196449999999999</v>
      </c>
      <c r="BK15" s="2">
        <v>19</v>
      </c>
      <c r="BL15" s="2">
        <v>11</v>
      </c>
      <c r="BM15" s="4">
        <v>20</v>
      </c>
      <c r="BN15" s="4">
        <v>0</v>
      </c>
      <c r="BO15" s="4">
        <v>1</v>
      </c>
      <c r="BP15" s="4">
        <v>18</v>
      </c>
      <c r="BQ15" s="2">
        <v>0</v>
      </c>
      <c r="BR15" s="4">
        <v>12</v>
      </c>
      <c r="BS15" s="4">
        <v>3</v>
      </c>
      <c r="BT15" s="4">
        <v>20</v>
      </c>
      <c r="BU15" s="2">
        <v>60</v>
      </c>
      <c r="BV15" s="2">
        <v>8.1675199999999997</v>
      </c>
      <c r="BW15" s="2">
        <v>898.86609999999996</v>
      </c>
      <c r="BX15" s="3">
        <v>3.0076890000000001</v>
      </c>
      <c r="BY15" s="3">
        <v>0.3346093</v>
      </c>
      <c r="BZ15" s="2">
        <v>0.54995700000000003</v>
      </c>
      <c r="CA15" s="3">
        <v>0.3346093</v>
      </c>
      <c r="CB15" s="3">
        <v>0.91879330000000003</v>
      </c>
      <c r="CC15" s="3">
        <v>0.93500890000000003</v>
      </c>
      <c r="CD15" s="2">
        <v>1.7648820000000001</v>
      </c>
      <c r="CE15" s="3">
        <v>1666.33</v>
      </c>
      <c r="CF15" s="3">
        <v>1720.364</v>
      </c>
      <c r="CG15" s="2">
        <v>3.2426710000000001</v>
      </c>
      <c r="CH15" s="3">
        <v>8.1219999999999999</v>
      </c>
      <c r="CI15" s="2">
        <v>-6.1191800000000001</v>
      </c>
      <c r="CJ15" s="3">
        <v>2703.3009999999999</v>
      </c>
      <c r="CK15" s="3">
        <v>2753.0210000000002</v>
      </c>
      <c r="CL15" s="2">
        <v>1.839232</v>
      </c>
      <c r="CM15" s="3">
        <v>5.9039000000000001</v>
      </c>
      <c r="CN15" s="3">
        <v>5.8824699999999996</v>
      </c>
      <c r="CO15" s="3">
        <v>5.8039230000000002</v>
      </c>
      <c r="CP15" s="2">
        <v>-2.5389970000000002</v>
      </c>
      <c r="CQ15" s="2">
        <v>-2.1839379999999999</v>
      </c>
      <c r="CR15" s="2">
        <v>-0.86014869999999999</v>
      </c>
      <c r="CS15" s="2">
        <v>-0.36298629999999998</v>
      </c>
      <c r="CT15" s="2">
        <v>18.307179999999999</v>
      </c>
      <c r="CU15" s="3">
        <v>0.3539619</v>
      </c>
      <c r="CV15" s="2">
        <v>-15.71416</v>
      </c>
      <c r="CW15" s="2">
        <v>-3.8888219999999998</v>
      </c>
      <c r="CX15" s="2">
        <v>-8.8951650000000004</v>
      </c>
      <c r="CY15" s="2">
        <v>15.47475</v>
      </c>
    </row>
    <row r="16" spans="1:103" ht="15" customHeight="1" x14ac:dyDescent="0.2">
      <c r="A16" s="1">
        <f t="shared" si="0"/>
        <v>10</v>
      </c>
      <c r="B16" s="1" t="s">
        <v>33</v>
      </c>
      <c r="C16" s="1" t="s">
        <v>32</v>
      </c>
      <c r="D16" s="1" t="s">
        <v>34</v>
      </c>
      <c r="E16" s="1" t="s">
        <v>35</v>
      </c>
      <c r="F16" s="2">
        <v>2543.221</v>
      </c>
      <c r="G16" s="2">
        <v>67.235299999999995</v>
      </c>
      <c r="H16" s="2">
        <v>1709.942</v>
      </c>
      <c r="I16" s="3">
        <v>10.199999999999999</v>
      </c>
      <c r="J16" s="3">
        <v>0</v>
      </c>
      <c r="K16" s="2">
        <v>5.8823530000000002</v>
      </c>
      <c r="L16" s="2">
        <v>5.8823530000000002</v>
      </c>
      <c r="M16" s="2">
        <v>5.8823530000000002</v>
      </c>
      <c r="N16" s="2">
        <v>5.8823530000000002</v>
      </c>
      <c r="O16" s="2">
        <v>4.7663549999999999</v>
      </c>
      <c r="P16" s="2">
        <v>6.375</v>
      </c>
      <c r="Q16" s="2">
        <v>7.2979099999999999</v>
      </c>
      <c r="R16" s="2">
        <v>6.9387749999999997</v>
      </c>
      <c r="S16" s="2">
        <v>2.225997</v>
      </c>
      <c r="T16" s="2">
        <v>4.0527059999999997</v>
      </c>
      <c r="U16" s="2">
        <v>4.0004770000000001</v>
      </c>
      <c r="V16" s="2">
        <v>3.7167889999999999</v>
      </c>
      <c r="W16" s="2">
        <v>1.0703039999999999</v>
      </c>
      <c r="X16" s="2">
        <v>0.93529390000000001</v>
      </c>
      <c r="Y16" s="2">
        <v>0.8823472</v>
      </c>
      <c r="Z16" s="2">
        <v>0.82390949999999996</v>
      </c>
      <c r="AA16" s="2">
        <v>2.738442</v>
      </c>
      <c r="AB16" s="2">
        <v>4.6242320000000001</v>
      </c>
      <c r="AC16" s="2">
        <v>5.097569</v>
      </c>
      <c r="AD16" s="2">
        <v>4.8</v>
      </c>
      <c r="AE16" s="2">
        <v>10.61782</v>
      </c>
      <c r="AF16" s="2">
        <v>11.43746</v>
      </c>
      <c r="AG16" s="2">
        <v>12.11042</v>
      </c>
      <c r="AH16" s="2">
        <v>12.12429</v>
      </c>
      <c r="AI16" s="2">
        <v>12.37514</v>
      </c>
      <c r="AJ16" s="2">
        <v>12.672319999999999</v>
      </c>
      <c r="AK16" s="3" t="e">
        <v>#N/A</v>
      </c>
      <c r="AL16" s="3" t="e">
        <v>#N/A</v>
      </c>
      <c r="AM16" s="2">
        <v>14.686920000000001</v>
      </c>
      <c r="AN16" s="2">
        <v>11.37748</v>
      </c>
      <c r="AO16" s="2">
        <v>10.34981</v>
      </c>
      <c r="AP16" s="2">
        <v>10.038489999999999</v>
      </c>
      <c r="AQ16" s="2">
        <v>0.34482760000000001</v>
      </c>
      <c r="AR16" s="2">
        <v>0.484626</v>
      </c>
      <c r="AS16" s="2">
        <v>0.30311919999999998</v>
      </c>
      <c r="AT16" s="2">
        <v>0.16480449999999999</v>
      </c>
      <c r="AU16" s="1" t="s">
        <v>14</v>
      </c>
      <c r="AV16" s="3">
        <v>1.2222219999999999</v>
      </c>
      <c r="AW16" s="3">
        <v>13.8</v>
      </c>
      <c r="AX16" s="2">
        <v>35.294130000000003</v>
      </c>
      <c r="AY16" s="2">
        <v>14.671279999999999</v>
      </c>
      <c r="AZ16" s="2">
        <v>-13.772360000000001</v>
      </c>
      <c r="BA16" s="2">
        <v>4.7873380000000001</v>
      </c>
      <c r="BB16" s="2">
        <v>-4.2702970000000002</v>
      </c>
      <c r="BC16" s="3">
        <v>8.67</v>
      </c>
      <c r="BD16" s="2">
        <v>17.64705</v>
      </c>
      <c r="BE16" s="3">
        <v>10.81</v>
      </c>
      <c r="BF16" s="2">
        <v>-5.6429270000000002</v>
      </c>
      <c r="BG16" s="2">
        <v>29.293669999999999</v>
      </c>
      <c r="BH16" s="2">
        <v>37.36448</v>
      </c>
      <c r="BI16" s="2">
        <v>43.8035</v>
      </c>
      <c r="BJ16" s="2">
        <v>40.260849999999998</v>
      </c>
      <c r="BK16" s="2">
        <v>16</v>
      </c>
      <c r="BL16" s="2">
        <v>16</v>
      </c>
      <c r="BM16" s="4">
        <v>18</v>
      </c>
      <c r="BN16" s="4">
        <v>0</v>
      </c>
      <c r="BO16" s="4">
        <v>0</v>
      </c>
      <c r="BP16" s="4">
        <v>18</v>
      </c>
      <c r="BQ16" s="2">
        <v>0</v>
      </c>
      <c r="BR16" s="4">
        <v>16</v>
      </c>
      <c r="BS16" s="4">
        <v>1</v>
      </c>
      <c r="BT16" s="4">
        <v>18</v>
      </c>
      <c r="BU16" s="2">
        <v>88.888890000000004</v>
      </c>
      <c r="BV16" s="2">
        <v>9.1125100000000003</v>
      </c>
      <c r="BW16" s="2">
        <v>249.33539999999999</v>
      </c>
      <c r="BX16" s="3">
        <v>0.81435599999999997</v>
      </c>
      <c r="BY16" s="3">
        <v>0.32661069999999998</v>
      </c>
      <c r="BZ16" s="2">
        <v>1.4696899999999999</v>
      </c>
      <c r="CA16" s="3">
        <v>0.32661069999999998</v>
      </c>
      <c r="CB16" s="3">
        <v>1.6023970000000001</v>
      </c>
      <c r="CC16" s="3">
        <v>1.5915280000000001</v>
      </c>
      <c r="CD16" s="2">
        <v>-0.67833659999999996</v>
      </c>
      <c r="CE16" s="3">
        <v>578.73929999999996</v>
      </c>
      <c r="CF16" s="3">
        <v>575.49779999999998</v>
      </c>
      <c r="CG16" s="2">
        <v>-0.560087</v>
      </c>
      <c r="CH16" s="3">
        <v>13.316470000000001</v>
      </c>
      <c r="CI16" s="2">
        <v>3.6310669999999998</v>
      </c>
      <c r="CJ16" s="3">
        <v>6541.0540000000001</v>
      </c>
      <c r="CK16" s="3">
        <v>6639.3720000000003</v>
      </c>
      <c r="CL16" s="2">
        <v>1.5030859999999999</v>
      </c>
      <c r="CM16" s="3">
        <v>9.7418440000000004</v>
      </c>
      <c r="CN16" s="3">
        <v>10.264390000000001</v>
      </c>
      <c r="CO16" s="3">
        <v>10.09342</v>
      </c>
      <c r="CP16" s="2">
        <v>4.7029610000000002</v>
      </c>
      <c r="CQ16" s="2">
        <v>-0.62732699999999997</v>
      </c>
      <c r="CR16" s="2">
        <v>1.0558959999999999</v>
      </c>
      <c r="CS16" s="2">
        <v>5.3639409999999996</v>
      </c>
      <c r="CT16" s="2">
        <v>8.3928560000000001</v>
      </c>
      <c r="CU16" s="3">
        <v>0.33000889999999999</v>
      </c>
      <c r="CV16" s="2">
        <v>1.818182</v>
      </c>
      <c r="CW16" s="2">
        <v>3.2123350000000002E-2</v>
      </c>
      <c r="CX16" s="2">
        <v>-0.82760549999999999</v>
      </c>
      <c r="CY16" s="2">
        <v>15.494949999999999</v>
      </c>
    </row>
    <row r="17" spans="1:103" ht="15" customHeight="1" x14ac:dyDescent="0.2">
      <c r="A17" s="1">
        <f t="shared" si="0"/>
        <v>11</v>
      </c>
      <c r="B17" s="1" t="s">
        <v>37</v>
      </c>
      <c r="C17" s="1" t="s">
        <v>36</v>
      </c>
      <c r="D17" s="1" t="s">
        <v>38</v>
      </c>
      <c r="E17" s="1" t="s">
        <v>39</v>
      </c>
      <c r="F17" s="2">
        <v>2819.404</v>
      </c>
      <c r="G17" s="2">
        <v>65.385599999999997</v>
      </c>
      <c r="H17" s="2">
        <v>1843.4839999999999</v>
      </c>
      <c r="I17" s="3">
        <v>15.96</v>
      </c>
      <c r="J17" s="3">
        <v>0</v>
      </c>
      <c r="K17" s="2">
        <v>1.566416</v>
      </c>
      <c r="L17" s="2">
        <v>1.6447369999999999</v>
      </c>
      <c r="M17" s="2">
        <v>2.0050129999999999</v>
      </c>
      <c r="N17" s="2">
        <v>2.1929820000000002</v>
      </c>
      <c r="O17" s="2">
        <v>17.733329999999999</v>
      </c>
      <c r="P17" s="2">
        <v>12.97561</v>
      </c>
      <c r="Q17" s="2">
        <v>11.735290000000001</v>
      </c>
      <c r="R17" s="2">
        <v>10.8942</v>
      </c>
      <c r="S17" s="2">
        <v>4.8073180000000004</v>
      </c>
      <c r="T17" s="2">
        <v>5.9270620000000003</v>
      </c>
      <c r="U17" s="2">
        <v>5.90937</v>
      </c>
      <c r="V17" s="2">
        <v>5.2127590000000001</v>
      </c>
      <c r="W17" s="2">
        <v>2.8928419999999999</v>
      </c>
      <c r="X17" s="2">
        <v>2.4329269999999998</v>
      </c>
      <c r="Y17" s="2">
        <v>2.1251660000000001</v>
      </c>
      <c r="Z17" s="2">
        <v>1.868852</v>
      </c>
      <c r="AA17" s="2">
        <v>9.6962250000000001</v>
      </c>
      <c r="AB17" s="2">
        <v>8.8595450000000007</v>
      </c>
      <c r="AC17" s="2">
        <v>8.2332359999999998</v>
      </c>
      <c r="AD17" s="2">
        <v>7.840929</v>
      </c>
      <c r="AE17" s="2">
        <v>6.9712730000000001</v>
      </c>
      <c r="AF17" s="2">
        <v>8.5577170000000002</v>
      </c>
      <c r="AG17" s="2">
        <v>9.9468940000000003</v>
      </c>
      <c r="AH17" s="2">
        <v>7.3100199999999997</v>
      </c>
      <c r="AI17" s="2">
        <v>8.5521799999999999</v>
      </c>
      <c r="AJ17" s="2">
        <v>9.2806840000000008</v>
      </c>
      <c r="AK17" s="3">
        <v>0.81587670000000001</v>
      </c>
      <c r="AL17" s="3">
        <v>0.73955289999999996</v>
      </c>
      <c r="AM17" s="2">
        <v>10.3947</v>
      </c>
      <c r="AN17" s="2">
        <v>10.36778</v>
      </c>
      <c r="AO17" s="2">
        <v>10.65099</v>
      </c>
      <c r="AP17" s="2">
        <v>10.837440000000001</v>
      </c>
      <c r="AQ17" s="2">
        <v>0.1074194</v>
      </c>
      <c r="AR17" s="2">
        <v>0.3110947</v>
      </c>
      <c r="AS17" s="2">
        <v>-3.8265909999999998E-3</v>
      </c>
      <c r="AT17" s="2">
        <v>-0.37419639999999998</v>
      </c>
      <c r="AU17" s="1" t="s">
        <v>5</v>
      </c>
      <c r="AV17" s="3">
        <v>1.5</v>
      </c>
      <c r="AW17" s="3">
        <v>16.45</v>
      </c>
      <c r="AX17" s="2">
        <v>3.070176</v>
      </c>
      <c r="AY17" s="2">
        <v>18.75</v>
      </c>
      <c r="AZ17" s="2">
        <v>15.824439999999999</v>
      </c>
      <c r="BA17" s="2">
        <v>39.267009999999999</v>
      </c>
      <c r="BB17" s="2">
        <v>14</v>
      </c>
      <c r="BC17" s="3">
        <v>11.08</v>
      </c>
      <c r="BD17" s="2">
        <v>44.043329999999997</v>
      </c>
      <c r="BE17" s="3">
        <v>16.62</v>
      </c>
      <c r="BF17" s="2">
        <v>-3.9711240000000001</v>
      </c>
      <c r="BG17" s="2">
        <v>24.33531</v>
      </c>
      <c r="BH17" s="2">
        <v>22.442160000000001</v>
      </c>
      <c r="BI17" s="2">
        <v>24.429960000000001</v>
      </c>
      <c r="BJ17" s="2">
        <v>23.144020000000001</v>
      </c>
      <c r="BK17" s="2">
        <v>14</v>
      </c>
      <c r="BL17" s="2">
        <v>14</v>
      </c>
      <c r="BM17" s="4">
        <v>14</v>
      </c>
      <c r="BN17" s="4">
        <v>1</v>
      </c>
      <c r="BO17" s="4">
        <v>0</v>
      </c>
      <c r="BP17" s="4">
        <v>12</v>
      </c>
      <c r="BQ17" s="2">
        <v>7.6923079999999997</v>
      </c>
      <c r="BR17" s="4">
        <v>7</v>
      </c>
      <c r="BS17" s="4">
        <v>0</v>
      </c>
      <c r="BT17" s="4">
        <v>14</v>
      </c>
      <c r="BU17" s="2">
        <v>50</v>
      </c>
      <c r="BV17" s="2">
        <v>8.3163999999999998</v>
      </c>
      <c r="BW17" s="2">
        <v>176.65440000000001</v>
      </c>
      <c r="BX17" s="3">
        <v>0.50902369999999997</v>
      </c>
      <c r="BY17" s="3">
        <v>0.28814659999999997</v>
      </c>
      <c r="BZ17" s="2">
        <v>0.40801999999999999</v>
      </c>
      <c r="CA17" s="3">
        <v>0.28814659999999997</v>
      </c>
      <c r="CB17" s="3">
        <v>1.249849</v>
      </c>
      <c r="CC17" s="3">
        <v>1.236175</v>
      </c>
      <c r="CD17" s="2">
        <v>-1.0940730000000001</v>
      </c>
      <c r="CE17" s="3">
        <v>349.68400000000003</v>
      </c>
      <c r="CF17" s="3">
        <v>348.69659999999999</v>
      </c>
      <c r="CG17" s="2">
        <v>-0.282383</v>
      </c>
      <c r="CH17" s="3">
        <v>15.95388</v>
      </c>
      <c r="CI17" s="2">
        <v>3.1096940000000002</v>
      </c>
      <c r="CJ17" s="3">
        <v>4202.4399999999996</v>
      </c>
      <c r="CK17" s="3">
        <v>4249.0510000000004</v>
      </c>
      <c r="CL17" s="2">
        <v>1.109135</v>
      </c>
      <c r="CM17" s="3">
        <v>13.38458</v>
      </c>
      <c r="CN17" s="3">
        <v>14.94608</v>
      </c>
      <c r="CO17" s="3">
        <v>15.83615</v>
      </c>
      <c r="CP17" s="2">
        <v>19.24173</v>
      </c>
      <c r="CQ17" s="2">
        <v>6.7838669999999999</v>
      </c>
      <c r="CR17" s="2">
        <v>0.78204870000000004</v>
      </c>
      <c r="CS17" s="2">
        <v>11.66643</v>
      </c>
      <c r="CT17" s="2">
        <v>5.5239209999999996</v>
      </c>
      <c r="CU17" s="3">
        <v>0.19592509999999999</v>
      </c>
      <c r="CV17" s="2">
        <v>-1.5711740000000001</v>
      </c>
      <c r="CW17" s="2">
        <v>3.9766550000000001</v>
      </c>
      <c r="CX17" s="2">
        <v>-1.111111</v>
      </c>
      <c r="CY17" s="2">
        <v>15.63636</v>
      </c>
    </row>
    <row r="18" spans="1:103" ht="15" customHeight="1" x14ac:dyDescent="0.2">
      <c r="A18" s="1">
        <f t="shared" si="0"/>
        <v>12</v>
      </c>
      <c r="B18" s="1" t="s">
        <v>41</v>
      </c>
      <c r="C18" s="1" t="s">
        <v>40</v>
      </c>
      <c r="D18" s="1" t="s">
        <v>34</v>
      </c>
      <c r="E18" s="1" t="s">
        <v>35</v>
      </c>
      <c r="F18" s="2">
        <v>21469.49</v>
      </c>
      <c r="G18" s="2" t="e">
        <v>#N/A</v>
      </c>
      <c r="H18" s="2" t="e">
        <v>#N/A</v>
      </c>
      <c r="I18" s="3">
        <v>25.175000000000001</v>
      </c>
      <c r="J18" s="3">
        <v>0</v>
      </c>
      <c r="K18" s="2">
        <v>1.845472</v>
      </c>
      <c r="L18" s="2">
        <v>1.845472</v>
      </c>
      <c r="M18" s="2">
        <v>1.997325</v>
      </c>
      <c r="N18" s="2">
        <v>2.2743760000000002</v>
      </c>
      <c r="O18" s="2">
        <v>24.856269999999999</v>
      </c>
      <c r="P18" s="2">
        <v>6.1703429999999999</v>
      </c>
      <c r="Q18" s="2">
        <v>5.0473809999999997</v>
      </c>
      <c r="R18" s="2">
        <v>4.7479709999999997</v>
      </c>
      <c r="S18" s="2">
        <v>3.501239</v>
      </c>
      <c r="T18" s="2">
        <v>3.6954669999999998</v>
      </c>
      <c r="U18" s="2">
        <v>3.3771990000000001</v>
      </c>
      <c r="V18" s="2">
        <v>2.8667129999999998</v>
      </c>
      <c r="W18" s="2">
        <v>0.42287079999999999</v>
      </c>
      <c r="X18" s="2">
        <v>0.38270120000000002</v>
      </c>
      <c r="Y18" s="2">
        <v>0.35048610000000002</v>
      </c>
      <c r="Z18" s="2">
        <v>0.32235730000000001</v>
      </c>
      <c r="AA18" s="2">
        <v>3.2942650000000002</v>
      </c>
      <c r="AB18" s="2">
        <v>3.55722</v>
      </c>
      <c r="AC18" s="2">
        <v>3.2353909999999999</v>
      </c>
      <c r="AD18" s="2">
        <v>2.7814019999999999</v>
      </c>
      <c r="AE18" s="2">
        <v>5.9224180000000004</v>
      </c>
      <c r="AF18" s="2">
        <v>6.4184720000000004</v>
      </c>
      <c r="AG18" s="2">
        <v>11.014699999999999</v>
      </c>
      <c r="AH18" s="2">
        <v>6.813631</v>
      </c>
      <c r="AI18" s="2">
        <v>7.2562879999999996</v>
      </c>
      <c r="AJ18" s="2">
        <v>11.432779999999999</v>
      </c>
      <c r="AK18" s="3">
        <v>0.35801810000000001</v>
      </c>
      <c r="AL18" s="3">
        <v>0.30136639999999998</v>
      </c>
      <c r="AM18" s="2">
        <v>11.069940000000001</v>
      </c>
      <c r="AN18" s="2">
        <v>11.05448</v>
      </c>
      <c r="AO18" s="2">
        <v>11.834199999999999</v>
      </c>
      <c r="AP18" s="2">
        <v>12.8454</v>
      </c>
      <c r="AQ18" s="2">
        <v>0.38343480000000002</v>
      </c>
      <c r="AR18" s="2">
        <v>0.48303040000000003</v>
      </c>
      <c r="AS18" s="2">
        <v>0.3896616</v>
      </c>
      <c r="AT18" s="2">
        <v>0.1047515</v>
      </c>
      <c r="AU18" s="1" t="s">
        <v>14</v>
      </c>
      <c r="AV18" s="3">
        <v>1.266667</v>
      </c>
      <c r="AW18" s="3">
        <v>31.592639999999999</v>
      </c>
      <c r="AX18" s="2">
        <v>25.49212</v>
      </c>
      <c r="AY18" s="2">
        <v>6.2022690000000003</v>
      </c>
      <c r="AZ18" s="2">
        <v>17.313800000000001</v>
      </c>
      <c r="BA18" s="2">
        <v>-9.5563120000000001</v>
      </c>
      <c r="BB18" s="2">
        <v>-1.9092199999999999</v>
      </c>
      <c r="BC18" s="3">
        <v>19.920000000000002</v>
      </c>
      <c r="BD18" s="2">
        <v>26.380520000000001</v>
      </c>
      <c r="BE18" s="3">
        <v>30.5</v>
      </c>
      <c r="BF18" s="2">
        <v>-17.459019999999999</v>
      </c>
      <c r="BG18" s="2">
        <v>44.053159999999998</v>
      </c>
      <c r="BH18" s="2">
        <v>12.1744</v>
      </c>
      <c r="BI18" s="2">
        <v>10.971</v>
      </c>
      <c r="BJ18" s="2">
        <v>10.048909999999999</v>
      </c>
      <c r="BK18" s="2">
        <v>13</v>
      </c>
      <c r="BL18" s="2">
        <v>11</v>
      </c>
      <c r="BM18" s="4">
        <v>15</v>
      </c>
      <c r="BN18" s="4">
        <v>2</v>
      </c>
      <c r="BO18" s="4">
        <v>0</v>
      </c>
      <c r="BP18" s="4">
        <v>13</v>
      </c>
      <c r="BQ18" s="2">
        <v>13.33333</v>
      </c>
      <c r="BR18" s="4">
        <v>11</v>
      </c>
      <c r="BS18" s="4">
        <v>0</v>
      </c>
      <c r="BT18" s="4">
        <v>15</v>
      </c>
      <c r="BU18" s="2">
        <v>73.333340000000007</v>
      </c>
      <c r="BV18" s="2">
        <v>11.1663</v>
      </c>
      <c r="BW18" s="2">
        <v>852.8098</v>
      </c>
      <c r="BX18" s="3">
        <v>0.24384110000000001</v>
      </c>
      <c r="BY18" s="3">
        <v>2.8592670000000001E-2</v>
      </c>
      <c r="BZ18" s="2">
        <v>1.81416</v>
      </c>
      <c r="CA18" s="3">
        <v>2.8592670000000001E-2</v>
      </c>
      <c r="CB18" s="3">
        <v>3.808608</v>
      </c>
      <c r="CC18" s="3">
        <v>4.0613659999999996</v>
      </c>
      <c r="CD18" s="2">
        <v>6.6364770000000002</v>
      </c>
      <c r="CE18" s="3">
        <v>4132.2060000000001</v>
      </c>
      <c r="CF18" s="3">
        <v>4350.7330000000002</v>
      </c>
      <c r="CG18" s="2">
        <v>5.2883979999999999</v>
      </c>
      <c r="CH18" s="3">
        <v>29.978570000000001</v>
      </c>
      <c r="CI18" s="2">
        <v>5.3840880000000002</v>
      </c>
      <c r="CJ18" s="3">
        <v>62522.76</v>
      </c>
      <c r="CK18" s="3">
        <v>60273.46</v>
      </c>
      <c r="CL18" s="2">
        <v>-3.597569</v>
      </c>
      <c r="CM18" s="3">
        <v>24.112110000000001</v>
      </c>
      <c r="CN18" s="3">
        <v>25.182549999999999</v>
      </c>
      <c r="CO18" s="3">
        <v>25.133649999999999</v>
      </c>
      <c r="CP18" s="2">
        <v>4.4081089999999996</v>
      </c>
      <c r="CQ18" s="2">
        <v>-2.9987099999999999E-2</v>
      </c>
      <c r="CR18" s="2">
        <v>0.16450880000000001</v>
      </c>
      <c r="CS18" s="2">
        <v>4.439425</v>
      </c>
      <c r="CT18" s="2">
        <v>5.6457810000000004</v>
      </c>
      <c r="CU18" s="3">
        <v>2.6296770000000001E-2</v>
      </c>
      <c r="CV18" s="2">
        <v>-60.867530000000002</v>
      </c>
      <c r="CW18" s="2">
        <v>-4.6895049999999996</v>
      </c>
      <c r="CX18" s="2" t="e">
        <v>#N/A</v>
      </c>
      <c r="CY18" s="2">
        <v>15.65263</v>
      </c>
    </row>
    <row r="19" spans="1:103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25</v>
      </c>
      <c r="E19" s="1" t="s">
        <v>44</v>
      </c>
      <c r="F19" s="2">
        <v>3555.0450000000001</v>
      </c>
      <c r="G19" s="2">
        <v>44.114199999999997</v>
      </c>
      <c r="H19" s="2">
        <v>1568.28</v>
      </c>
      <c r="I19" s="3">
        <v>26.78</v>
      </c>
      <c r="J19" s="3">
        <v>0</v>
      </c>
      <c r="K19" s="2">
        <v>6.9081400000000004</v>
      </c>
      <c r="L19" s="2">
        <v>7.2815539999999999</v>
      </c>
      <c r="M19" s="2">
        <v>7.356236</v>
      </c>
      <c r="N19" s="2">
        <v>7.5429430000000002</v>
      </c>
      <c r="O19" s="2">
        <v>10.93061</v>
      </c>
      <c r="P19" s="2">
        <v>10.8028</v>
      </c>
      <c r="Q19" s="2">
        <v>10.88618</v>
      </c>
      <c r="R19" s="2">
        <v>10.48141</v>
      </c>
      <c r="S19" s="2">
        <v>4.0517260000000004</v>
      </c>
      <c r="T19" s="2">
        <v>5.1393019999999998</v>
      </c>
      <c r="U19" s="2">
        <v>3.0528379999999999</v>
      </c>
      <c r="V19" s="2">
        <v>4.5119470000000002</v>
      </c>
      <c r="W19" s="2">
        <v>6.0179780000000003</v>
      </c>
      <c r="X19" s="2">
        <v>5.7965369999999998</v>
      </c>
      <c r="Y19" s="2">
        <v>5.5617859999999997</v>
      </c>
      <c r="Z19" s="2">
        <v>5.2</v>
      </c>
      <c r="AA19" s="2">
        <v>9.7205080000000006</v>
      </c>
      <c r="AB19" s="2">
        <v>8.6666670000000003</v>
      </c>
      <c r="AC19" s="2">
        <v>8.7516350000000003</v>
      </c>
      <c r="AD19" s="2">
        <v>8.3949839999999991</v>
      </c>
      <c r="AE19" s="2">
        <v>14.18402</v>
      </c>
      <c r="AF19" s="2">
        <v>23.700119999999998</v>
      </c>
      <c r="AG19" s="2">
        <v>14.434670000000001</v>
      </c>
      <c r="AH19" s="2">
        <v>9.4720320000000005</v>
      </c>
      <c r="AI19" s="2">
        <v>9.6468939999999996</v>
      </c>
      <c r="AJ19" s="2">
        <v>9.2699239999999996</v>
      </c>
      <c r="AK19" s="3" t="e">
        <v>#N/A</v>
      </c>
      <c r="AL19" s="3" t="e">
        <v>#N/A</v>
      </c>
      <c r="AM19" s="2">
        <v>27.96912</v>
      </c>
      <c r="AN19" s="2">
        <v>26.919530000000002</v>
      </c>
      <c r="AO19" s="2">
        <v>27.080829999999999</v>
      </c>
      <c r="AP19" s="2">
        <v>27.983779999999999</v>
      </c>
      <c r="AQ19" s="2">
        <v>-2.8478919999999999</v>
      </c>
      <c r="AR19" s="2">
        <v>-2.556613</v>
      </c>
      <c r="AS19" s="2">
        <v>-4.4472579999999997</v>
      </c>
      <c r="AT19" s="2">
        <v>-2.5138340000000001</v>
      </c>
      <c r="AU19" s="1" t="s">
        <v>14</v>
      </c>
      <c r="AV19" s="3">
        <v>1.0833330000000001</v>
      </c>
      <c r="AW19" s="3">
        <v>30.1</v>
      </c>
      <c r="AX19" s="2">
        <v>12.397309999999999</v>
      </c>
      <c r="AY19" s="2">
        <v>53.65775</v>
      </c>
      <c r="AZ19" s="2" t="e">
        <v>#N/A</v>
      </c>
      <c r="BA19" s="2">
        <v>8.4210510000000003</v>
      </c>
      <c r="BB19" s="2">
        <v>9.3954319999999996</v>
      </c>
      <c r="BC19" s="3">
        <v>21.94</v>
      </c>
      <c r="BD19" s="2">
        <v>22.060169999999999</v>
      </c>
      <c r="BE19" s="3">
        <v>27</v>
      </c>
      <c r="BF19" s="2">
        <v>-0.81481340000000002</v>
      </c>
      <c r="BG19" s="2">
        <v>75.253309999999999</v>
      </c>
      <c r="BH19" s="2">
        <v>81.380889999999994</v>
      </c>
      <c r="BI19" s="2">
        <v>80.65813</v>
      </c>
      <c r="BJ19" s="2">
        <v>80.725750000000005</v>
      </c>
      <c r="BK19" s="2">
        <v>10</v>
      </c>
      <c r="BL19" s="2">
        <v>11</v>
      </c>
      <c r="BM19" s="4">
        <v>12</v>
      </c>
      <c r="BN19" s="4">
        <v>1</v>
      </c>
      <c r="BO19" s="4">
        <v>0</v>
      </c>
      <c r="BP19" s="4">
        <v>11</v>
      </c>
      <c r="BQ19" s="2">
        <v>8.3333340000000007</v>
      </c>
      <c r="BR19" s="4">
        <v>12</v>
      </c>
      <c r="BS19" s="4">
        <v>0</v>
      </c>
      <c r="BT19" s="4">
        <v>12</v>
      </c>
      <c r="BU19" s="2">
        <v>100</v>
      </c>
      <c r="BV19" s="2">
        <v>5.3014400000000004</v>
      </c>
      <c r="BW19" s="2">
        <v>132.75</v>
      </c>
      <c r="BX19" s="3">
        <v>0.1713392</v>
      </c>
      <c r="BY19" s="3">
        <v>0.12906909999999999</v>
      </c>
      <c r="BZ19" s="2">
        <v>0.617672</v>
      </c>
      <c r="CA19" s="3">
        <v>0.12906909999999999</v>
      </c>
      <c r="CB19" s="3">
        <v>2.340039</v>
      </c>
      <c r="CC19" s="3">
        <v>2.3983089999999998</v>
      </c>
      <c r="CD19" s="2">
        <v>2.4901270000000002</v>
      </c>
      <c r="CE19" s="3">
        <v>346.69499999999999</v>
      </c>
      <c r="CF19" s="3">
        <v>337.81779999999998</v>
      </c>
      <c r="CG19" s="2">
        <v>-2.5605199999999999</v>
      </c>
      <c r="CH19" s="3">
        <v>29.564</v>
      </c>
      <c r="CI19" s="2">
        <v>1.813018</v>
      </c>
      <c r="CJ19" s="3">
        <v>1717.3440000000001</v>
      </c>
      <c r="CK19" s="3">
        <v>1716.539</v>
      </c>
      <c r="CL19" s="2">
        <v>-4.6861170000000001E-2</v>
      </c>
      <c r="CM19" s="3">
        <v>24.40737</v>
      </c>
      <c r="CN19" s="3">
        <v>25.165489999999998</v>
      </c>
      <c r="CO19" s="3">
        <v>25.982309999999998</v>
      </c>
      <c r="CP19" s="2">
        <v>9.7209570000000003</v>
      </c>
      <c r="CQ19" s="2">
        <v>6.4155579999999999</v>
      </c>
      <c r="CR19" s="2">
        <v>3.070128</v>
      </c>
      <c r="CS19" s="2">
        <v>3.1061290000000001</v>
      </c>
      <c r="CT19" s="2">
        <v>4.2346969999999997</v>
      </c>
      <c r="CU19" s="3">
        <v>0.119118</v>
      </c>
      <c r="CV19" s="2" t="e">
        <v>#N/A</v>
      </c>
      <c r="CW19" s="2">
        <v>1.0438909999999999</v>
      </c>
      <c r="CX19" s="2">
        <v>2.0642200000000002</v>
      </c>
      <c r="CY19" s="2">
        <v>16.404039999999998</v>
      </c>
    </row>
    <row r="20" spans="1:103" ht="15" customHeight="1" x14ac:dyDescent="0.2">
      <c r="A20" s="1">
        <f t="shared" si="0"/>
        <v>14</v>
      </c>
      <c r="B20" s="1" t="s">
        <v>46</v>
      </c>
      <c r="C20" s="1" t="s">
        <v>45</v>
      </c>
      <c r="D20" s="1" t="s">
        <v>47</v>
      </c>
      <c r="E20" s="1" t="s">
        <v>48</v>
      </c>
      <c r="F20" s="2">
        <v>122203.9</v>
      </c>
      <c r="G20" s="2">
        <v>40.5749</v>
      </c>
      <c r="H20" s="2">
        <v>49584.12</v>
      </c>
      <c r="I20" s="3">
        <v>39.21</v>
      </c>
      <c r="J20" s="3">
        <v>0</v>
      </c>
      <c r="K20" s="2">
        <v>3.0604439999999999</v>
      </c>
      <c r="L20" s="2">
        <v>3.902066</v>
      </c>
      <c r="M20" s="2">
        <v>4.3411429999999998</v>
      </c>
      <c r="N20" s="2">
        <v>4.6671769999999997</v>
      </c>
      <c r="O20" s="2">
        <v>29.54785</v>
      </c>
      <c r="P20" s="2">
        <v>22.796510000000001</v>
      </c>
      <c r="Q20" s="2">
        <v>20.823599999999999</v>
      </c>
      <c r="R20" s="2">
        <v>19.376799999999999</v>
      </c>
      <c r="S20" s="2">
        <v>7.7903580000000003</v>
      </c>
      <c r="T20" s="2">
        <v>11.3187</v>
      </c>
      <c r="U20" s="2">
        <v>10.35585</v>
      </c>
      <c r="V20" s="2">
        <v>9.7241739999999997</v>
      </c>
      <c r="W20" s="2">
        <v>7.1766649999999998</v>
      </c>
      <c r="X20" s="2">
        <v>6.5678390000000002</v>
      </c>
      <c r="Y20" s="2">
        <v>6.1554159999999998</v>
      </c>
      <c r="Z20" s="2">
        <v>5.8567879999999999</v>
      </c>
      <c r="AA20" s="2">
        <v>21.783329999999999</v>
      </c>
      <c r="AB20" s="2">
        <v>15.53919</v>
      </c>
      <c r="AC20" s="2">
        <v>13.740019999999999</v>
      </c>
      <c r="AD20" s="2">
        <v>15.138999999999999</v>
      </c>
      <c r="AE20" s="2">
        <v>5.2467319999999997</v>
      </c>
      <c r="AF20" s="2">
        <v>5.6943840000000003</v>
      </c>
      <c r="AG20" s="2">
        <v>6.0474889999999997</v>
      </c>
      <c r="AH20" s="2">
        <v>4.7434130000000003</v>
      </c>
      <c r="AI20" s="2">
        <v>5.0967890000000002</v>
      </c>
      <c r="AJ20" s="2">
        <v>5.3765749999999999</v>
      </c>
      <c r="AK20" s="3">
        <v>2.0880800000000002</v>
      </c>
      <c r="AL20" s="3">
        <v>1.913365</v>
      </c>
      <c r="AM20" s="2">
        <v>26.55593</v>
      </c>
      <c r="AN20" s="2">
        <v>27.301659999999998</v>
      </c>
      <c r="AO20" s="2">
        <v>27.399460000000001</v>
      </c>
      <c r="AP20" s="2">
        <v>27.289400000000001</v>
      </c>
      <c r="AQ20" s="2">
        <v>-1.1642969999999999</v>
      </c>
      <c r="AR20" s="2">
        <v>-1.1936059999999999</v>
      </c>
      <c r="AS20" s="2">
        <v>-1.2142139999999999</v>
      </c>
      <c r="AT20" s="2">
        <v>-1.213428</v>
      </c>
      <c r="AU20" s="1" t="s">
        <v>14</v>
      </c>
      <c r="AV20" s="3">
        <v>1.482143</v>
      </c>
      <c r="AW20" s="3">
        <v>40.5</v>
      </c>
      <c r="AX20" s="2">
        <v>3.289974</v>
      </c>
      <c r="AY20" s="2">
        <v>28.81072</v>
      </c>
      <c r="AZ20" s="2">
        <v>11.132770000000001</v>
      </c>
      <c r="BA20" s="2">
        <v>38.600200000000001</v>
      </c>
      <c r="BB20" s="2">
        <v>-0.55795309999999998</v>
      </c>
      <c r="BC20" s="3">
        <v>27.45</v>
      </c>
      <c r="BD20" s="2">
        <v>42.841520000000003</v>
      </c>
      <c r="BE20" s="3">
        <v>40.119999999999997</v>
      </c>
      <c r="BF20" s="2">
        <v>-2.268195</v>
      </c>
      <c r="BG20" s="2">
        <v>90.393649999999994</v>
      </c>
      <c r="BH20" s="2">
        <v>91.193290000000005</v>
      </c>
      <c r="BI20" s="2">
        <v>91.531670000000005</v>
      </c>
      <c r="BJ20" s="2">
        <v>90.263570000000001</v>
      </c>
      <c r="BK20" s="2">
        <v>27</v>
      </c>
      <c r="BL20" s="2">
        <v>26</v>
      </c>
      <c r="BM20" s="4">
        <v>28</v>
      </c>
      <c r="BN20" s="4">
        <v>1</v>
      </c>
      <c r="BO20" s="4">
        <v>3</v>
      </c>
      <c r="BP20" s="4">
        <v>25</v>
      </c>
      <c r="BQ20" s="2">
        <v>3.4482759999999999</v>
      </c>
      <c r="BR20" s="4">
        <v>18</v>
      </c>
      <c r="BS20" s="4">
        <v>2</v>
      </c>
      <c r="BT20" s="4">
        <v>28</v>
      </c>
      <c r="BU20" s="2">
        <v>64.285709999999995</v>
      </c>
      <c r="BV20" s="2">
        <v>7.7734199999999998</v>
      </c>
      <c r="BW20" s="2">
        <v>3116.652</v>
      </c>
      <c r="BX20" s="3">
        <v>2.8753600000000001</v>
      </c>
      <c r="BY20" s="3">
        <v>9.2257950000000005E-2</v>
      </c>
      <c r="BZ20" s="2">
        <v>1.23587</v>
      </c>
      <c r="CA20" s="3">
        <v>9.2257950000000005E-2</v>
      </c>
      <c r="CB20" s="3">
        <v>1.681378</v>
      </c>
      <c r="CC20" s="3">
        <v>1.686733</v>
      </c>
      <c r="CD20" s="2">
        <v>0.3185153</v>
      </c>
      <c r="CE20" s="3">
        <v>6630.0609999999997</v>
      </c>
      <c r="CF20" s="3">
        <v>6774.4290000000001</v>
      </c>
      <c r="CG20" s="2">
        <v>2.1774770000000001</v>
      </c>
      <c r="CH20" s="3">
        <v>38.434080000000002</v>
      </c>
      <c r="CI20" s="2">
        <v>5.3752300000000002</v>
      </c>
      <c r="CJ20" s="3">
        <v>36181.230000000003</v>
      </c>
      <c r="CK20" s="3">
        <v>36001.08</v>
      </c>
      <c r="CL20" s="2">
        <v>-0.49791930000000001</v>
      </c>
      <c r="CM20" s="3">
        <v>35.432429999999997</v>
      </c>
      <c r="CN20" s="3">
        <v>38.770789999999998</v>
      </c>
      <c r="CO20" s="3">
        <v>38.977310000000003</v>
      </c>
      <c r="CP20" s="2">
        <v>10.661339999999999</v>
      </c>
      <c r="CQ20" s="2">
        <v>1.132846</v>
      </c>
      <c r="CR20" s="2">
        <v>0.59700010000000003</v>
      </c>
      <c r="CS20" s="2">
        <v>9.4217659999999999</v>
      </c>
      <c r="CT20" s="2">
        <v>74.585300000000004</v>
      </c>
      <c r="CU20" s="3">
        <v>6.1033469999999999E-2</v>
      </c>
      <c r="CV20" s="2">
        <v>0.54109320000000005</v>
      </c>
      <c r="CW20" s="2">
        <v>-1.296818</v>
      </c>
      <c r="CX20" s="2">
        <v>2.9481459999999999</v>
      </c>
      <c r="CY20" s="2">
        <v>16.58586</v>
      </c>
    </row>
    <row r="21" spans="1:103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21</v>
      </c>
      <c r="E21" s="1" t="s">
        <v>22</v>
      </c>
      <c r="F21" s="2">
        <v>4523.3680000000004</v>
      </c>
      <c r="G21" s="2">
        <v>68.853099999999998</v>
      </c>
      <c r="H21" s="2">
        <v>3114.4789999999998</v>
      </c>
      <c r="I21" s="3">
        <v>10.615</v>
      </c>
      <c r="J21" s="3">
        <v>0</v>
      </c>
      <c r="K21" s="2">
        <v>0</v>
      </c>
      <c r="L21" s="2">
        <v>0</v>
      </c>
      <c r="M21" s="2">
        <v>0</v>
      </c>
      <c r="N21" s="2">
        <v>2.6461070000000002</v>
      </c>
      <c r="O21" s="2">
        <v>21.23</v>
      </c>
      <c r="P21" s="2">
        <v>30.356439999999999</v>
      </c>
      <c r="Q21" s="2">
        <v>11.926970000000001</v>
      </c>
      <c r="R21" s="2">
        <v>9.2301719999999996</v>
      </c>
      <c r="S21" s="2">
        <v>13.50792</v>
      </c>
      <c r="T21" s="2">
        <v>13.345789999999999</v>
      </c>
      <c r="U21" s="2">
        <v>8.0965430000000005</v>
      </c>
      <c r="V21" s="2">
        <v>7.105321</v>
      </c>
      <c r="W21" s="2">
        <v>1.182256</v>
      </c>
      <c r="X21" s="2">
        <v>1.1538040000000001</v>
      </c>
      <c r="Y21" s="2">
        <v>1.047361</v>
      </c>
      <c r="Z21" s="2">
        <v>0.98060049999999999</v>
      </c>
      <c r="AA21" s="2">
        <v>35.608229999999999</v>
      </c>
      <c r="AB21" s="2">
        <v>12.789160000000001</v>
      </c>
      <c r="AC21" s="2">
        <v>7.9216410000000002</v>
      </c>
      <c r="AD21" s="2">
        <v>6.5931670000000002</v>
      </c>
      <c r="AE21" s="2">
        <v>1.6484719999999999</v>
      </c>
      <c r="AF21" s="2">
        <v>5.33066</v>
      </c>
      <c r="AG21" s="2">
        <v>6.4048860000000003</v>
      </c>
      <c r="AH21" s="2">
        <v>5.2768350000000002</v>
      </c>
      <c r="AI21" s="2">
        <v>15.51366</v>
      </c>
      <c r="AJ21" s="2">
        <v>18.321570000000001</v>
      </c>
      <c r="AK21" s="3">
        <v>0.90082870000000004</v>
      </c>
      <c r="AL21" s="3">
        <v>0.4067827</v>
      </c>
      <c r="AM21" s="2">
        <v>20.5641</v>
      </c>
      <c r="AN21" s="2">
        <v>21.889800000000001</v>
      </c>
      <c r="AO21" s="2">
        <v>26.461179999999999</v>
      </c>
      <c r="AP21" s="2">
        <v>27.721599999999999</v>
      </c>
      <c r="AQ21" s="2">
        <v>8.1860470000000003</v>
      </c>
      <c r="AR21" s="2">
        <v>6.8845850000000004</v>
      </c>
      <c r="AS21" s="2">
        <v>4.5953869999999997</v>
      </c>
      <c r="AT21" s="2">
        <v>3.9867360000000001</v>
      </c>
      <c r="AU21" s="1" t="s">
        <v>14</v>
      </c>
      <c r="AV21" s="3">
        <v>1.2777780000000001</v>
      </c>
      <c r="AW21" s="3">
        <v>18</v>
      </c>
      <c r="AX21" s="2">
        <v>69.571370000000002</v>
      </c>
      <c r="AY21" s="2">
        <v>3.8008549999999999</v>
      </c>
      <c r="AZ21" s="2">
        <v>28.969090000000001</v>
      </c>
      <c r="BA21" s="2">
        <v>-21.660520000000002</v>
      </c>
      <c r="BB21" s="2">
        <v>-31.31673</v>
      </c>
      <c r="BC21" s="3">
        <v>8.1</v>
      </c>
      <c r="BD21" s="2">
        <v>31.04937</v>
      </c>
      <c r="BE21" s="3">
        <v>15.92</v>
      </c>
      <c r="BF21" s="2">
        <v>-33.322859999999999</v>
      </c>
      <c r="BG21" s="2">
        <v>0</v>
      </c>
      <c r="BH21" s="2">
        <v>1.606757E-2</v>
      </c>
      <c r="BI21" s="2">
        <v>4.8446629999999997</v>
      </c>
      <c r="BJ21" s="2">
        <v>21.047630000000002</v>
      </c>
      <c r="BK21" s="2">
        <v>17</v>
      </c>
      <c r="BL21" s="2">
        <v>16</v>
      </c>
      <c r="BM21" s="4">
        <v>18</v>
      </c>
      <c r="BN21" s="4">
        <v>2</v>
      </c>
      <c r="BO21" s="4">
        <v>0</v>
      </c>
      <c r="BP21" s="4">
        <v>17</v>
      </c>
      <c r="BQ21" s="2">
        <v>10.52632</v>
      </c>
      <c r="BR21" s="4">
        <v>14</v>
      </c>
      <c r="BS21" s="4">
        <v>0</v>
      </c>
      <c r="BT21" s="4">
        <v>18</v>
      </c>
      <c r="BU21" s="2">
        <v>77.777780000000007</v>
      </c>
      <c r="BV21" s="2">
        <v>13.757300000000001</v>
      </c>
      <c r="BW21" s="2">
        <v>426.12979999999999</v>
      </c>
      <c r="BX21" s="3">
        <v>1.8257270000000001</v>
      </c>
      <c r="BY21" s="3">
        <v>0.42844389999999999</v>
      </c>
      <c r="BZ21" s="2">
        <v>1.4763500000000001</v>
      </c>
      <c r="CA21" s="3">
        <v>0.42844389999999999</v>
      </c>
      <c r="CB21" s="3">
        <v>0.47087580000000001</v>
      </c>
      <c r="CC21" s="3">
        <v>0.40676440000000003</v>
      </c>
      <c r="CD21" s="2">
        <v>-13.615360000000001</v>
      </c>
      <c r="CE21" s="3">
        <v>910.59109999999998</v>
      </c>
      <c r="CF21" s="3">
        <v>914.11180000000002</v>
      </c>
      <c r="CG21" s="2">
        <v>0.38663150000000002</v>
      </c>
      <c r="CH21" s="3">
        <v>18.4175</v>
      </c>
      <c r="CI21" s="2">
        <v>-2.2668659999999998</v>
      </c>
      <c r="CJ21" s="3">
        <v>6605.1980000000003</v>
      </c>
      <c r="CK21" s="3">
        <v>6602.6989999999996</v>
      </c>
      <c r="CL21" s="2">
        <v>-3.784299E-2</v>
      </c>
      <c r="CM21" s="3">
        <v>12.10188</v>
      </c>
      <c r="CN21" s="3">
        <v>11.94182</v>
      </c>
      <c r="CO21" s="3">
        <v>9.7801159999999996</v>
      </c>
      <c r="CP21" s="2">
        <v>-12.28637</v>
      </c>
      <c r="CQ21" s="2">
        <v>-11.110709999999999</v>
      </c>
      <c r="CR21" s="2">
        <v>8.5365409999999997</v>
      </c>
      <c r="CS21" s="2">
        <v>-1.3226089999999999</v>
      </c>
      <c r="CT21" s="2">
        <v>35.120359999999998</v>
      </c>
      <c r="CU21" s="3">
        <v>0.77642069999999996</v>
      </c>
      <c r="CV21" s="2">
        <v>-26.10913</v>
      </c>
      <c r="CW21" s="2">
        <v>-6.4985160000000004</v>
      </c>
      <c r="CX21" s="2">
        <v>2.8092160000000002</v>
      </c>
      <c r="CY21" s="2">
        <v>17.0505</v>
      </c>
    </row>
    <row r="22" spans="1:103" ht="15" customHeight="1" x14ac:dyDescent="0.2">
      <c r="A22" s="1">
        <f t="shared" si="0"/>
        <v>16</v>
      </c>
      <c r="B22" s="1" t="s">
        <v>52</v>
      </c>
      <c r="C22" s="1" t="s">
        <v>51</v>
      </c>
      <c r="D22" s="1" t="s">
        <v>25</v>
      </c>
      <c r="E22" s="1" t="s">
        <v>53</v>
      </c>
      <c r="F22" s="2">
        <v>8299.0640000000003</v>
      </c>
      <c r="G22" s="2" t="e">
        <v>#N/A</v>
      </c>
      <c r="H22" s="2" t="e">
        <v>#N/A</v>
      </c>
      <c r="I22" s="3">
        <v>1.6879999999999999</v>
      </c>
      <c r="J22" s="3">
        <v>0</v>
      </c>
      <c r="K22" s="2">
        <v>0</v>
      </c>
      <c r="L22" s="2">
        <v>0</v>
      </c>
      <c r="M22" s="2">
        <v>0</v>
      </c>
      <c r="N22" s="2">
        <v>5.1294409999999999</v>
      </c>
      <c r="O22" s="2">
        <v>30.142849999999999</v>
      </c>
      <c r="P22" s="2">
        <v>3.7511109999999999</v>
      </c>
      <c r="Q22" s="2">
        <v>4.22</v>
      </c>
      <c r="R22" s="2">
        <v>3.7511109999999999</v>
      </c>
      <c r="S22" s="2">
        <v>5.2377390000000004</v>
      </c>
      <c r="T22" s="2">
        <v>3.243681</v>
      </c>
      <c r="U22" s="2">
        <v>3.132358</v>
      </c>
      <c r="V22" s="2">
        <v>2.749501</v>
      </c>
      <c r="W22" s="2">
        <v>4.1583110000000003</v>
      </c>
      <c r="X22" s="2">
        <v>1.934342</v>
      </c>
      <c r="Y22" s="2">
        <v>1.353969</v>
      </c>
      <c r="Z22" s="2">
        <v>0.9988165</v>
      </c>
      <c r="AA22" s="2">
        <v>3.2600340000000001</v>
      </c>
      <c r="AB22" s="2">
        <v>1.9203730000000001</v>
      </c>
      <c r="AC22" s="2">
        <v>1.9255070000000001</v>
      </c>
      <c r="AD22" s="2">
        <v>1.8752409999999999</v>
      </c>
      <c r="AE22" s="2">
        <v>8.4948420000000002</v>
      </c>
      <c r="AF22" s="2">
        <v>3.9593470000000002</v>
      </c>
      <c r="AG22" s="2">
        <v>5.9817580000000001</v>
      </c>
      <c r="AH22" s="2">
        <v>17.911580000000001</v>
      </c>
      <c r="AI22" s="2">
        <v>8.2669329999999999</v>
      </c>
      <c r="AJ22" s="2">
        <v>12.024010000000001</v>
      </c>
      <c r="AK22" s="3">
        <v>5.2065710000000001E-2</v>
      </c>
      <c r="AL22" s="3">
        <v>6.010741E-2</v>
      </c>
      <c r="AM22" s="2">
        <v>14.31978</v>
      </c>
      <c r="AN22" s="2">
        <v>18.881989999999998</v>
      </c>
      <c r="AO22" s="2">
        <v>18.155529999999999</v>
      </c>
      <c r="AP22" s="2">
        <v>19.014019999999999</v>
      </c>
      <c r="AQ22" s="2">
        <v>3.1441110000000001</v>
      </c>
      <c r="AR22" s="2">
        <v>1.658533</v>
      </c>
      <c r="AS22" s="2">
        <v>1.633729</v>
      </c>
      <c r="AT22" s="2">
        <v>1.3830530000000001</v>
      </c>
      <c r="AU22" s="1" t="s">
        <v>5</v>
      </c>
      <c r="AV22" s="3">
        <v>1.566667</v>
      </c>
      <c r="AW22" s="3">
        <v>2.336246</v>
      </c>
      <c r="AX22" s="2">
        <v>38.403179999999999</v>
      </c>
      <c r="AY22" s="2">
        <v>51.56718</v>
      </c>
      <c r="AZ22" s="2">
        <v>71.319469999999995</v>
      </c>
      <c r="BA22" s="2">
        <v>-9.8531359999999992</v>
      </c>
      <c r="BB22" s="2">
        <v>-5.2217900000000004</v>
      </c>
      <c r="BC22" s="3">
        <v>1.4635</v>
      </c>
      <c r="BD22" s="2">
        <v>15.33994</v>
      </c>
      <c r="BE22" s="3">
        <v>2.02</v>
      </c>
      <c r="BF22" s="2">
        <v>-16.435649999999999</v>
      </c>
      <c r="BG22" s="2">
        <v>0</v>
      </c>
      <c r="BH22" s="2">
        <v>0</v>
      </c>
      <c r="BI22" s="2">
        <v>7.6280539999999997</v>
      </c>
      <c r="BJ22" s="2">
        <v>13.704879999999999</v>
      </c>
      <c r="BK22" s="2">
        <v>27</v>
      </c>
      <c r="BL22" s="2">
        <v>26</v>
      </c>
      <c r="BM22" s="4">
        <v>30</v>
      </c>
      <c r="BN22" s="4">
        <v>1</v>
      </c>
      <c r="BO22" s="4">
        <v>1</v>
      </c>
      <c r="BP22" s="4">
        <v>23</v>
      </c>
      <c r="BQ22" s="2">
        <v>4</v>
      </c>
      <c r="BR22" s="4">
        <v>18</v>
      </c>
      <c r="BS22" s="4">
        <v>3</v>
      </c>
      <c r="BT22" s="4">
        <v>30</v>
      </c>
      <c r="BU22" s="2">
        <v>60</v>
      </c>
      <c r="BV22" s="2">
        <v>13.651</v>
      </c>
      <c r="BW22" s="2">
        <v>4916.5069999999996</v>
      </c>
      <c r="BX22" s="3">
        <v>9.6042819999999995</v>
      </c>
      <c r="BY22" s="3">
        <v>0.19534770000000001</v>
      </c>
      <c r="BZ22" s="2">
        <v>2.1151499999999999</v>
      </c>
      <c r="CA22" s="3">
        <v>0.19534770000000001</v>
      </c>
      <c r="CB22" s="3">
        <v>0.42154449999999999</v>
      </c>
      <c r="CC22" s="3">
        <v>0.45458229999999999</v>
      </c>
      <c r="CD22" s="2">
        <v>7.8373189999999999</v>
      </c>
      <c r="CE22" s="3">
        <v>3304.6129999999998</v>
      </c>
      <c r="CF22" s="3">
        <v>3493.1819999999998</v>
      </c>
      <c r="CG22" s="2">
        <v>5.7062390000000001</v>
      </c>
      <c r="CH22" s="3">
        <v>2.4515150000000001</v>
      </c>
      <c r="CI22" s="2">
        <v>-4.7019840000000004</v>
      </c>
      <c r="CJ22" s="3">
        <v>29137.17</v>
      </c>
      <c r="CK22" s="3">
        <v>29378.89</v>
      </c>
      <c r="CL22" s="2">
        <v>0.82958940000000003</v>
      </c>
      <c r="CM22" s="3">
        <v>1.7992140000000001</v>
      </c>
      <c r="CN22" s="3">
        <v>1.7656860000000001</v>
      </c>
      <c r="CO22" s="3">
        <v>1.7194609999999999</v>
      </c>
      <c r="CP22" s="2">
        <v>-6.1812639999999996</v>
      </c>
      <c r="CQ22" s="2">
        <v>-4.399788</v>
      </c>
      <c r="CR22" s="2">
        <v>-1.829731</v>
      </c>
      <c r="CS22" s="2">
        <v>-1.8634679999999999</v>
      </c>
      <c r="CT22" s="2">
        <v>16.086400000000001</v>
      </c>
      <c r="CU22" s="3">
        <v>0.1938338</v>
      </c>
      <c r="CV22" s="2">
        <v>212.744</v>
      </c>
      <c r="CW22" s="2">
        <v>3.2072560000000001</v>
      </c>
      <c r="CX22" s="2">
        <v>13.57</v>
      </c>
      <c r="CY22" s="2">
        <v>17.084209999999999</v>
      </c>
    </row>
    <row r="23" spans="1:103" ht="15" customHeight="1" x14ac:dyDescent="0.2">
      <c r="A23" s="1">
        <f t="shared" si="0"/>
        <v>17</v>
      </c>
      <c r="B23" s="1" t="s">
        <v>55</v>
      </c>
      <c r="C23" s="1" t="s">
        <v>54</v>
      </c>
      <c r="D23" s="1" t="s">
        <v>3</v>
      </c>
      <c r="E23" s="1" t="s">
        <v>4</v>
      </c>
      <c r="F23" s="2">
        <v>6394.98</v>
      </c>
      <c r="G23" s="2">
        <v>96.462299999999999</v>
      </c>
      <c r="H23" s="2">
        <v>6168.7460000000001</v>
      </c>
      <c r="I23" s="3">
        <v>1.1755</v>
      </c>
      <c r="J23" s="3">
        <v>0</v>
      </c>
      <c r="K23" s="2">
        <v>5.1042100000000001</v>
      </c>
      <c r="L23" s="2">
        <v>6.8056140000000003</v>
      </c>
      <c r="M23" s="2">
        <v>6.8056140000000003</v>
      </c>
      <c r="N23" s="2">
        <v>7.5689500000000001</v>
      </c>
      <c r="O23" s="2">
        <v>5.1108690000000001</v>
      </c>
      <c r="P23" s="2">
        <v>4.8979169999999996</v>
      </c>
      <c r="Q23" s="2">
        <v>5.6459190000000001</v>
      </c>
      <c r="R23" s="2">
        <v>5.8775000000000004</v>
      </c>
      <c r="S23" s="2" t="e">
        <v>#N/A</v>
      </c>
      <c r="T23" s="2" t="e">
        <v>#N/A</v>
      </c>
      <c r="U23" s="2" t="e">
        <v>#N/A</v>
      </c>
      <c r="V23" s="2" t="e">
        <v>#N/A</v>
      </c>
      <c r="W23" s="2">
        <v>0.47020000000000001</v>
      </c>
      <c r="X23" s="2">
        <v>0.41832740000000002</v>
      </c>
      <c r="Y23" s="2">
        <v>0.38540990000000003</v>
      </c>
      <c r="Z23" s="2">
        <v>0.37956509999999999</v>
      </c>
      <c r="AA23" s="2" t="e">
        <v>#N/A</v>
      </c>
      <c r="AB23" s="2" t="e">
        <v>#N/A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3">
        <v>0.427819</v>
      </c>
      <c r="AL23" s="3">
        <v>0.4681012</v>
      </c>
      <c r="AM23" s="2" t="e">
        <v>#N/A</v>
      </c>
      <c r="AN23" s="2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1" t="s">
        <v>5</v>
      </c>
      <c r="AV23" s="3">
        <v>1.5238100000000001</v>
      </c>
      <c r="AW23" s="3">
        <v>1.5249999999999999</v>
      </c>
      <c r="AX23" s="2">
        <v>29.732030000000002</v>
      </c>
      <c r="AY23" s="2">
        <v>8.5409249999999997</v>
      </c>
      <c r="AZ23" s="2">
        <v>11.58681</v>
      </c>
      <c r="BA23" s="2">
        <v>-0.67596440000000002</v>
      </c>
      <c r="BB23" s="2">
        <v>5.6154489999999999</v>
      </c>
      <c r="BC23" s="3">
        <v>0.87339999999999995</v>
      </c>
      <c r="BD23" s="2">
        <v>34.588970000000003</v>
      </c>
      <c r="BE23" s="3">
        <v>1.3640000000000001</v>
      </c>
      <c r="BF23" s="2">
        <v>-13.81964</v>
      </c>
      <c r="BG23" s="2">
        <v>31.114180000000001</v>
      </c>
      <c r="BH23" s="2">
        <v>39.180210000000002</v>
      </c>
      <c r="BI23" s="2">
        <v>40.907380000000003</v>
      </c>
      <c r="BJ23" s="2">
        <v>43.048769999999998</v>
      </c>
      <c r="BK23" s="2">
        <v>19</v>
      </c>
      <c r="BL23" s="2">
        <v>12</v>
      </c>
      <c r="BM23" s="4">
        <v>21</v>
      </c>
      <c r="BN23" s="4">
        <v>0</v>
      </c>
      <c r="BO23" s="4">
        <v>1</v>
      </c>
      <c r="BP23" s="4">
        <v>16</v>
      </c>
      <c r="BQ23" s="2">
        <v>0</v>
      </c>
      <c r="BR23" s="4">
        <v>11</v>
      </c>
      <c r="BS23" s="4">
        <v>1</v>
      </c>
      <c r="BT23" s="4">
        <v>21</v>
      </c>
      <c r="BU23" s="2">
        <v>52.380949999999999</v>
      </c>
      <c r="BV23" s="2">
        <v>12.082800000000001</v>
      </c>
      <c r="BW23" s="2">
        <v>5440.2219999999998</v>
      </c>
      <c r="BX23" s="3">
        <v>27.53745</v>
      </c>
      <c r="BY23" s="3">
        <v>0.50618240000000003</v>
      </c>
      <c r="BZ23" s="2">
        <v>1.51979</v>
      </c>
      <c r="CA23" s="3">
        <v>0.50618240000000003</v>
      </c>
      <c r="CB23" s="3">
        <v>0.21797549999999999</v>
      </c>
      <c r="CC23" s="3">
        <v>0.2371366</v>
      </c>
      <c r="CD23" s="2">
        <v>8.7905040000000003</v>
      </c>
      <c r="CE23" s="3">
        <v>2927.1770000000001</v>
      </c>
      <c r="CF23" s="3">
        <v>2904.9630000000002</v>
      </c>
      <c r="CG23" s="2">
        <v>-0.75889830000000003</v>
      </c>
      <c r="CH23" s="3">
        <v>1.620455</v>
      </c>
      <c r="CI23" s="2">
        <v>-5.8906020000000003</v>
      </c>
      <c r="CJ23" s="3">
        <v>5988.4840000000004</v>
      </c>
      <c r="CK23" s="3">
        <v>5963.7849999999999</v>
      </c>
      <c r="CL23" s="2">
        <v>-0.41245219999999999</v>
      </c>
      <c r="CM23" s="3">
        <v>1.1141289999999999</v>
      </c>
      <c r="CN23" s="3">
        <v>1.1629609999999999</v>
      </c>
      <c r="CO23" s="3">
        <v>1.1571149999999999</v>
      </c>
      <c r="CP23" s="2">
        <v>5.5084710000000001</v>
      </c>
      <c r="CQ23" s="2">
        <v>1.0782240000000001</v>
      </c>
      <c r="CR23" s="2">
        <v>1.5888329999999999</v>
      </c>
      <c r="CS23" s="2">
        <v>4.3829919999999998</v>
      </c>
      <c r="CT23" s="2">
        <v>30.734500000000001</v>
      </c>
      <c r="CU23" s="3">
        <v>0.48060350000000002</v>
      </c>
      <c r="CV23" s="2">
        <v>21.621390000000002</v>
      </c>
      <c r="CW23" s="2">
        <v>6.2431429999999999</v>
      </c>
      <c r="CX23" s="2">
        <v>-9.8970249999999993</v>
      </c>
      <c r="CY23" s="2">
        <v>17.25253</v>
      </c>
    </row>
    <row r="24" spans="1:103" ht="15" customHeight="1" x14ac:dyDescent="0.2">
      <c r="A24" s="1">
        <f t="shared" si="0"/>
        <v>18</v>
      </c>
      <c r="B24" s="1" t="s">
        <v>57</v>
      </c>
      <c r="C24" s="1" t="s">
        <v>56</v>
      </c>
      <c r="D24" s="1" t="s">
        <v>58</v>
      </c>
      <c r="E24" s="1" t="s">
        <v>59</v>
      </c>
      <c r="F24" s="2">
        <v>16897.46</v>
      </c>
      <c r="G24" s="2">
        <v>97.836699999999993</v>
      </c>
      <c r="H24" s="2">
        <v>16531.91</v>
      </c>
      <c r="I24" s="3">
        <v>13.88</v>
      </c>
      <c r="J24" s="3">
        <v>0</v>
      </c>
      <c r="K24" s="2">
        <v>5.043228</v>
      </c>
      <c r="L24" s="2">
        <v>5.2409939999999997</v>
      </c>
      <c r="M24" s="2">
        <v>5.7636890000000003</v>
      </c>
      <c r="N24" s="2">
        <v>6.1239189999999999</v>
      </c>
      <c r="O24" s="2">
        <v>2.9926050000000002</v>
      </c>
      <c r="P24" s="2">
        <v>3.866628</v>
      </c>
      <c r="Q24" s="2">
        <v>4.9307280000000002</v>
      </c>
      <c r="R24" s="2">
        <v>5.2269389999999998</v>
      </c>
      <c r="S24" s="2">
        <v>1.6749700000000001</v>
      </c>
      <c r="T24" s="2">
        <v>2.0032990000000002</v>
      </c>
      <c r="U24" s="2">
        <v>2.2767390000000001</v>
      </c>
      <c r="V24" s="2">
        <v>2.4152100000000001</v>
      </c>
      <c r="W24" s="2">
        <v>0.74432869999999995</v>
      </c>
      <c r="X24" s="2">
        <v>0.62975179999999997</v>
      </c>
      <c r="Y24" s="2">
        <v>0.5632585</v>
      </c>
      <c r="Z24" s="2">
        <v>0.52211209999999997</v>
      </c>
      <c r="AA24" s="2">
        <v>2.0918329999999998</v>
      </c>
      <c r="AB24" s="2">
        <v>2.519056</v>
      </c>
      <c r="AC24" s="2">
        <v>2.609883</v>
      </c>
      <c r="AD24" s="2">
        <v>2.5808960000000001</v>
      </c>
      <c r="AE24" s="2">
        <v>8.3905089999999998</v>
      </c>
      <c r="AF24" s="2">
        <v>9.1726419999999997</v>
      </c>
      <c r="AG24" s="2">
        <v>8.2308210000000006</v>
      </c>
      <c r="AH24" s="2">
        <v>9.6068189999999998</v>
      </c>
      <c r="AI24" s="2">
        <v>10.99456</v>
      </c>
      <c r="AJ24" s="2">
        <v>10.009</v>
      </c>
      <c r="AK24" s="3" t="e">
        <v>#N/A</v>
      </c>
      <c r="AL24" s="3" t="e">
        <v>#N/A</v>
      </c>
      <c r="AM24" s="2">
        <v>17.41527</v>
      </c>
      <c r="AN24" s="2">
        <v>15.21753</v>
      </c>
      <c r="AO24" s="2">
        <v>14.712680000000001</v>
      </c>
      <c r="AP24" s="2">
        <v>15.28242</v>
      </c>
      <c r="AQ24" s="2">
        <v>0.1830416</v>
      </c>
      <c r="AR24" s="2">
        <v>0.24997259999999999</v>
      </c>
      <c r="AS24" s="2">
        <v>0.3772799</v>
      </c>
      <c r="AT24" s="2">
        <v>0.42908030000000003</v>
      </c>
      <c r="AU24" s="1" t="s">
        <v>5</v>
      </c>
      <c r="AV24" s="3">
        <v>1.5</v>
      </c>
      <c r="AW24" s="3">
        <v>17</v>
      </c>
      <c r="AX24" s="2">
        <v>22.478390000000001</v>
      </c>
      <c r="AY24" s="2">
        <v>16.286850000000001</v>
      </c>
      <c r="AZ24" s="2">
        <v>-10.154629999999999</v>
      </c>
      <c r="BA24" s="2">
        <v>-10.016209999999999</v>
      </c>
      <c r="BB24" s="2">
        <v>3.1970260000000001</v>
      </c>
      <c r="BC24" s="3">
        <v>12.455</v>
      </c>
      <c r="BD24" s="2">
        <v>11.441190000000001</v>
      </c>
      <c r="BE24" s="3">
        <v>15.87</v>
      </c>
      <c r="BF24" s="2">
        <v>-12.53938</v>
      </c>
      <c r="BG24" s="2">
        <v>14.44557</v>
      </c>
      <c r="BH24" s="2">
        <v>20.622669999999999</v>
      </c>
      <c r="BI24" s="2">
        <v>28.855429999999998</v>
      </c>
      <c r="BJ24" s="2">
        <v>32.851289999999999</v>
      </c>
      <c r="BK24" s="2">
        <v>24</v>
      </c>
      <c r="BL24" s="2">
        <v>22</v>
      </c>
      <c r="BM24" s="4">
        <v>29</v>
      </c>
      <c r="BN24" s="4">
        <v>0</v>
      </c>
      <c r="BO24" s="4">
        <v>3</v>
      </c>
      <c r="BP24" s="4">
        <v>27</v>
      </c>
      <c r="BQ24" s="2">
        <v>0</v>
      </c>
      <c r="BR24" s="4">
        <v>16</v>
      </c>
      <c r="BS24" s="4">
        <v>1</v>
      </c>
      <c r="BT24" s="4">
        <v>29</v>
      </c>
      <c r="BU24" s="2">
        <v>55.172409999999999</v>
      </c>
      <c r="BV24" s="2">
        <v>9.3024799999999992</v>
      </c>
      <c r="BW24" s="2">
        <v>1217.396</v>
      </c>
      <c r="BX24" s="3">
        <v>5.1240670000000001</v>
      </c>
      <c r="BY24" s="3">
        <v>0.4209039</v>
      </c>
      <c r="BZ24" s="2">
        <v>0.97156600000000004</v>
      </c>
      <c r="CA24" s="3">
        <v>0.4209039</v>
      </c>
      <c r="CB24" s="3">
        <v>3.5640689999999999</v>
      </c>
      <c r="CC24" s="3">
        <v>3.6034169999999999</v>
      </c>
      <c r="CD24" s="2">
        <v>1.1040209999999999</v>
      </c>
      <c r="CE24" s="3">
        <v>7268.2709999999997</v>
      </c>
      <c r="CF24" s="3">
        <v>7137.3469999999998</v>
      </c>
      <c r="CG24" s="2">
        <v>-1.801312</v>
      </c>
      <c r="CH24" s="3">
        <v>17.7852</v>
      </c>
      <c r="CI24" s="2">
        <v>-4.4149099999999999</v>
      </c>
      <c r="CJ24" s="3">
        <v>69315.91</v>
      </c>
      <c r="CK24" s="3">
        <v>69255.429999999993</v>
      </c>
      <c r="CL24" s="2">
        <v>-8.7249279999999999E-2</v>
      </c>
      <c r="CM24" s="3">
        <v>13.82089</v>
      </c>
      <c r="CN24" s="3">
        <v>13.498329999999999</v>
      </c>
      <c r="CO24" s="3">
        <v>13.41173</v>
      </c>
      <c r="CP24" s="2">
        <v>0.42767519999999998</v>
      </c>
      <c r="CQ24" s="2">
        <v>2.8275250000000001</v>
      </c>
      <c r="CR24" s="2">
        <v>3.4914849999999999</v>
      </c>
      <c r="CS24" s="2">
        <v>-2.3338619999999999</v>
      </c>
      <c r="CT24" s="2">
        <v>71.191990000000004</v>
      </c>
      <c r="CU24" s="3">
        <v>0.42131780000000002</v>
      </c>
      <c r="CV24" s="2">
        <v>27.366029999999999</v>
      </c>
      <c r="CW24" s="2">
        <v>-7.2414519999999998</v>
      </c>
      <c r="CX24" s="2">
        <v>-4.2855629999999998</v>
      </c>
      <c r="CY24" s="2">
        <v>17.58586</v>
      </c>
    </row>
    <row r="25" spans="1:103" ht="15" customHeight="1" x14ac:dyDescent="0.2">
      <c r="A25" s="1">
        <f t="shared" si="0"/>
        <v>19</v>
      </c>
      <c r="B25" s="1" t="s">
        <v>61</v>
      </c>
      <c r="C25" s="1" t="s">
        <v>60</v>
      </c>
      <c r="D25" s="1" t="s">
        <v>3</v>
      </c>
      <c r="E25" s="1" t="s">
        <v>4</v>
      </c>
      <c r="F25" s="2">
        <v>2466.34</v>
      </c>
      <c r="G25" s="2">
        <v>42.8322</v>
      </c>
      <c r="H25" s="2">
        <v>1056.3879999999999</v>
      </c>
      <c r="I25" s="3">
        <v>0.92900000000000005</v>
      </c>
      <c r="J25" s="3">
        <v>0</v>
      </c>
      <c r="K25" s="2">
        <v>5.3821320000000004</v>
      </c>
      <c r="L25" s="2">
        <v>9.687837</v>
      </c>
      <c r="M25" s="2">
        <v>8.6114099999999993</v>
      </c>
      <c r="N25" s="2">
        <v>8.9517769999999999</v>
      </c>
      <c r="O25" s="2">
        <v>10.32222</v>
      </c>
      <c r="P25" s="2">
        <v>5.2375499999999997</v>
      </c>
      <c r="Q25" s="2">
        <v>5.9191060000000002</v>
      </c>
      <c r="R25" s="2">
        <v>6.193333</v>
      </c>
      <c r="S25" s="2" t="e">
        <v>#N/A</v>
      </c>
      <c r="T25" s="2" t="e">
        <v>#N/A</v>
      </c>
      <c r="U25" s="2" t="e">
        <v>#N/A</v>
      </c>
      <c r="V25" s="2" t="e">
        <v>#N/A</v>
      </c>
      <c r="W25" s="2">
        <v>0.37159999999999999</v>
      </c>
      <c r="X25" s="2">
        <v>0.35730770000000001</v>
      </c>
      <c r="Y25" s="2">
        <v>0.34343810000000002</v>
      </c>
      <c r="Z25" s="2">
        <v>0.33178570000000002</v>
      </c>
      <c r="AA25" s="2" t="e">
        <v>#N/A</v>
      </c>
      <c r="AB25" s="2" t="e">
        <v>#N/A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3" t="e">
        <v>#N/A</v>
      </c>
      <c r="AL25" s="3" t="e">
        <v>#N/A</v>
      </c>
      <c r="AM25" s="2" t="e">
        <v>#N/A</v>
      </c>
      <c r="AN25" s="2" t="e">
        <v>#N/A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1" t="s">
        <v>5</v>
      </c>
      <c r="AV25" s="3">
        <v>1.625</v>
      </c>
      <c r="AW25" s="3">
        <v>1.2</v>
      </c>
      <c r="AX25" s="2">
        <v>29.17116</v>
      </c>
      <c r="AY25" s="2">
        <v>6.8220390000000002</v>
      </c>
      <c r="AZ25" s="2" t="e">
        <v>#N/A</v>
      </c>
      <c r="BA25" s="2">
        <v>-20.120380000000001</v>
      </c>
      <c r="BB25" s="2">
        <v>4.3820259999999998</v>
      </c>
      <c r="BC25" s="3">
        <v>0.83350000000000002</v>
      </c>
      <c r="BD25" s="2">
        <v>11.457710000000001</v>
      </c>
      <c r="BE25" s="3">
        <v>1.224</v>
      </c>
      <c r="BF25" s="2">
        <v>-24.101310000000002</v>
      </c>
      <c r="BG25" s="2">
        <v>53.439450000000001</v>
      </c>
      <c r="BH25" s="2">
        <v>50.575940000000003</v>
      </c>
      <c r="BI25" s="2">
        <v>52.944209999999998</v>
      </c>
      <c r="BJ25" s="2">
        <v>53.437800000000003</v>
      </c>
      <c r="BK25" s="2">
        <v>15</v>
      </c>
      <c r="BL25" s="2">
        <v>10</v>
      </c>
      <c r="BM25" s="4">
        <v>16</v>
      </c>
      <c r="BN25" s="4">
        <v>1</v>
      </c>
      <c r="BO25" s="4">
        <v>2</v>
      </c>
      <c r="BP25" s="4">
        <v>13</v>
      </c>
      <c r="BQ25" s="2">
        <v>6.25</v>
      </c>
      <c r="BR25" s="4">
        <v>8</v>
      </c>
      <c r="BS25" s="4">
        <v>2</v>
      </c>
      <c r="BT25" s="4">
        <v>16</v>
      </c>
      <c r="BU25" s="2">
        <v>50</v>
      </c>
      <c r="BV25" s="2">
        <v>9.7844999999999995</v>
      </c>
      <c r="BW25" s="2">
        <v>2654.8330000000001</v>
      </c>
      <c r="BX25" s="3">
        <v>8.1668760000000002</v>
      </c>
      <c r="BY25" s="3">
        <v>0.30762289999999998</v>
      </c>
      <c r="BZ25" s="2">
        <v>0.97093499999999999</v>
      </c>
      <c r="CA25" s="3">
        <v>0.30762289999999998</v>
      </c>
      <c r="CB25" s="3">
        <v>0.16773199999999999</v>
      </c>
      <c r="CC25" s="3">
        <v>0.17443310000000001</v>
      </c>
      <c r="CD25" s="2">
        <v>3.9951560000000002</v>
      </c>
      <c r="CE25" s="3">
        <v>964.78309999999999</v>
      </c>
      <c r="CF25" s="3">
        <v>972.2432</v>
      </c>
      <c r="CG25" s="2">
        <v>0.77323909999999996</v>
      </c>
      <c r="CH25" s="3">
        <v>1.3873329999999999</v>
      </c>
      <c r="CI25" s="2">
        <v>-13.503119999999999</v>
      </c>
      <c r="CJ25" s="3">
        <v>1844.9639999999999</v>
      </c>
      <c r="CK25" s="3">
        <v>1878.932</v>
      </c>
      <c r="CL25" s="2">
        <v>1.841116</v>
      </c>
      <c r="CM25" s="3">
        <v>0.96850000000000003</v>
      </c>
      <c r="CN25" s="3">
        <v>0.90920610000000002</v>
      </c>
      <c r="CO25" s="3">
        <v>0.89676920000000004</v>
      </c>
      <c r="CP25" s="2">
        <v>-4.0784649999999996</v>
      </c>
      <c r="CQ25" s="2">
        <v>2.17706</v>
      </c>
      <c r="CR25" s="2">
        <v>3.594112</v>
      </c>
      <c r="CS25" s="2">
        <v>-6.1222370000000002</v>
      </c>
      <c r="CT25" s="2">
        <v>7.3464200000000002</v>
      </c>
      <c r="CU25" s="3">
        <v>0.2978672</v>
      </c>
      <c r="CV25" s="2">
        <v>-150</v>
      </c>
      <c r="CW25" s="2">
        <v>6.0121520000000004</v>
      </c>
      <c r="CX25" s="2">
        <v>13.399089999999999</v>
      </c>
      <c r="CY25" s="2">
        <v>18.090910000000001</v>
      </c>
    </row>
    <row r="26" spans="1:103" ht="15" customHeight="1" x14ac:dyDescent="0.2">
      <c r="A26" s="1">
        <f t="shared" si="0"/>
        <v>20</v>
      </c>
      <c r="B26" s="1" t="s">
        <v>63</v>
      </c>
      <c r="C26" s="1" t="s">
        <v>62</v>
      </c>
      <c r="D26" s="1" t="s">
        <v>38</v>
      </c>
      <c r="E26" s="1" t="s">
        <v>39</v>
      </c>
      <c r="F26" s="2">
        <v>27939.96</v>
      </c>
      <c r="G26" s="2">
        <v>97.946299999999994</v>
      </c>
      <c r="H26" s="2">
        <v>27366.16</v>
      </c>
      <c r="I26" s="3">
        <v>62.02</v>
      </c>
      <c r="J26" s="3">
        <v>0</v>
      </c>
      <c r="K26" s="2">
        <v>1.1931639999999999</v>
      </c>
      <c r="L26" s="2">
        <v>1.854241</v>
      </c>
      <c r="M26" s="2">
        <v>2.2412130000000001</v>
      </c>
      <c r="N26" s="2">
        <v>2.5959370000000002</v>
      </c>
      <c r="O26" s="2">
        <v>37.587879999999998</v>
      </c>
      <c r="P26" s="2">
        <v>25.73978</v>
      </c>
      <c r="Q26" s="2">
        <v>21.450559999999999</v>
      </c>
      <c r="R26" s="2">
        <v>18.888000000000002</v>
      </c>
      <c r="S26" s="2">
        <v>14.806850000000001</v>
      </c>
      <c r="T26" s="2">
        <v>15.220499999999999</v>
      </c>
      <c r="U26" s="2">
        <v>12.323180000000001</v>
      </c>
      <c r="V26" s="2">
        <v>10.736179999999999</v>
      </c>
      <c r="W26" s="2">
        <v>6.0964400000000003</v>
      </c>
      <c r="X26" s="2">
        <v>5.6330609999999997</v>
      </c>
      <c r="Y26" s="2">
        <v>4.9655719999999999</v>
      </c>
      <c r="Z26" s="2">
        <v>4.3400980000000002</v>
      </c>
      <c r="AA26" s="2">
        <v>20.19192</v>
      </c>
      <c r="AB26" s="2">
        <v>16.537970000000001</v>
      </c>
      <c r="AC26" s="2">
        <v>14.28668</v>
      </c>
      <c r="AD26" s="2">
        <v>12.76132</v>
      </c>
      <c r="AE26" s="2">
        <v>3.7475179999999999</v>
      </c>
      <c r="AF26" s="2">
        <v>4.467854</v>
      </c>
      <c r="AG26" s="2">
        <v>5.0444800000000001</v>
      </c>
      <c r="AH26" s="2">
        <v>4.0391779999999997</v>
      </c>
      <c r="AI26" s="2">
        <v>4.7113699999999996</v>
      </c>
      <c r="AJ26" s="2">
        <v>5.1629610000000001</v>
      </c>
      <c r="AK26" s="3">
        <v>1.2402150000000001</v>
      </c>
      <c r="AL26" s="3">
        <v>1.033919</v>
      </c>
      <c r="AM26" s="2">
        <v>36.558999999999997</v>
      </c>
      <c r="AN26" s="2">
        <v>37.921529999999997</v>
      </c>
      <c r="AO26" s="2">
        <v>39.100700000000003</v>
      </c>
      <c r="AP26" s="2">
        <v>40.09957</v>
      </c>
      <c r="AQ26" s="2">
        <v>1.4704269999999999</v>
      </c>
      <c r="AR26" s="2">
        <v>1.053947</v>
      </c>
      <c r="AS26" s="2">
        <v>0.63694419999999996</v>
      </c>
      <c r="AT26" s="2">
        <v>0.24637770000000001</v>
      </c>
      <c r="AU26" s="1" t="s">
        <v>5</v>
      </c>
      <c r="AV26" s="3">
        <v>1.519231</v>
      </c>
      <c r="AW26" s="3">
        <v>72.995980000000003</v>
      </c>
      <c r="AX26" s="2">
        <v>17.697479999999999</v>
      </c>
      <c r="AY26" s="2">
        <v>21.884650000000001</v>
      </c>
      <c r="AZ26" s="2">
        <v>20.620339999999999</v>
      </c>
      <c r="BA26" s="2">
        <v>5.1186439999999997</v>
      </c>
      <c r="BB26" s="2">
        <v>-4.4081330000000003</v>
      </c>
      <c r="BC26" s="3">
        <v>52.56</v>
      </c>
      <c r="BD26" s="2">
        <v>17.998480000000001</v>
      </c>
      <c r="BE26" s="3">
        <v>70.22</v>
      </c>
      <c r="BF26" s="2">
        <v>-11.67759</v>
      </c>
      <c r="BG26" s="2">
        <v>30.160869999999999</v>
      </c>
      <c r="BH26" s="2">
        <v>44.311970000000002</v>
      </c>
      <c r="BI26" s="2">
        <v>47.101469999999999</v>
      </c>
      <c r="BJ26" s="2">
        <v>47.461910000000003</v>
      </c>
      <c r="BK26" s="2">
        <v>22</v>
      </c>
      <c r="BL26" s="2">
        <v>22</v>
      </c>
      <c r="BM26" s="4">
        <v>26</v>
      </c>
      <c r="BN26" s="4">
        <v>1</v>
      </c>
      <c r="BO26" s="4">
        <v>0</v>
      </c>
      <c r="BP26" s="4">
        <v>26</v>
      </c>
      <c r="BQ26" s="2">
        <v>3.7037040000000001</v>
      </c>
      <c r="BR26" s="4">
        <v>15</v>
      </c>
      <c r="BS26" s="4">
        <v>1</v>
      </c>
      <c r="BT26" s="4">
        <v>26</v>
      </c>
      <c r="BU26" s="2">
        <v>57.692309999999999</v>
      </c>
      <c r="BV26" s="2">
        <v>7.0994000000000002</v>
      </c>
      <c r="BW26" s="2">
        <v>450.49919999999997</v>
      </c>
      <c r="BX26" s="3">
        <v>0.69419949999999997</v>
      </c>
      <c r="BY26" s="3">
        <v>0.1540956</v>
      </c>
      <c r="BZ26" s="2">
        <v>1.0903</v>
      </c>
      <c r="CA26" s="3">
        <v>0.1540956</v>
      </c>
      <c r="CB26" s="3">
        <v>2.4185940000000001</v>
      </c>
      <c r="CC26" s="3">
        <v>2.4251529999999999</v>
      </c>
      <c r="CD26" s="2">
        <v>0.27118920000000002</v>
      </c>
      <c r="CE26" s="3">
        <v>1446.3789999999999</v>
      </c>
      <c r="CF26" s="3">
        <v>1445.827</v>
      </c>
      <c r="CG26" s="2">
        <v>-3.8146970000000002E-2</v>
      </c>
      <c r="CH26" s="3">
        <v>70.619870000000006</v>
      </c>
      <c r="CI26" s="2">
        <v>3.3646579999999999</v>
      </c>
      <c r="CJ26" s="3">
        <v>5456.5159999999996</v>
      </c>
      <c r="CK26" s="3">
        <v>5442.8440000000001</v>
      </c>
      <c r="CL26" s="2">
        <v>-0.25057200000000002</v>
      </c>
      <c r="CM26" s="3">
        <v>63.470030000000001</v>
      </c>
      <c r="CN26" s="3">
        <v>64.531769999999995</v>
      </c>
      <c r="CO26" s="3">
        <v>64.28</v>
      </c>
      <c r="CP26" s="2">
        <v>-2.284592</v>
      </c>
      <c r="CQ26" s="2">
        <v>-3.8922970000000001</v>
      </c>
      <c r="CR26" s="2">
        <v>-3.515863</v>
      </c>
      <c r="CS26" s="2">
        <v>1.6728160000000001</v>
      </c>
      <c r="CT26" s="2">
        <v>36.915399999999998</v>
      </c>
      <c r="CU26" s="3">
        <v>0.13212399999999999</v>
      </c>
      <c r="CV26" s="2">
        <v>14.015359999999999</v>
      </c>
      <c r="CW26" s="2">
        <v>-9.8066340000000002E-2</v>
      </c>
      <c r="CX26" s="2">
        <v>4.4264559999999999</v>
      </c>
      <c r="CY26" s="2">
        <v>18.282830000000001</v>
      </c>
    </row>
    <row r="27" spans="1:103" ht="15" customHeight="1" x14ac:dyDescent="0.2">
      <c r="A27" s="1">
        <f t="shared" si="0"/>
        <v>21</v>
      </c>
      <c r="B27" s="1" t="s">
        <v>65</v>
      </c>
      <c r="C27" s="1" t="s">
        <v>64</v>
      </c>
      <c r="D27" s="1" t="s">
        <v>66</v>
      </c>
      <c r="E27" s="1" t="s">
        <v>67</v>
      </c>
      <c r="F27" s="2">
        <v>20646.48</v>
      </c>
      <c r="G27" s="2">
        <v>85.186999999999998</v>
      </c>
      <c r="H27" s="2">
        <v>17588.11</v>
      </c>
      <c r="I27" s="3">
        <v>3.5750000000000002</v>
      </c>
      <c r="J27" s="3">
        <v>0</v>
      </c>
      <c r="K27" s="2">
        <v>8.3916079999999997</v>
      </c>
      <c r="L27" s="2">
        <v>8.3916079999999997</v>
      </c>
      <c r="M27" s="2">
        <v>8.3916079999999997</v>
      </c>
      <c r="N27" s="2">
        <v>8.3916079999999997</v>
      </c>
      <c r="O27" s="2">
        <v>10.83333</v>
      </c>
      <c r="P27" s="2">
        <v>11.532260000000001</v>
      </c>
      <c r="Q27" s="2">
        <v>10.67164</v>
      </c>
      <c r="R27" s="2">
        <v>10.48387</v>
      </c>
      <c r="S27" s="2">
        <v>4.2860440000000004</v>
      </c>
      <c r="T27" s="2">
        <v>4.3162979999999997</v>
      </c>
      <c r="U27" s="2">
        <v>4.1867580000000002</v>
      </c>
      <c r="V27" s="2">
        <v>4.0716900000000003</v>
      </c>
      <c r="W27" s="2">
        <v>0.81795130000000005</v>
      </c>
      <c r="X27" s="2">
        <v>0.8129826</v>
      </c>
      <c r="Y27" s="2">
        <v>0.80831810000000004</v>
      </c>
      <c r="Z27" s="2">
        <v>0.80418369999999995</v>
      </c>
      <c r="AA27" s="2">
        <v>1.8523320000000001</v>
      </c>
      <c r="AB27" s="2">
        <v>2.0784880000000001</v>
      </c>
      <c r="AC27" s="2">
        <v>1.9437629999999999</v>
      </c>
      <c r="AD27" s="2">
        <v>1.947946</v>
      </c>
      <c r="AE27" s="2">
        <v>6.2727890000000004</v>
      </c>
      <c r="AF27" s="2">
        <v>6.9416989999999998</v>
      </c>
      <c r="AG27" s="2">
        <v>7.2620880000000003</v>
      </c>
      <c r="AH27" s="2">
        <v>16.99258</v>
      </c>
      <c r="AI27" s="2">
        <v>18.647269999999999</v>
      </c>
      <c r="AJ27" s="2">
        <v>19.178000000000001</v>
      </c>
      <c r="AK27" s="3">
        <v>1.5253460000000001</v>
      </c>
      <c r="AL27" s="3">
        <v>1.429038</v>
      </c>
      <c r="AM27" s="2">
        <v>32.136699999999998</v>
      </c>
      <c r="AN27" s="2">
        <v>31.592269999999999</v>
      </c>
      <c r="AO27" s="2">
        <v>32.24841</v>
      </c>
      <c r="AP27" s="2">
        <v>32.314970000000002</v>
      </c>
      <c r="AQ27" s="2">
        <v>2.7649949999999999</v>
      </c>
      <c r="AR27" s="2">
        <v>2.7345190000000001</v>
      </c>
      <c r="AS27" s="2">
        <v>2.62818</v>
      </c>
      <c r="AT27" s="2">
        <v>2.5298729999999998</v>
      </c>
      <c r="AU27" s="1" t="s">
        <v>68</v>
      </c>
      <c r="AV27" s="3">
        <v>1.6904760000000001</v>
      </c>
      <c r="AW27" s="3">
        <v>4.3499999999999996</v>
      </c>
      <c r="AX27" s="2">
        <v>21.678319999999999</v>
      </c>
      <c r="AY27" s="2">
        <v>7.0496400000000001</v>
      </c>
      <c r="AZ27" s="2">
        <v>7.5187280000000003</v>
      </c>
      <c r="BA27" s="2">
        <v>-2.3757459999999999</v>
      </c>
      <c r="BB27" s="2">
        <v>1.1601570000000001</v>
      </c>
      <c r="BC27" s="3">
        <v>3.4860000000000002</v>
      </c>
      <c r="BD27" s="2">
        <v>2.55307</v>
      </c>
      <c r="BE27" s="3">
        <v>4.1470000000000002</v>
      </c>
      <c r="BF27" s="2">
        <v>-13.793100000000001</v>
      </c>
      <c r="BG27" s="2">
        <v>90.909099999999995</v>
      </c>
      <c r="BH27" s="2">
        <v>96.240520000000004</v>
      </c>
      <c r="BI27" s="2">
        <v>90.539699999999996</v>
      </c>
      <c r="BJ27" s="2">
        <v>86.754720000000006</v>
      </c>
      <c r="BK27" s="2">
        <v>11</v>
      </c>
      <c r="BL27" s="2">
        <v>9</v>
      </c>
      <c r="BM27" s="4">
        <v>21</v>
      </c>
      <c r="BN27" s="4">
        <v>0</v>
      </c>
      <c r="BO27" s="4">
        <v>0</v>
      </c>
      <c r="BP27" s="4">
        <v>19</v>
      </c>
      <c r="BQ27" s="2">
        <v>0</v>
      </c>
      <c r="BR27" s="4">
        <v>9</v>
      </c>
      <c r="BS27" s="4">
        <v>2</v>
      </c>
      <c r="BT27" s="4">
        <v>21</v>
      </c>
      <c r="BU27" s="2">
        <v>42.857140000000001</v>
      </c>
      <c r="BV27" s="2">
        <v>6.4725999999999999</v>
      </c>
      <c r="BW27" s="2">
        <v>5775.2380000000003</v>
      </c>
      <c r="BX27" s="3">
        <v>16.124490000000002</v>
      </c>
      <c r="BY27" s="3">
        <v>0.27920040000000002</v>
      </c>
      <c r="BZ27" s="2">
        <v>0.51059399999999999</v>
      </c>
      <c r="CA27" s="3">
        <v>0.27920040000000002</v>
      </c>
      <c r="CB27" s="3">
        <v>0.3047918</v>
      </c>
      <c r="CC27" s="3">
        <v>0.31171900000000002</v>
      </c>
      <c r="CD27" s="2">
        <v>2.272761</v>
      </c>
      <c r="CE27" s="3">
        <v>4177.8310000000001</v>
      </c>
      <c r="CF27" s="3">
        <v>4159.5280000000002</v>
      </c>
      <c r="CG27" s="2">
        <v>-0.43808219999999998</v>
      </c>
      <c r="CH27" s="3">
        <v>4.1795239999999998</v>
      </c>
      <c r="CI27" s="2">
        <v>4.0788409999999997</v>
      </c>
      <c r="CJ27" s="3">
        <v>40908.71</v>
      </c>
      <c r="CK27" s="3">
        <v>40750.47</v>
      </c>
      <c r="CL27" s="2">
        <v>-0.38682820000000001</v>
      </c>
      <c r="CM27" s="3">
        <v>3.7603469999999999</v>
      </c>
      <c r="CN27" s="3">
        <v>3.7055099999999999</v>
      </c>
      <c r="CO27" s="3">
        <v>3.7154609999999999</v>
      </c>
      <c r="CP27" s="2">
        <v>-4.9289880000000004</v>
      </c>
      <c r="CQ27" s="2">
        <v>-3.5220440000000002</v>
      </c>
      <c r="CR27" s="2">
        <v>-3.7804479999999998</v>
      </c>
      <c r="CS27" s="2">
        <v>-1.4583109999999999</v>
      </c>
      <c r="CT27" s="2">
        <v>61.26652</v>
      </c>
      <c r="CU27" s="3">
        <v>0.29674080000000003</v>
      </c>
      <c r="CV27" s="2">
        <v>12.5</v>
      </c>
      <c r="CW27" s="2">
        <v>-1.6596679999999999</v>
      </c>
      <c r="CX27" s="2">
        <v>8.270721</v>
      </c>
      <c r="CY27" s="2">
        <v>18.515149999999998</v>
      </c>
    </row>
    <row r="28" spans="1:103" ht="15" customHeight="1" x14ac:dyDescent="0.2">
      <c r="A28" s="1">
        <f t="shared" si="0"/>
        <v>22</v>
      </c>
      <c r="B28" s="1" t="s">
        <v>70</v>
      </c>
      <c r="C28" s="1" t="s">
        <v>69</v>
      </c>
      <c r="D28" s="1" t="s">
        <v>71</v>
      </c>
      <c r="E28" s="1" t="s">
        <v>72</v>
      </c>
      <c r="F28" s="2">
        <v>69275.28</v>
      </c>
      <c r="G28" s="2">
        <v>98.371399999999994</v>
      </c>
      <c r="H28" s="2">
        <v>68147.06</v>
      </c>
      <c r="I28" s="3">
        <v>10.785</v>
      </c>
      <c r="J28" s="3">
        <v>0</v>
      </c>
      <c r="K28" s="2">
        <v>4.5433469999999998</v>
      </c>
      <c r="L28" s="2">
        <v>4.9475150000000001</v>
      </c>
      <c r="M28" s="2">
        <v>5.0996759999999997</v>
      </c>
      <c r="N28" s="2">
        <v>5.37784</v>
      </c>
      <c r="O28" s="2">
        <v>16.340910000000001</v>
      </c>
      <c r="P28" s="2">
        <v>14.38</v>
      </c>
      <c r="Q28" s="2">
        <v>13.826919999999999</v>
      </c>
      <c r="R28" s="2">
        <v>13.0199</v>
      </c>
      <c r="S28" s="2">
        <v>8.5641590000000001</v>
      </c>
      <c r="T28" s="2">
        <v>8.1578940000000006</v>
      </c>
      <c r="U28" s="2">
        <v>7.7043879999999998</v>
      </c>
      <c r="V28" s="2">
        <v>7.4303590000000002</v>
      </c>
      <c r="W28" s="2">
        <v>1.6070439999999999</v>
      </c>
      <c r="X28" s="2">
        <v>1.581378</v>
      </c>
      <c r="Y28" s="2">
        <v>1.5190140000000001</v>
      </c>
      <c r="Z28" s="2">
        <v>1.469346</v>
      </c>
      <c r="AA28" s="2">
        <v>7.2911229999999998</v>
      </c>
      <c r="AB28" s="2">
        <v>6.6443139999999996</v>
      </c>
      <c r="AC28" s="2">
        <v>6.0251400000000004</v>
      </c>
      <c r="AD28" s="2">
        <v>5.8460260000000002</v>
      </c>
      <c r="AE28" s="2">
        <v>1.180831</v>
      </c>
      <c r="AF28" s="2">
        <v>-1.4941040000000001</v>
      </c>
      <c r="AG28" s="2">
        <v>0.3173203</v>
      </c>
      <c r="AH28" s="2">
        <v>1.912868</v>
      </c>
      <c r="AI28" s="2">
        <v>-2.4922430000000002</v>
      </c>
      <c r="AJ28" s="2">
        <v>0.54056539999999997</v>
      </c>
      <c r="AK28" s="3">
        <v>2.099227</v>
      </c>
      <c r="AL28" s="3">
        <v>2.0214819999999998</v>
      </c>
      <c r="AM28" s="2">
        <v>24.519449999999999</v>
      </c>
      <c r="AN28" s="2">
        <v>25.774730000000002</v>
      </c>
      <c r="AO28" s="2">
        <v>27.06345</v>
      </c>
      <c r="AP28" s="2">
        <v>28.93131</v>
      </c>
      <c r="AQ28" s="2">
        <v>3.3073030000000001</v>
      </c>
      <c r="AR28" s="2">
        <v>2.9609359999999998</v>
      </c>
      <c r="AS28" s="2">
        <v>3.0855950000000001</v>
      </c>
      <c r="AT28" s="2">
        <v>3.068622</v>
      </c>
      <c r="AU28" s="1" t="s">
        <v>68</v>
      </c>
      <c r="AV28" s="3">
        <v>1.62</v>
      </c>
      <c r="AW28" s="3">
        <v>12.5</v>
      </c>
      <c r="AX28" s="2">
        <v>15.901719999999999</v>
      </c>
      <c r="AY28" s="2">
        <v>10.997070000000001</v>
      </c>
      <c r="AZ28" s="2">
        <v>6.8887070000000001</v>
      </c>
      <c r="BA28" s="2">
        <v>0.3255844</v>
      </c>
      <c r="BB28" s="2">
        <v>-9.1406939999999999</v>
      </c>
      <c r="BC28" s="3">
        <v>9.8819999999999997</v>
      </c>
      <c r="BD28" s="2">
        <v>9.1378210000000006</v>
      </c>
      <c r="BE28" s="3">
        <v>12.244999999999999</v>
      </c>
      <c r="BF28" s="2">
        <v>-11.92324</v>
      </c>
      <c r="BG28" s="2">
        <v>72.764390000000006</v>
      </c>
      <c r="BH28" s="2">
        <v>71.205420000000004</v>
      </c>
      <c r="BI28" s="2">
        <v>70.934049999999999</v>
      </c>
      <c r="BJ28" s="2">
        <v>70.380589999999998</v>
      </c>
      <c r="BK28" s="2">
        <v>21</v>
      </c>
      <c r="BL28" s="2">
        <v>21</v>
      </c>
      <c r="BM28" s="4">
        <v>25</v>
      </c>
      <c r="BN28" s="4">
        <v>1</v>
      </c>
      <c r="BO28" s="4">
        <v>1</v>
      </c>
      <c r="BP28" s="4">
        <v>21</v>
      </c>
      <c r="BQ28" s="2">
        <v>4.3478260000000004</v>
      </c>
      <c r="BR28" s="4">
        <v>11</v>
      </c>
      <c r="BS28" s="4">
        <v>1</v>
      </c>
      <c r="BT28" s="4">
        <v>25</v>
      </c>
      <c r="BU28" s="2">
        <v>44</v>
      </c>
      <c r="BV28" s="2">
        <v>6.4826100000000002</v>
      </c>
      <c r="BW28" s="2">
        <v>6423.299</v>
      </c>
      <c r="BX28" s="3">
        <v>10.897869999999999</v>
      </c>
      <c r="BY28" s="3">
        <v>0.16966149999999999</v>
      </c>
      <c r="BZ28" s="2">
        <v>0.69811599999999996</v>
      </c>
      <c r="CA28" s="3">
        <v>0.16966149999999999</v>
      </c>
      <c r="CB28" s="3">
        <v>0.74719740000000001</v>
      </c>
      <c r="CC28" s="3">
        <v>0.7458013</v>
      </c>
      <c r="CD28" s="2">
        <v>-0.18685460000000001</v>
      </c>
      <c r="CE28" s="3">
        <v>9160.2540000000008</v>
      </c>
      <c r="CF28" s="3">
        <v>9094.8080000000009</v>
      </c>
      <c r="CG28" s="2">
        <v>-0.71445700000000001</v>
      </c>
      <c r="CH28" s="3">
        <v>12.4335</v>
      </c>
      <c r="CI28" s="2">
        <v>0.5348444</v>
      </c>
      <c r="CJ28" s="3">
        <v>56107.18</v>
      </c>
      <c r="CK28" s="3">
        <v>56165.31</v>
      </c>
      <c r="CL28" s="2">
        <v>0.1036048</v>
      </c>
      <c r="CM28" s="3">
        <v>11.18252</v>
      </c>
      <c r="CN28" s="3">
        <v>11.4598</v>
      </c>
      <c r="CO28" s="3">
        <v>11.116149999999999</v>
      </c>
      <c r="CP28" s="2">
        <v>-3.5548449999999998</v>
      </c>
      <c r="CQ28" s="2">
        <v>-5.888433</v>
      </c>
      <c r="CR28" s="2">
        <v>-2.9790399999999999</v>
      </c>
      <c r="CS28" s="2">
        <v>2.4796010000000002</v>
      </c>
      <c r="CT28" s="2">
        <v>116.9777</v>
      </c>
      <c r="CU28" s="3">
        <v>0.16885929999999999</v>
      </c>
      <c r="CV28" s="2">
        <v>16.26343</v>
      </c>
      <c r="CW28" s="2">
        <v>-26.172910000000002</v>
      </c>
      <c r="CX28" s="2">
        <v>6.2421449999999998</v>
      </c>
      <c r="CY28" s="2">
        <v>18.63636</v>
      </c>
    </row>
    <row r="29" spans="1:103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66</v>
      </c>
      <c r="E29" s="1" t="s">
        <v>67</v>
      </c>
      <c r="F29" s="2">
        <v>23285.43</v>
      </c>
      <c r="G29" s="2">
        <v>77.748599999999996</v>
      </c>
      <c r="H29" s="2">
        <v>18104.09</v>
      </c>
      <c r="I29" s="3">
        <v>32.96</v>
      </c>
      <c r="J29" s="3">
        <v>0</v>
      </c>
      <c r="K29" s="2">
        <v>0.151699</v>
      </c>
      <c r="L29" s="2">
        <v>0.1820388</v>
      </c>
      <c r="M29" s="2">
        <v>0.1820388</v>
      </c>
      <c r="N29" s="2">
        <v>0.2123786</v>
      </c>
      <c r="O29" s="2" t="e">
        <v>#N/A</v>
      </c>
      <c r="P29" s="2" t="e">
        <v>#N/A</v>
      </c>
      <c r="Q29" s="2" t="e">
        <v>#N/A</v>
      </c>
      <c r="R29" s="2" t="e">
        <v>#N/A</v>
      </c>
      <c r="S29" s="2">
        <v>15.848750000000001</v>
      </c>
      <c r="T29" s="2">
        <v>15.107049999999999</v>
      </c>
      <c r="U29" s="2">
        <v>13.47594</v>
      </c>
      <c r="V29" s="2">
        <v>12.458220000000001</v>
      </c>
      <c r="W29" s="2">
        <v>1.637357</v>
      </c>
      <c r="X29" s="2">
        <v>1.672742</v>
      </c>
      <c r="Y29" s="2">
        <v>1.696572</v>
      </c>
      <c r="Z29" s="2">
        <v>1.705749</v>
      </c>
      <c r="AA29" s="2">
        <v>12.00287</v>
      </c>
      <c r="AB29" s="2">
        <v>14.01595</v>
      </c>
      <c r="AC29" s="2">
        <v>12.34665</v>
      </c>
      <c r="AD29" s="2">
        <v>10.891069999999999</v>
      </c>
      <c r="AE29" s="2">
        <v>0.57638270000000003</v>
      </c>
      <c r="AF29" s="2">
        <v>1.0259590000000001</v>
      </c>
      <c r="AG29" s="2">
        <v>1.6648289999999999</v>
      </c>
      <c r="AH29" s="2">
        <v>1.077234</v>
      </c>
      <c r="AI29" s="2">
        <v>1.9067400000000001</v>
      </c>
      <c r="AJ29" s="2">
        <v>3.0676420000000002</v>
      </c>
      <c r="AK29" s="3" t="e">
        <v>#N/A</v>
      </c>
      <c r="AL29" s="3" t="e">
        <v>#N/A</v>
      </c>
      <c r="AM29" s="2">
        <v>75.164330000000007</v>
      </c>
      <c r="AN29" s="2">
        <v>74.357069999999993</v>
      </c>
      <c r="AO29" s="2">
        <v>75.330529999999996</v>
      </c>
      <c r="AP29" s="2">
        <v>76.79786</v>
      </c>
      <c r="AQ29" s="2">
        <v>7.5429659999999998</v>
      </c>
      <c r="AR29" s="2">
        <v>6.7289659999999998</v>
      </c>
      <c r="AS29" s="2">
        <v>6.2249439999999998</v>
      </c>
      <c r="AT29" s="2">
        <v>5.6970669999999997</v>
      </c>
      <c r="AU29" s="1" t="s">
        <v>14</v>
      </c>
      <c r="AV29" s="3">
        <v>1.339286</v>
      </c>
      <c r="AW29" s="3">
        <v>42</v>
      </c>
      <c r="AX29" s="2">
        <v>27.42719</v>
      </c>
      <c r="AY29" s="2">
        <v>-1.7762739999999999</v>
      </c>
      <c r="AZ29" s="2">
        <v>65.229290000000006</v>
      </c>
      <c r="BA29" s="2">
        <v>-14.389609999999999</v>
      </c>
      <c r="BB29" s="2">
        <v>-7.5715120000000002</v>
      </c>
      <c r="BC29" s="3">
        <v>26.02</v>
      </c>
      <c r="BD29" s="2">
        <v>26.671790000000001</v>
      </c>
      <c r="BE29" s="3">
        <v>38.97</v>
      </c>
      <c r="BF29" s="2">
        <v>-15.42212</v>
      </c>
      <c r="BG29" s="2" t="e">
        <v>#N/A</v>
      </c>
      <c r="BH29" s="2" t="e">
        <v>#N/A</v>
      </c>
      <c r="BI29" s="2" t="e">
        <v>#N/A</v>
      </c>
      <c r="BJ29" s="2" t="e">
        <v>#N/A</v>
      </c>
      <c r="BK29" s="2">
        <v>23</v>
      </c>
      <c r="BL29" s="2">
        <v>22</v>
      </c>
      <c r="BM29" s="4">
        <v>28</v>
      </c>
      <c r="BN29" s="4">
        <v>1</v>
      </c>
      <c r="BO29" s="4">
        <v>0</v>
      </c>
      <c r="BP29" s="4">
        <v>27</v>
      </c>
      <c r="BQ29" s="2">
        <v>3.5714290000000002</v>
      </c>
      <c r="BR29" s="4">
        <v>20</v>
      </c>
      <c r="BS29" s="4">
        <v>1</v>
      </c>
      <c r="BT29" s="4">
        <v>28</v>
      </c>
      <c r="BU29" s="2">
        <v>71.428569999999993</v>
      </c>
      <c r="BV29" s="2">
        <v>9.5145</v>
      </c>
      <c r="BW29" s="2">
        <v>706.47540000000004</v>
      </c>
      <c r="BX29" s="3">
        <v>1.1765920000000001</v>
      </c>
      <c r="BY29" s="3">
        <v>0.16654389999999999</v>
      </c>
      <c r="BZ29" s="2">
        <v>1.1751799999999999</v>
      </c>
      <c r="CA29" s="3">
        <v>0.16654389999999999</v>
      </c>
      <c r="CB29" s="3">
        <v>-0.39062639999999998</v>
      </c>
      <c r="CC29" s="3">
        <v>-0.37614930000000002</v>
      </c>
      <c r="CD29" s="2">
        <v>-3.706115</v>
      </c>
      <c r="CE29" s="3">
        <v>377.78949999999998</v>
      </c>
      <c r="CF29" s="3">
        <v>412.0505</v>
      </c>
      <c r="CG29" s="2">
        <v>9.0687990000000003</v>
      </c>
      <c r="CH29" s="3">
        <v>43.01484</v>
      </c>
      <c r="CI29" s="2">
        <v>-2.3592710000000001</v>
      </c>
      <c r="CJ29" s="3">
        <v>4092.058</v>
      </c>
      <c r="CK29" s="3">
        <v>4062.6489999999999</v>
      </c>
      <c r="CL29" s="2">
        <v>-0.71868299999999996</v>
      </c>
      <c r="CM29" s="3">
        <v>34.686709999999998</v>
      </c>
      <c r="CN29" s="3">
        <v>35.050190000000001</v>
      </c>
      <c r="CO29" s="3">
        <v>34.468069999999997</v>
      </c>
      <c r="CP29" s="2">
        <v>-4.9780309999999997</v>
      </c>
      <c r="CQ29" s="2">
        <v>-5.9634210000000003</v>
      </c>
      <c r="CR29" s="2">
        <v>-4.3752849999999999</v>
      </c>
      <c r="CS29" s="2">
        <v>1.047885</v>
      </c>
      <c r="CT29" s="2">
        <v>38.619700000000002</v>
      </c>
      <c r="CU29" s="3">
        <v>0.16585349999999999</v>
      </c>
      <c r="CV29" s="2">
        <v>85.901979999999995</v>
      </c>
      <c r="CW29" s="2">
        <v>-2.5040469999999999</v>
      </c>
      <c r="CX29" s="2">
        <v>71.864149999999995</v>
      </c>
      <c r="CY29" s="2">
        <v>18.88889</v>
      </c>
    </row>
    <row r="30" spans="1:103" ht="15" customHeight="1" x14ac:dyDescent="0.2">
      <c r="A30" s="1">
        <f t="shared" si="0"/>
        <v>24</v>
      </c>
      <c r="B30" s="1" t="s">
        <v>76</v>
      </c>
      <c r="C30" s="1" t="s">
        <v>75</v>
      </c>
      <c r="D30" s="1" t="s">
        <v>77</v>
      </c>
      <c r="E30" s="1" t="s">
        <v>78</v>
      </c>
      <c r="F30" s="2">
        <v>1363.174</v>
      </c>
      <c r="G30" s="2">
        <v>44.979199999999999</v>
      </c>
      <c r="H30" s="2">
        <v>613.14469999999994</v>
      </c>
      <c r="I30" s="3">
        <v>6.1849999999999996</v>
      </c>
      <c r="J30" s="3">
        <v>0</v>
      </c>
      <c r="K30" s="2">
        <v>0</v>
      </c>
      <c r="L30" s="2">
        <v>0</v>
      </c>
      <c r="M30" s="2">
        <v>0</v>
      </c>
      <c r="N30" s="2">
        <v>0</v>
      </c>
      <c r="O30" s="2">
        <v>12.37</v>
      </c>
      <c r="P30" s="2">
        <v>13.290190000000001</v>
      </c>
      <c r="Q30" s="2">
        <v>12.41405</v>
      </c>
      <c r="R30" s="2">
        <v>11.39448</v>
      </c>
      <c r="S30" s="2">
        <v>8.5453320000000001</v>
      </c>
      <c r="T30" s="2">
        <v>8.0106129999999993</v>
      </c>
      <c r="U30" s="2">
        <v>7.8183530000000001</v>
      </c>
      <c r="V30" s="2">
        <v>7.2351739999999998</v>
      </c>
      <c r="W30" s="2">
        <v>3.2991540000000001</v>
      </c>
      <c r="X30" s="2">
        <v>2.648272</v>
      </c>
      <c r="Y30" s="2">
        <v>2.2010679999999998</v>
      </c>
      <c r="Z30" s="2">
        <v>1.8709709999999999</v>
      </c>
      <c r="AA30" s="2">
        <v>5.1994389999999999</v>
      </c>
      <c r="AB30" s="2">
        <v>6.3762879999999997</v>
      </c>
      <c r="AC30" s="2">
        <v>6.3762879999999997</v>
      </c>
      <c r="AD30" s="2">
        <v>5.2746139999999997</v>
      </c>
      <c r="AE30" s="2">
        <v>3.3177469999999998</v>
      </c>
      <c r="AF30" s="2">
        <v>4.641718</v>
      </c>
      <c r="AG30" s="2">
        <v>4.8687189999999996</v>
      </c>
      <c r="AH30" s="2">
        <v>9.4595409999999998</v>
      </c>
      <c r="AI30" s="2">
        <v>12.8718</v>
      </c>
      <c r="AJ30" s="2">
        <v>13.204840000000001</v>
      </c>
      <c r="AK30" s="3">
        <v>0.63705970000000001</v>
      </c>
      <c r="AL30" s="3">
        <v>0.60145769999999998</v>
      </c>
      <c r="AM30" s="2">
        <v>25.46557</v>
      </c>
      <c r="AN30" s="2">
        <v>25.485499999999998</v>
      </c>
      <c r="AO30" s="2">
        <v>25.622679999999999</v>
      </c>
      <c r="AP30" s="2">
        <v>26.17822</v>
      </c>
      <c r="AQ30" s="2">
        <v>6.2036199999999999</v>
      </c>
      <c r="AR30" s="2">
        <v>5.2682669999999998</v>
      </c>
      <c r="AS30" s="2">
        <v>4.9989660000000002</v>
      </c>
      <c r="AT30" s="2">
        <v>4.5675150000000002</v>
      </c>
      <c r="AU30" s="1" t="s">
        <v>68</v>
      </c>
      <c r="AV30" s="3">
        <v>1.571429</v>
      </c>
      <c r="AW30" s="3">
        <v>7.1481709999999996</v>
      </c>
      <c r="AX30" s="2">
        <v>15.57269</v>
      </c>
      <c r="AY30" s="2">
        <v>19.92653</v>
      </c>
      <c r="AZ30" s="2">
        <v>21.12379</v>
      </c>
      <c r="BA30" s="2">
        <v>1.227498</v>
      </c>
      <c r="BB30" s="2">
        <v>3.7751670000000002</v>
      </c>
      <c r="BC30" s="3">
        <v>5.0650000000000004</v>
      </c>
      <c r="BD30" s="2">
        <v>22.112539999999999</v>
      </c>
      <c r="BE30" s="3">
        <v>6.8949999999999996</v>
      </c>
      <c r="BF30" s="2">
        <v>-10.297319999999999</v>
      </c>
      <c r="BG30" s="2">
        <v>2.301431</v>
      </c>
      <c r="BH30" s="2">
        <v>2.7341069999999998</v>
      </c>
      <c r="BI30" s="2">
        <v>8.0764879999999994</v>
      </c>
      <c r="BJ30" s="2">
        <v>25.724360000000001</v>
      </c>
      <c r="BK30" s="2">
        <v>12</v>
      </c>
      <c r="BL30" s="2">
        <v>12</v>
      </c>
      <c r="BM30" s="4">
        <v>14</v>
      </c>
      <c r="BN30" s="4">
        <v>1</v>
      </c>
      <c r="BO30" s="4">
        <v>0</v>
      </c>
      <c r="BP30" s="4">
        <v>13</v>
      </c>
      <c r="BQ30" s="2">
        <v>7.1428580000000004</v>
      </c>
      <c r="BR30" s="4">
        <v>6</v>
      </c>
      <c r="BS30" s="4">
        <v>0</v>
      </c>
      <c r="BT30" s="4">
        <v>14</v>
      </c>
      <c r="BU30" s="2">
        <v>42.857140000000001</v>
      </c>
      <c r="BV30" s="2">
        <v>11.355700000000001</v>
      </c>
      <c r="BW30" s="2">
        <v>220.4</v>
      </c>
      <c r="BX30" s="3">
        <v>0.66848079999999999</v>
      </c>
      <c r="BY30" s="3">
        <v>0.3033035</v>
      </c>
      <c r="BZ30" s="2">
        <v>1.66212</v>
      </c>
      <c r="CA30" s="3">
        <v>0.3033035</v>
      </c>
      <c r="CB30" s="3">
        <v>0.45795659999999999</v>
      </c>
      <c r="CC30" s="3">
        <v>0.45960820000000002</v>
      </c>
      <c r="CD30" s="2">
        <v>0.36064390000000002</v>
      </c>
      <c r="CE30" s="3">
        <v>221.6412</v>
      </c>
      <c r="CF30" s="3">
        <v>225.37620000000001</v>
      </c>
      <c r="CG30" s="2">
        <v>1.685154</v>
      </c>
      <c r="CH30" s="3">
        <v>6.988461</v>
      </c>
      <c r="CI30" s="2">
        <v>2.285326</v>
      </c>
      <c r="CJ30" s="3">
        <v>1868.2929999999999</v>
      </c>
      <c r="CK30" s="3">
        <v>1883.3140000000001</v>
      </c>
      <c r="CL30" s="2">
        <v>0.80400709999999997</v>
      </c>
      <c r="CM30" s="3">
        <v>5.9866910000000004</v>
      </c>
      <c r="CN30" s="3">
        <v>6.1146070000000003</v>
      </c>
      <c r="CO30" s="3">
        <v>6.1648069999999997</v>
      </c>
      <c r="CP30" s="2">
        <v>3.3124920000000002</v>
      </c>
      <c r="CQ30" s="2">
        <v>1.151216</v>
      </c>
      <c r="CR30" s="2">
        <v>0.32755139999999999</v>
      </c>
      <c r="CS30" s="2">
        <v>2.1366719999999999</v>
      </c>
      <c r="CT30" s="2">
        <v>2.9267560000000001</v>
      </c>
      <c r="CU30" s="3">
        <v>0.21470159999999999</v>
      </c>
      <c r="CV30" s="2" t="e">
        <v>#N/A</v>
      </c>
      <c r="CW30" s="2">
        <v>3.0045639999999998</v>
      </c>
      <c r="CX30" s="2">
        <v>5.4461769999999996</v>
      </c>
      <c r="CY30" s="2">
        <v>19.08081</v>
      </c>
    </row>
    <row r="31" spans="1:103" ht="15" customHeight="1" x14ac:dyDescent="0.2">
      <c r="A31" s="1">
        <f t="shared" si="0"/>
        <v>25</v>
      </c>
      <c r="B31" s="1" t="s">
        <v>80</v>
      </c>
      <c r="C31" s="1" t="s">
        <v>79</v>
      </c>
      <c r="D31" s="1" t="s">
        <v>8</v>
      </c>
      <c r="E31" s="1" t="s">
        <v>9</v>
      </c>
      <c r="F31" s="2">
        <v>10155.790000000001</v>
      </c>
      <c r="G31" s="2">
        <v>74.051599999999993</v>
      </c>
      <c r="H31" s="2">
        <v>7520.5249999999996</v>
      </c>
      <c r="I31" s="3">
        <v>36.51</v>
      </c>
      <c r="J31" s="3">
        <v>0</v>
      </c>
      <c r="K31" s="2">
        <v>5.4779520000000002</v>
      </c>
      <c r="L31" s="2">
        <v>5.4779520000000002</v>
      </c>
      <c r="M31" s="2">
        <v>5.4779520000000002</v>
      </c>
      <c r="N31" s="2">
        <v>5.5944950000000002</v>
      </c>
      <c r="O31" s="2">
        <v>14.603999999999999</v>
      </c>
      <c r="P31" s="2">
        <v>14.042310000000001</v>
      </c>
      <c r="Q31" s="2">
        <v>16.013159999999999</v>
      </c>
      <c r="R31" s="2">
        <v>13.039289999999999</v>
      </c>
      <c r="S31" s="2">
        <v>4.2261550000000003</v>
      </c>
      <c r="T31" s="2">
        <v>6.0348940000000004</v>
      </c>
      <c r="U31" s="2">
        <v>5.3471409999999997</v>
      </c>
      <c r="V31" s="2">
        <v>4.751595</v>
      </c>
      <c r="W31" s="2" t="e">
        <v>#N/A</v>
      </c>
      <c r="X31" s="2">
        <v>1.8528469999999999</v>
      </c>
      <c r="Y31" s="2">
        <v>1.8776029999999999</v>
      </c>
      <c r="Z31" s="2">
        <v>1.807426</v>
      </c>
      <c r="AA31" s="2">
        <v>8.7858269999999994</v>
      </c>
      <c r="AB31" s="2">
        <v>7.9583649999999997</v>
      </c>
      <c r="AC31" s="2">
        <v>8.1824840000000005</v>
      </c>
      <c r="AD31" s="2">
        <v>8.1365210000000001</v>
      </c>
      <c r="AE31" s="2">
        <v>8.9008669999999999</v>
      </c>
      <c r="AF31" s="2">
        <v>9.9111580000000004</v>
      </c>
      <c r="AG31" s="2">
        <v>10.41287</v>
      </c>
      <c r="AH31" s="2">
        <v>9.1657670000000007</v>
      </c>
      <c r="AI31" s="2">
        <v>10.3835</v>
      </c>
      <c r="AJ31" s="2">
        <v>10.51796</v>
      </c>
      <c r="AK31" s="3" t="e">
        <v>#N/A</v>
      </c>
      <c r="AL31" s="3" t="e">
        <v>#N/A</v>
      </c>
      <c r="AM31" s="2">
        <v>5.1970850000000004</v>
      </c>
      <c r="AN31" s="2">
        <v>5.3355300000000003</v>
      </c>
      <c r="AO31" s="2">
        <v>5.3737430000000002</v>
      </c>
      <c r="AP31" s="2">
        <v>5.6546560000000001</v>
      </c>
      <c r="AQ31" s="2">
        <v>-0.1282161</v>
      </c>
      <c r="AR31" s="2">
        <v>0.15898039999999999</v>
      </c>
      <c r="AS31" s="2">
        <v>0.24481539999999999</v>
      </c>
      <c r="AT31" s="2">
        <v>4.7796690000000003E-2</v>
      </c>
      <c r="AU31" s="1" t="s">
        <v>68</v>
      </c>
      <c r="AV31" s="3">
        <v>2</v>
      </c>
      <c r="AW31" s="3">
        <v>36.299999999999997</v>
      </c>
      <c r="AX31" s="2">
        <v>-0.57518480000000005</v>
      </c>
      <c r="AY31" s="2">
        <v>13.194750000000001</v>
      </c>
      <c r="AZ31" s="2" t="e">
        <v>#N/A</v>
      </c>
      <c r="BA31" s="2">
        <v>33.345509999999997</v>
      </c>
      <c r="BB31" s="2">
        <v>-9.0886479999999992</v>
      </c>
      <c r="BC31" s="3">
        <v>26.57</v>
      </c>
      <c r="BD31" s="2">
        <v>37.410609999999998</v>
      </c>
      <c r="BE31" s="3">
        <v>40.840000000000003</v>
      </c>
      <c r="BF31" s="2">
        <v>-10.602359999999999</v>
      </c>
      <c r="BG31" s="2">
        <v>81.05</v>
      </c>
      <c r="BH31" s="2">
        <v>84.809539999999998</v>
      </c>
      <c r="BI31" s="2">
        <v>89.985720000000001</v>
      </c>
      <c r="BJ31" s="2">
        <v>78.726789999999994</v>
      </c>
      <c r="BK31" s="2">
        <v>13</v>
      </c>
      <c r="BL31" s="2">
        <v>12</v>
      </c>
      <c r="BM31" s="4">
        <v>14</v>
      </c>
      <c r="BN31" s="4">
        <v>0</v>
      </c>
      <c r="BO31" s="4">
        <v>0</v>
      </c>
      <c r="BP31" s="4">
        <v>12</v>
      </c>
      <c r="BQ31" s="2">
        <v>0</v>
      </c>
      <c r="BR31" s="4">
        <v>4</v>
      </c>
      <c r="BS31" s="4">
        <v>4</v>
      </c>
      <c r="BT31" s="4">
        <v>14</v>
      </c>
      <c r="BU31" s="2">
        <v>28.571429999999999</v>
      </c>
      <c r="BV31" s="2">
        <v>6.3425599999999998</v>
      </c>
      <c r="BW31" s="2">
        <v>278.16460000000001</v>
      </c>
      <c r="BX31" s="3">
        <v>0.50051610000000002</v>
      </c>
      <c r="BY31" s="3">
        <v>0.17993519999999999</v>
      </c>
      <c r="BZ31" s="2">
        <v>0.67341300000000004</v>
      </c>
      <c r="CA31" s="3">
        <v>0.17993519999999999</v>
      </c>
      <c r="CB31" s="3">
        <v>2.3539050000000001</v>
      </c>
      <c r="CC31" s="3">
        <v>2.3922159999999999</v>
      </c>
      <c r="CD31" s="2">
        <v>1.6275409999999999</v>
      </c>
      <c r="CE31" s="3">
        <v>1249.1610000000001</v>
      </c>
      <c r="CF31" s="3">
        <v>1238.3499999999999</v>
      </c>
      <c r="CG31" s="2">
        <v>-0.8654714</v>
      </c>
      <c r="CH31" s="3">
        <v>34.695450000000001</v>
      </c>
      <c r="CI31" s="2">
        <v>4.6246530000000003</v>
      </c>
      <c r="CJ31" s="3">
        <v>35637.58</v>
      </c>
      <c r="CK31" s="3">
        <v>35597.050000000003</v>
      </c>
      <c r="CL31" s="2">
        <v>-0.1137316</v>
      </c>
      <c r="CM31" s="3">
        <v>34.00244</v>
      </c>
      <c r="CN31" s="3">
        <v>38.62941</v>
      </c>
      <c r="CO31" s="3">
        <v>37.985770000000002</v>
      </c>
      <c r="CP31" s="2">
        <v>7.374644</v>
      </c>
      <c r="CQ31" s="2">
        <v>-5.4865120000000003</v>
      </c>
      <c r="CR31" s="2">
        <v>-3.8850669999999998</v>
      </c>
      <c r="CS31" s="2">
        <v>13.607749999999999</v>
      </c>
      <c r="CT31" s="2">
        <v>20.564769999999999</v>
      </c>
      <c r="CU31" s="3">
        <v>0.20249300000000001</v>
      </c>
      <c r="CV31" s="2" t="e">
        <v>#N/A</v>
      </c>
      <c r="CW31" s="2">
        <v>1.927055</v>
      </c>
      <c r="CX31" s="2">
        <v>-8.5201790000000006</v>
      </c>
      <c r="CY31" s="2">
        <v>19.090910000000001</v>
      </c>
    </row>
    <row r="32" spans="1:103" ht="15" customHeight="1" x14ac:dyDescent="0.2">
      <c r="A32" s="1">
        <f t="shared" si="0"/>
        <v>26</v>
      </c>
      <c r="B32" s="1" t="s">
        <v>82</v>
      </c>
      <c r="C32" s="1" t="s">
        <v>81</v>
      </c>
      <c r="D32" s="1" t="s">
        <v>8</v>
      </c>
      <c r="E32" s="1" t="s">
        <v>9</v>
      </c>
      <c r="F32" s="2">
        <v>7829.4279999999999</v>
      </c>
      <c r="G32" s="2">
        <v>69.716899999999995</v>
      </c>
      <c r="H32" s="2">
        <v>5458.4350000000004</v>
      </c>
      <c r="I32" s="3">
        <v>14.47</v>
      </c>
      <c r="J32" s="3">
        <v>0</v>
      </c>
      <c r="K32" s="2">
        <v>6.9108499999999999</v>
      </c>
      <c r="L32" s="2">
        <v>6.9108499999999999</v>
      </c>
      <c r="M32" s="2">
        <v>5.5286799999999996</v>
      </c>
      <c r="N32" s="2">
        <v>5.5286799999999996</v>
      </c>
      <c r="O32" s="2">
        <v>11.76423</v>
      </c>
      <c r="P32" s="2">
        <v>11.76423</v>
      </c>
      <c r="Q32" s="2">
        <v>15.676690000000001</v>
      </c>
      <c r="R32" s="2">
        <v>15.31217</v>
      </c>
      <c r="S32" s="2">
        <v>9.0086929999999992</v>
      </c>
      <c r="T32" s="2">
        <v>8.9024260000000002</v>
      </c>
      <c r="U32" s="2">
        <v>10.071960000000001</v>
      </c>
      <c r="V32" s="2">
        <v>10.131</v>
      </c>
      <c r="W32" s="2">
        <v>1.634862</v>
      </c>
      <c r="X32" s="2">
        <v>1.592684</v>
      </c>
      <c r="Y32" s="2">
        <v>1.5968389999999999</v>
      </c>
      <c r="Z32" s="2">
        <v>1.5677140000000001</v>
      </c>
      <c r="AA32" s="2">
        <v>6.4915510000000003</v>
      </c>
      <c r="AB32" s="2">
        <v>6.5537510000000001</v>
      </c>
      <c r="AC32" s="2">
        <v>7.5204129999999996</v>
      </c>
      <c r="AD32" s="2">
        <v>7.2169569999999998</v>
      </c>
      <c r="AE32" s="2">
        <v>-1.058092</v>
      </c>
      <c r="AF32" s="2">
        <v>0.383627</v>
      </c>
      <c r="AG32" s="2">
        <v>0.32089050000000002</v>
      </c>
      <c r="AH32" s="2">
        <v>-1.7893509999999999</v>
      </c>
      <c r="AI32" s="2">
        <v>0.66820789999999997</v>
      </c>
      <c r="AJ32" s="2">
        <v>0.57997840000000001</v>
      </c>
      <c r="AK32" s="3" t="e">
        <v>#N/A</v>
      </c>
      <c r="AL32" s="3" t="e">
        <v>#N/A</v>
      </c>
      <c r="AM32" s="2">
        <v>73.99503</v>
      </c>
      <c r="AN32" s="2">
        <v>72.965100000000007</v>
      </c>
      <c r="AO32" s="2">
        <v>71.602329999999995</v>
      </c>
      <c r="AP32" s="2">
        <v>72.055459999999997</v>
      </c>
      <c r="AQ32" s="2">
        <v>3.1079810000000001</v>
      </c>
      <c r="AR32" s="2">
        <v>3.573915</v>
      </c>
      <c r="AS32" s="2">
        <v>4.2895130000000004</v>
      </c>
      <c r="AT32" s="2">
        <v>4.5257180000000004</v>
      </c>
      <c r="AU32" s="1" t="s">
        <v>68</v>
      </c>
      <c r="AV32" s="3">
        <v>2</v>
      </c>
      <c r="AW32" s="3">
        <v>16.3</v>
      </c>
      <c r="AX32" s="2">
        <v>12.646850000000001</v>
      </c>
      <c r="AY32" s="2">
        <v>13.53837</v>
      </c>
      <c r="AZ32" s="2">
        <v>-8.6290279999999999</v>
      </c>
      <c r="BA32" s="2">
        <v>-10.706569999999999</v>
      </c>
      <c r="BB32" s="2">
        <v>-2.951038</v>
      </c>
      <c r="BC32" s="3">
        <v>14.36</v>
      </c>
      <c r="BD32" s="2">
        <v>0.76601509999999995</v>
      </c>
      <c r="BE32" s="3">
        <v>16.78</v>
      </c>
      <c r="BF32" s="2">
        <v>-13.766389999999999</v>
      </c>
      <c r="BG32" s="2">
        <v>81.394409999999993</v>
      </c>
      <c r="BH32" s="2">
        <v>79.003789999999995</v>
      </c>
      <c r="BI32" s="2">
        <v>88.371539999999996</v>
      </c>
      <c r="BJ32" s="2">
        <v>86.661169999999998</v>
      </c>
      <c r="BK32" s="2">
        <v>16</v>
      </c>
      <c r="BL32" s="2">
        <v>15</v>
      </c>
      <c r="BM32" s="4">
        <v>18</v>
      </c>
      <c r="BN32" s="4">
        <v>2</v>
      </c>
      <c r="BO32" s="4">
        <v>1</v>
      </c>
      <c r="BP32" s="4">
        <v>14</v>
      </c>
      <c r="BQ32" s="2">
        <v>11.764710000000001</v>
      </c>
      <c r="BR32" s="4">
        <v>4</v>
      </c>
      <c r="BS32" s="4">
        <v>4</v>
      </c>
      <c r="BT32" s="4">
        <v>18</v>
      </c>
      <c r="BU32" s="2">
        <v>22.22222</v>
      </c>
      <c r="BV32" s="2">
        <v>5.0076200000000002</v>
      </c>
      <c r="BW32" s="2">
        <v>541.08000000000004</v>
      </c>
      <c r="BX32" s="3">
        <v>1.1249309999999999</v>
      </c>
      <c r="BY32" s="3">
        <v>0.2079048</v>
      </c>
      <c r="BZ32" s="2">
        <v>0.35936299999999999</v>
      </c>
      <c r="CA32" s="3">
        <v>0.2079048</v>
      </c>
      <c r="CB32" s="3">
        <v>1.234056</v>
      </c>
      <c r="CC32" s="3">
        <v>1.234118</v>
      </c>
      <c r="CD32" s="2">
        <v>5.0067899999999997E-3</v>
      </c>
      <c r="CE32" s="3">
        <v>987.16</v>
      </c>
      <c r="CF32" s="3">
        <v>979.22159999999997</v>
      </c>
      <c r="CG32" s="2">
        <v>-0.80416200000000004</v>
      </c>
      <c r="CH32" s="3">
        <v>16.35333</v>
      </c>
      <c r="CI32" s="2">
        <v>-0.3261328</v>
      </c>
      <c r="CJ32" s="3">
        <v>2068.9760000000001</v>
      </c>
      <c r="CK32" s="3">
        <v>2082.4780000000001</v>
      </c>
      <c r="CL32" s="2">
        <v>0.65256360000000002</v>
      </c>
      <c r="CM32" s="3">
        <v>15.20764</v>
      </c>
      <c r="CN32" s="3">
        <v>15.007350000000001</v>
      </c>
      <c r="CO32" s="3">
        <v>14.93577</v>
      </c>
      <c r="CP32" s="2">
        <v>-4.850447</v>
      </c>
      <c r="CQ32" s="2">
        <v>-3.5805820000000002</v>
      </c>
      <c r="CR32" s="2">
        <v>-3.1184850000000002</v>
      </c>
      <c r="CS32" s="2">
        <v>-1.317018</v>
      </c>
      <c r="CT32" s="2">
        <v>16.335619999999999</v>
      </c>
      <c r="CU32" s="3">
        <v>0.20864389999999999</v>
      </c>
      <c r="CV32" s="2">
        <v>0.3527169</v>
      </c>
      <c r="CW32" s="2">
        <v>-3.5228389999999998</v>
      </c>
      <c r="CX32" s="2">
        <v>2.379343</v>
      </c>
      <c r="CY32" s="2">
        <v>19.393940000000001</v>
      </c>
    </row>
    <row r="33" spans="1:103" ht="15" customHeight="1" x14ac:dyDescent="0.2">
      <c r="A33" s="1">
        <f t="shared" si="0"/>
        <v>27</v>
      </c>
      <c r="B33" s="1" t="s">
        <v>84</v>
      </c>
      <c r="C33" s="1" t="s">
        <v>83</v>
      </c>
      <c r="D33" s="1" t="s">
        <v>8</v>
      </c>
      <c r="E33" s="1" t="s">
        <v>9</v>
      </c>
      <c r="F33" s="2">
        <v>6039.7169999999996</v>
      </c>
      <c r="G33" s="2">
        <v>43.486199999999997</v>
      </c>
      <c r="H33" s="2">
        <v>2626.4430000000002</v>
      </c>
      <c r="I33" s="3">
        <v>110.1</v>
      </c>
      <c r="J33" s="3">
        <v>0</v>
      </c>
      <c r="K33" s="2">
        <v>4.0871930000000001</v>
      </c>
      <c r="L33" s="2">
        <v>4.2688470000000001</v>
      </c>
      <c r="M33" s="2">
        <v>4.2960940000000001</v>
      </c>
      <c r="N33" s="2">
        <v>4.5049950000000001</v>
      </c>
      <c r="O33" s="2">
        <v>13.69403</v>
      </c>
      <c r="P33" s="2">
        <v>10.70041</v>
      </c>
      <c r="Q33" s="2">
        <v>12.960559999999999</v>
      </c>
      <c r="R33" s="2">
        <v>12.26741</v>
      </c>
      <c r="S33" s="2">
        <v>7.100028</v>
      </c>
      <c r="T33" s="2">
        <v>7.6988110000000001</v>
      </c>
      <c r="U33" s="2">
        <v>6.8596320000000004</v>
      </c>
      <c r="V33" s="2">
        <v>6.5543779999999998</v>
      </c>
      <c r="W33" s="2">
        <v>1.2366619999999999</v>
      </c>
      <c r="X33" s="2">
        <v>1.16567</v>
      </c>
      <c r="Y33" s="2">
        <v>1.128074</v>
      </c>
      <c r="Z33" s="2">
        <v>1.072168</v>
      </c>
      <c r="AA33" s="2">
        <v>3.9391769999999999</v>
      </c>
      <c r="AB33" s="2">
        <v>5.9199970000000004</v>
      </c>
      <c r="AC33" s="2">
        <v>4.4098379999999997</v>
      </c>
      <c r="AD33" s="2">
        <v>4.7476890000000003</v>
      </c>
      <c r="AE33" s="2">
        <v>-13.713240000000001</v>
      </c>
      <c r="AF33" s="2">
        <v>-5.2507089999999996</v>
      </c>
      <c r="AG33" s="2">
        <v>-3.85303</v>
      </c>
      <c r="AH33" s="2">
        <v>-30.497630000000001</v>
      </c>
      <c r="AI33" s="2">
        <v>-12.672459999999999</v>
      </c>
      <c r="AJ33" s="2">
        <v>-9.9432690000000008</v>
      </c>
      <c r="AK33" s="3" t="e">
        <v>#N/A</v>
      </c>
      <c r="AL33" s="3" t="e">
        <v>#N/A</v>
      </c>
      <c r="AM33" s="2">
        <v>18.472529999999999</v>
      </c>
      <c r="AN33" s="2">
        <v>11.8954</v>
      </c>
      <c r="AO33" s="2">
        <v>11.706049999999999</v>
      </c>
      <c r="AP33" s="2">
        <v>12.96195</v>
      </c>
      <c r="AQ33" s="2">
        <v>2.5401349999999998</v>
      </c>
      <c r="AR33" s="2">
        <v>3.8703340000000002</v>
      </c>
      <c r="AS33" s="2">
        <v>4.0174120000000002</v>
      </c>
      <c r="AT33" s="2">
        <v>4.0145479999999996</v>
      </c>
      <c r="AU33" s="1" t="s">
        <v>5</v>
      </c>
      <c r="AV33" s="3">
        <v>1.5</v>
      </c>
      <c r="AW33" s="3">
        <v>153</v>
      </c>
      <c r="AX33" s="2">
        <v>38.964579999999998</v>
      </c>
      <c r="AY33" s="2">
        <v>10.893700000000001</v>
      </c>
      <c r="AZ33" s="2" t="e">
        <v>#N/A</v>
      </c>
      <c r="BA33" s="2">
        <v>-40.646900000000002</v>
      </c>
      <c r="BB33" s="2">
        <v>-17.404350000000001</v>
      </c>
      <c r="BC33" s="3">
        <v>109.4</v>
      </c>
      <c r="BD33" s="2">
        <v>0.63985590000000003</v>
      </c>
      <c r="BE33" s="3">
        <v>190</v>
      </c>
      <c r="BF33" s="2">
        <v>-42.052630000000001</v>
      </c>
      <c r="BG33" s="2">
        <v>54.966119999999997</v>
      </c>
      <c r="BH33" s="2">
        <v>47.986499999999999</v>
      </c>
      <c r="BI33" s="2">
        <v>55.273539999999997</v>
      </c>
      <c r="BJ33" s="2">
        <v>54.133650000000003</v>
      </c>
      <c r="BK33" s="2">
        <v>10</v>
      </c>
      <c r="BL33" s="2">
        <v>9</v>
      </c>
      <c r="BM33" s="4">
        <v>11</v>
      </c>
      <c r="BN33" s="4">
        <v>1</v>
      </c>
      <c r="BO33" s="4">
        <v>1</v>
      </c>
      <c r="BP33" s="4">
        <v>9</v>
      </c>
      <c r="BQ33" s="2">
        <v>9.0909089999999999</v>
      </c>
      <c r="BR33" s="4">
        <v>6</v>
      </c>
      <c r="BS33" s="4">
        <v>0</v>
      </c>
      <c r="BT33" s="4">
        <v>11</v>
      </c>
      <c r="BU33" s="2">
        <v>54.545459999999999</v>
      </c>
      <c r="BV33" s="2">
        <v>7.3804800000000004</v>
      </c>
      <c r="BW33" s="2">
        <v>54.856650000000002</v>
      </c>
      <c r="BX33" s="3">
        <v>8.821321E-2</v>
      </c>
      <c r="BY33" s="3">
        <v>0.1608068</v>
      </c>
      <c r="BZ33" s="2">
        <v>0.74981699999999996</v>
      </c>
      <c r="CA33" s="3">
        <v>0.1608068</v>
      </c>
      <c r="CB33" s="3">
        <v>10.21528</v>
      </c>
      <c r="CC33" s="3">
        <v>9.8993179999999992</v>
      </c>
      <c r="CD33" s="2">
        <v>-3.0930759999999999</v>
      </c>
      <c r="CE33" s="3">
        <v>1312.6089999999999</v>
      </c>
      <c r="CF33" s="3">
        <v>1285.018</v>
      </c>
      <c r="CG33" s="2">
        <v>-2.1020289999999999</v>
      </c>
      <c r="CH33" s="3">
        <v>164.52099999999999</v>
      </c>
      <c r="CI33" s="2">
        <v>-7.0027530000000002</v>
      </c>
      <c r="CJ33" s="3">
        <v>14685.02</v>
      </c>
      <c r="CK33" s="3">
        <v>15462.34</v>
      </c>
      <c r="CL33" s="2">
        <v>5.2932620000000004</v>
      </c>
      <c r="CM33" s="3">
        <v>133.49299999999999</v>
      </c>
      <c r="CN33" s="3">
        <v>125.02160000000001</v>
      </c>
      <c r="CO33" s="3">
        <v>118.5808</v>
      </c>
      <c r="CP33" s="2">
        <v>-17.523769999999999</v>
      </c>
      <c r="CQ33" s="2">
        <v>-11.935219999999999</v>
      </c>
      <c r="CR33" s="2">
        <v>-7.1518959999999998</v>
      </c>
      <c r="CS33" s="2">
        <v>-6.3459519999999996</v>
      </c>
      <c r="CT33" s="2">
        <v>12.23908</v>
      </c>
      <c r="CU33" s="3">
        <v>0.2026432</v>
      </c>
      <c r="CV33" s="2" t="e">
        <v>#N/A</v>
      </c>
      <c r="CW33" s="2" t="e">
        <v>#N/A</v>
      </c>
      <c r="CX33" s="2" t="e">
        <v>#N/A</v>
      </c>
      <c r="CY33" s="2">
        <v>21</v>
      </c>
    </row>
    <row r="34" spans="1:103" ht="15" customHeight="1" x14ac:dyDescent="0.2">
      <c r="A34" s="1">
        <f t="shared" si="0"/>
        <v>28</v>
      </c>
      <c r="B34" s="1" t="s">
        <v>86</v>
      </c>
      <c r="C34" s="1" t="s">
        <v>85</v>
      </c>
      <c r="D34" s="1" t="s">
        <v>3</v>
      </c>
      <c r="E34" s="1" t="s">
        <v>87</v>
      </c>
      <c r="F34" s="2">
        <v>5915.8220000000001</v>
      </c>
      <c r="G34" s="2">
        <v>29.5564</v>
      </c>
      <c r="H34" s="2">
        <v>1748.5039999999999</v>
      </c>
      <c r="I34" s="3">
        <v>1.921</v>
      </c>
      <c r="J34" s="3">
        <v>0</v>
      </c>
      <c r="K34" s="2">
        <v>7.8084340000000001</v>
      </c>
      <c r="L34" s="2">
        <v>7.8084340000000001</v>
      </c>
      <c r="M34" s="2">
        <v>7.8084340000000001</v>
      </c>
      <c r="N34" s="2">
        <v>8.3368970000000004</v>
      </c>
      <c r="O34" s="2">
        <v>9.1476190000000006</v>
      </c>
      <c r="P34" s="2">
        <v>8.5519459999999992</v>
      </c>
      <c r="Q34" s="2">
        <v>6.7403510000000004</v>
      </c>
      <c r="R34" s="2">
        <v>6.4033329999999999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>
        <v>0.81054850000000001</v>
      </c>
      <c r="X34" s="2">
        <v>0.76839999999999997</v>
      </c>
      <c r="Y34" s="2">
        <v>0.71545619999999999</v>
      </c>
      <c r="Z34" s="2">
        <v>0.66127369999999996</v>
      </c>
      <c r="AA34" s="2" t="e">
        <v>#N/A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>
        <v>13.08356</v>
      </c>
      <c r="AI34" s="2">
        <v>11.680540000000001</v>
      </c>
      <c r="AJ34" s="2">
        <v>12.390499999999999</v>
      </c>
      <c r="AK34" s="3">
        <v>0.65966190000000002</v>
      </c>
      <c r="AL34" s="3">
        <v>0.51712020000000003</v>
      </c>
      <c r="AM34" s="2" t="e">
        <v>#N/A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1" t="s">
        <v>68</v>
      </c>
      <c r="AV34" s="3">
        <v>1.95</v>
      </c>
      <c r="AW34" s="3">
        <v>2.2349999999999999</v>
      </c>
      <c r="AX34" s="2">
        <v>16.34564</v>
      </c>
      <c r="AY34" s="2">
        <v>8.9850890000000003</v>
      </c>
      <c r="AZ34" s="2">
        <v>12.679930000000001</v>
      </c>
      <c r="BA34" s="2">
        <v>-1.6385080000000001</v>
      </c>
      <c r="BB34" s="2">
        <v>-1.132274</v>
      </c>
      <c r="BC34" s="3">
        <v>1.7490000000000001</v>
      </c>
      <c r="BD34" s="2">
        <v>9.8341829999999995</v>
      </c>
      <c r="BE34" s="3">
        <v>2.11</v>
      </c>
      <c r="BF34" s="2">
        <v>-8.957338</v>
      </c>
      <c r="BG34" s="2">
        <v>70.238100000000003</v>
      </c>
      <c r="BH34" s="2">
        <v>64.497420000000005</v>
      </c>
      <c r="BI34" s="2">
        <v>55.040660000000003</v>
      </c>
      <c r="BJ34" s="2">
        <v>53.82902</v>
      </c>
      <c r="BK34" s="2">
        <v>9</v>
      </c>
      <c r="BL34" s="2">
        <v>3</v>
      </c>
      <c r="BM34" s="4">
        <v>10</v>
      </c>
      <c r="BN34" s="4">
        <v>0</v>
      </c>
      <c r="BO34" s="4">
        <v>0</v>
      </c>
      <c r="BP34" s="4">
        <v>10</v>
      </c>
      <c r="BQ34" s="2">
        <v>0</v>
      </c>
      <c r="BR34" s="4">
        <v>4</v>
      </c>
      <c r="BS34" s="4">
        <v>3</v>
      </c>
      <c r="BT34" s="4">
        <v>10</v>
      </c>
      <c r="BU34" s="2">
        <v>40</v>
      </c>
      <c r="BV34" s="2">
        <v>5.19564</v>
      </c>
      <c r="BW34" s="2">
        <v>3079.5529999999999</v>
      </c>
      <c r="BX34" s="3">
        <v>2.704377</v>
      </c>
      <c r="BY34" s="3">
        <v>8.7817199999999998E-2</v>
      </c>
      <c r="BZ34" s="2">
        <v>0.42080899999999999</v>
      </c>
      <c r="CA34" s="3">
        <v>8.7817199999999998E-2</v>
      </c>
      <c r="CB34" s="3">
        <v>0.23870469999999999</v>
      </c>
      <c r="CC34" s="3">
        <v>0.22966200000000001</v>
      </c>
      <c r="CD34" s="2">
        <v>-3.7882389999999999</v>
      </c>
      <c r="CE34" s="3">
        <v>1737.2570000000001</v>
      </c>
      <c r="CF34" s="3">
        <v>1768.5619999999999</v>
      </c>
      <c r="CG34" s="2">
        <v>1.8019559999999999</v>
      </c>
      <c r="CH34" s="3">
        <v>2.2955559999999999</v>
      </c>
      <c r="CI34" s="2">
        <v>-2.637953</v>
      </c>
      <c r="CJ34" s="3">
        <v>26064.07</v>
      </c>
      <c r="CK34" s="3">
        <v>26489.75</v>
      </c>
      <c r="CL34" s="2">
        <v>1.633227</v>
      </c>
      <c r="CM34" s="3">
        <v>1.93109</v>
      </c>
      <c r="CN34" s="3">
        <v>1.9927649999999999</v>
      </c>
      <c r="CO34" s="3">
        <v>2.0113850000000002</v>
      </c>
      <c r="CP34" s="2">
        <v>-0.52247639999999995</v>
      </c>
      <c r="CQ34" s="2">
        <v>-3.6012710000000001</v>
      </c>
      <c r="CR34" s="2">
        <v>-4.4936540000000003</v>
      </c>
      <c r="CS34" s="2">
        <v>3.1938080000000002</v>
      </c>
      <c r="CT34" s="2">
        <v>5.1540150000000002</v>
      </c>
      <c r="CU34" s="3">
        <v>8.7122550000000007E-2</v>
      </c>
      <c r="CV34" s="2" t="e">
        <v>#N/A</v>
      </c>
      <c r="CW34" s="2">
        <v>-5.0036659999999999</v>
      </c>
      <c r="CX34" s="2" t="e">
        <v>#N/A</v>
      </c>
      <c r="CY34" s="2">
        <v>21.47475</v>
      </c>
    </row>
    <row r="35" spans="1:103" ht="15" customHeight="1" x14ac:dyDescent="0.2">
      <c r="A35" s="1">
        <f t="shared" si="0"/>
        <v>29</v>
      </c>
      <c r="B35" s="1" t="s">
        <v>89</v>
      </c>
      <c r="C35" s="1" t="s">
        <v>88</v>
      </c>
      <c r="D35" s="1" t="s">
        <v>71</v>
      </c>
      <c r="E35" s="1" t="s">
        <v>90</v>
      </c>
      <c r="F35" s="2">
        <v>1586.251</v>
      </c>
      <c r="G35" s="2">
        <v>53.16</v>
      </c>
      <c r="H35" s="2">
        <v>843.25120000000004</v>
      </c>
      <c r="I35" s="3">
        <v>12.695</v>
      </c>
      <c r="J35" s="3">
        <v>0</v>
      </c>
      <c r="K35" s="2">
        <v>0</v>
      </c>
      <c r="L35" s="2">
        <v>0</v>
      </c>
      <c r="M35" s="2">
        <v>0</v>
      </c>
      <c r="N35" s="2">
        <v>0</v>
      </c>
      <c r="O35" s="2">
        <v>17.63194</v>
      </c>
      <c r="P35" s="2">
        <v>14.76163</v>
      </c>
      <c r="Q35" s="2">
        <v>13.087630000000001</v>
      </c>
      <c r="R35" s="2">
        <v>11.976419999999999</v>
      </c>
      <c r="S35" s="2">
        <v>19.51952</v>
      </c>
      <c r="T35" s="2">
        <v>16.952970000000001</v>
      </c>
      <c r="U35" s="2">
        <v>12.17872</v>
      </c>
      <c r="V35" s="2">
        <v>11.02115</v>
      </c>
      <c r="W35" s="2">
        <v>4.6163639999999999</v>
      </c>
      <c r="X35" s="2">
        <v>3.526389</v>
      </c>
      <c r="Y35" s="2">
        <v>2.824249</v>
      </c>
      <c r="Z35" s="2">
        <v>2.2853289999999999</v>
      </c>
      <c r="AA35" s="2">
        <v>13.78905</v>
      </c>
      <c r="AB35" s="2">
        <v>11.16004</v>
      </c>
      <c r="AC35" s="2">
        <v>10.07577</v>
      </c>
      <c r="AD35" s="2">
        <v>8.3975770000000001</v>
      </c>
      <c r="AE35" s="2">
        <v>-11.14324</v>
      </c>
      <c r="AF35" s="2">
        <v>-10.562749999999999</v>
      </c>
      <c r="AG35" s="2">
        <v>-9.6912009999999995</v>
      </c>
      <c r="AH35" s="2">
        <v>-18.519380000000002</v>
      </c>
      <c r="AI35" s="2">
        <v>-19.50761</v>
      </c>
      <c r="AJ35" s="2">
        <v>-19.991820000000001</v>
      </c>
      <c r="AK35" s="3">
        <v>0.99189099999999997</v>
      </c>
      <c r="AL35" s="3">
        <v>0.9309115</v>
      </c>
      <c r="AM35" s="2">
        <v>90.486459999999994</v>
      </c>
      <c r="AN35" s="2">
        <v>89.282520000000005</v>
      </c>
      <c r="AO35" s="2">
        <v>88.394509999999997</v>
      </c>
      <c r="AP35" s="2">
        <v>87.665769999999995</v>
      </c>
      <c r="AQ35" s="2">
        <v>4.971419</v>
      </c>
      <c r="AR35" s="2">
        <v>5.2737319999999999</v>
      </c>
      <c r="AS35" s="2">
        <v>5.5843340000000001</v>
      </c>
      <c r="AT35" s="2">
        <v>5.6785560000000004</v>
      </c>
      <c r="AU35" s="1" t="s">
        <v>68</v>
      </c>
      <c r="AV35" s="3">
        <v>1.6842109999999999</v>
      </c>
      <c r="AW35" s="3">
        <v>17.899999999999999</v>
      </c>
      <c r="AX35" s="2">
        <v>41.000390000000003</v>
      </c>
      <c r="AY35" s="2">
        <v>23.88889</v>
      </c>
      <c r="AZ35" s="2">
        <v>14.7</v>
      </c>
      <c r="BA35" s="2">
        <v>-29.078209999999999</v>
      </c>
      <c r="BB35" s="2">
        <v>-31.783989999999999</v>
      </c>
      <c r="BC35" s="3">
        <v>12.484999999999999</v>
      </c>
      <c r="BD35" s="2">
        <v>1.6820189999999999</v>
      </c>
      <c r="BE35" s="3">
        <v>18.920000000000002</v>
      </c>
      <c r="BF35" s="2">
        <v>-32.901690000000002</v>
      </c>
      <c r="BG35" s="2">
        <v>0</v>
      </c>
      <c r="BH35" s="2">
        <v>0</v>
      </c>
      <c r="BI35" s="2">
        <v>0</v>
      </c>
      <c r="BJ35" s="2">
        <v>0</v>
      </c>
      <c r="BK35" s="2">
        <v>19</v>
      </c>
      <c r="BL35" s="2">
        <v>18</v>
      </c>
      <c r="BM35" s="4">
        <v>19</v>
      </c>
      <c r="BN35" s="4">
        <v>0</v>
      </c>
      <c r="BO35" s="4">
        <v>2</v>
      </c>
      <c r="BP35" s="4">
        <v>15</v>
      </c>
      <c r="BQ35" s="2">
        <v>0</v>
      </c>
      <c r="BR35" s="4">
        <v>9</v>
      </c>
      <c r="BS35" s="4">
        <v>2</v>
      </c>
      <c r="BT35" s="4">
        <v>19</v>
      </c>
      <c r="BU35" s="2">
        <v>47.36842</v>
      </c>
      <c r="BV35" s="2">
        <v>11.723000000000001</v>
      </c>
      <c r="BW35" s="2">
        <v>124.9509</v>
      </c>
      <c r="BX35" s="3">
        <v>0.52099150000000005</v>
      </c>
      <c r="BY35" s="3">
        <v>0.41695700000000002</v>
      </c>
      <c r="BZ35" s="2">
        <v>0.97192999999999996</v>
      </c>
      <c r="CA35" s="3">
        <v>0.41695700000000002</v>
      </c>
      <c r="CB35" s="3">
        <v>0.85620050000000003</v>
      </c>
      <c r="CC35" s="3">
        <v>0.87066569999999999</v>
      </c>
      <c r="CD35" s="2">
        <v>1.68947</v>
      </c>
      <c r="CE35" s="3">
        <v>163.6618</v>
      </c>
      <c r="CF35" s="3">
        <v>165.6001</v>
      </c>
      <c r="CG35" s="2">
        <v>1.184285</v>
      </c>
      <c r="CH35" s="3">
        <v>19.091670000000001</v>
      </c>
      <c r="CI35" s="2">
        <v>-6.241822</v>
      </c>
      <c r="CJ35" s="3">
        <v>223.9794</v>
      </c>
      <c r="CK35" s="3">
        <v>220.74680000000001</v>
      </c>
      <c r="CL35" s="2">
        <v>-1.443273</v>
      </c>
      <c r="CM35" s="3">
        <v>14.60097</v>
      </c>
      <c r="CN35" s="3">
        <v>15.941470000000001</v>
      </c>
      <c r="CO35" s="3">
        <v>14.14212</v>
      </c>
      <c r="CP35" s="2">
        <v>-13.05372</v>
      </c>
      <c r="CQ35" s="2">
        <v>-20.36495</v>
      </c>
      <c r="CR35" s="2">
        <v>-10.23268</v>
      </c>
      <c r="CS35" s="2">
        <v>9.1809159999999999</v>
      </c>
      <c r="CT35" s="2">
        <v>10.05517</v>
      </c>
      <c r="CU35" s="3">
        <v>0.63389519999999999</v>
      </c>
      <c r="CV35" s="2">
        <v>35.102290000000004</v>
      </c>
      <c r="CW35" s="2">
        <v>16.47335</v>
      </c>
      <c r="CX35" s="2">
        <v>13.590260000000001</v>
      </c>
      <c r="CY35" s="2">
        <v>21.55556</v>
      </c>
    </row>
    <row r="36" spans="1:103" ht="15" customHeight="1" x14ac:dyDescent="0.2">
      <c r="A36" s="1">
        <f t="shared" si="0"/>
        <v>30</v>
      </c>
      <c r="B36" s="1" t="s">
        <v>92</v>
      </c>
      <c r="C36" s="1" t="s">
        <v>91</v>
      </c>
      <c r="D36" s="1" t="s">
        <v>71</v>
      </c>
      <c r="E36" s="1" t="s">
        <v>93</v>
      </c>
      <c r="F36" s="2">
        <v>3755.6280000000002</v>
      </c>
      <c r="G36" s="2">
        <v>86.550600000000003</v>
      </c>
      <c r="H36" s="2">
        <v>3250.518</v>
      </c>
      <c r="I36" s="3">
        <v>14.335000000000001</v>
      </c>
      <c r="J36" s="3">
        <v>0</v>
      </c>
      <c r="K36" s="2">
        <v>11.9986</v>
      </c>
      <c r="L36" s="2">
        <v>12.138120000000001</v>
      </c>
      <c r="M36" s="2">
        <v>12.138120000000001</v>
      </c>
      <c r="N36" s="2">
        <v>12.138120000000001</v>
      </c>
      <c r="O36" s="2">
        <v>10.024480000000001</v>
      </c>
      <c r="P36" s="2">
        <v>11.829090000000001</v>
      </c>
      <c r="Q36" s="2">
        <v>15.497299999999999</v>
      </c>
      <c r="R36" s="2">
        <v>17.918749999999999</v>
      </c>
      <c r="S36" s="2">
        <v>9.4850709999999996</v>
      </c>
      <c r="T36" s="2">
        <v>9.938682</v>
      </c>
      <c r="U36" s="2">
        <v>10.175549999999999</v>
      </c>
      <c r="V36" s="2">
        <v>10.9625</v>
      </c>
      <c r="W36" s="2">
        <v>1.1730769999999999</v>
      </c>
      <c r="X36" s="2">
        <v>1.222137</v>
      </c>
      <c r="Y36" s="2">
        <v>1.316114</v>
      </c>
      <c r="Z36" s="2">
        <v>1.443713</v>
      </c>
      <c r="AA36" s="2">
        <v>5.4326150000000002</v>
      </c>
      <c r="AB36" s="2">
        <v>6.3455139999999997</v>
      </c>
      <c r="AC36" s="2">
        <v>6.7125719999999998</v>
      </c>
      <c r="AD36" s="2">
        <v>7.6126990000000001</v>
      </c>
      <c r="AE36" s="2">
        <v>4.65158</v>
      </c>
      <c r="AF36" s="2">
        <v>5.2290979999999996</v>
      </c>
      <c r="AG36" s="2">
        <v>3.439289</v>
      </c>
      <c r="AH36" s="2">
        <v>9.1946279999999998</v>
      </c>
      <c r="AI36" s="2">
        <v>10.282389999999999</v>
      </c>
      <c r="AJ36" s="2">
        <v>6.9269970000000001</v>
      </c>
      <c r="AK36" s="3" t="e">
        <v>#N/A</v>
      </c>
      <c r="AL36" s="3" t="e">
        <v>#N/A</v>
      </c>
      <c r="AM36" s="2">
        <v>82.180769999999995</v>
      </c>
      <c r="AN36" s="2">
        <v>82.157439999999994</v>
      </c>
      <c r="AO36" s="2">
        <v>81.181039999999996</v>
      </c>
      <c r="AP36" s="2">
        <v>81.410889999999995</v>
      </c>
      <c r="AQ36" s="2">
        <v>4.3842489999999996</v>
      </c>
      <c r="AR36" s="2">
        <v>4.7546309999999998</v>
      </c>
      <c r="AS36" s="2">
        <v>5.0007869999999999</v>
      </c>
      <c r="AT36" s="2">
        <v>5.5195650000000001</v>
      </c>
      <c r="AU36" s="1" t="s">
        <v>68</v>
      </c>
      <c r="AV36" s="3">
        <v>2.285714</v>
      </c>
      <c r="AW36" s="3">
        <v>15.7</v>
      </c>
      <c r="AX36" s="2">
        <v>9.5221520000000002</v>
      </c>
      <c r="AY36" s="2">
        <v>10.331619999999999</v>
      </c>
      <c r="AZ36" s="2">
        <v>-16.3157</v>
      </c>
      <c r="BA36" s="2">
        <v>-15.001480000000001</v>
      </c>
      <c r="BB36" s="2">
        <v>-6.0923699999999998</v>
      </c>
      <c r="BC36" s="3">
        <v>14.335000000000001</v>
      </c>
      <c r="BD36" s="2">
        <v>0</v>
      </c>
      <c r="BE36" s="3">
        <v>18.55</v>
      </c>
      <c r="BF36" s="2">
        <v>-22.722370000000002</v>
      </c>
      <c r="BG36" s="2">
        <v>116.815</v>
      </c>
      <c r="BH36" s="2">
        <v>143.47210000000001</v>
      </c>
      <c r="BI36" s="2">
        <v>180.6842</v>
      </c>
      <c r="BJ36" s="2">
        <v>201.66579999999999</v>
      </c>
      <c r="BK36" s="2">
        <v>18</v>
      </c>
      <c r="BL36" s="2">
        <v>16</v>
      </c>
      <c r="BM36" s="4">
        <v>21</v>
      </c>
      <c r="BN36" s="4">
        <v>0</v>
      </c>
      <c r="BO36" s="4">
        <v>0</v>
      </c>
      <c r="BP36" s="4">
        <v>20</v>
      </c>
      <c r="BQ36" s="2">
        <v>0</v>
      </c>
      <c r="BR36" s="4">
        <v>3</v>
      </c>
      <c r="BS36" s="4">
        <v>10</v>
      </c>
      <c r="BT36" s="4">
        <v>21</v>
      </c>
      <c r="BU36" s="2">
        <v>14.28572</v>
      </c>
      <c r="BV36" s="2">
        <v>5.18072</v>
      </c>
      <c r="BW36" s="2">
        <v>261.99009999999998</v>
      </c>
      <c r="BX36" s="3">
        <v>0.8154228</v>
      </c>
      <c r="BY36" s="3">
        <v>0.31124190000000002</v>
      </c>
      <c r="BZ36" s="2">
        <v>0.47656199999999999</v>
      </c>
      <c r="CA36" s="3">
        <v>0.31124190000000002</v>
      </c>
      <c r="CB36" s="3">
        <v>1.174239</v>
      </c>
      <c r="CC36" s="3">
        <v>1.182029</v>
      </c>
      <c r="CD36" s="2">
        <v>0.66347120000000004</v>
      </c>
      <c r="CE36" s="3">
        <v>450.2876</v>
      </c>
      <c r="CF36" s="3">
        <v>451.06509999999997</v>
      </c>
      <c r="CG36" s="2">
        <v>0.1726627</v>
      </c>
      <c r="CH36" s="3">
        <v>16.579999999999998</v>
      </c>
      <c r="CI36" s="2">
        <v>-5.3076030000000003</v>
      </c>
      <c r="CJ36" s="3">
        <v>941.12459999999999</v>
      </c>
      <c r="CK36" s="3">
        <v>939.58720000000005</v>
      </c>
      <c r="CL36" s="2">
        <v>-0.16336439999999999</v>
      </c>
      <c r="CM36" s="3">
        <v>16.280539999999998</v>
      </c>
      <c r="CN36" s="3">
        <v>15.559609999999999</v>
      </c>
      <c r="CO36" s="3">
        <v>15.08981</v>
      </c>
      <c r="CP36" s="2">
        <v>-11.95011</v>
      </c>
      <c r="CQ36" s="2">
        <v>-7.8704539999999996</v>
      </c>
      <c r="CR36" s="2">
        <v>-5.0020990000000003</v>
      </c>
      <c r="CS36" s="2">
        <v>-4.428172</v>
      </c>
      <c r="CT36" s="2">
        <v>14.14622</v>
      </c>
      <c r="CU36" s="3">
        <v>0.37666719999999998</v>
      </c>
      <c r="CV36" s="2">
        <v>-21.992660000000001</v>
      </c>
      <c r="CW36" s="2">
        <v>-1.0376559999999999</v>
      </c>
      <c r="CX36" s="2">
        <v>-1.431897</v>
      </c>
      <c r="CY36" s="2">
        <v>21.828279999999999</v>
      </c>
    </row>
    <row r="37" spans="1:103" ht="15" customHeight="1" x14ac:dyDescent="0.2">
      <c r="A37" s="1">
        <f t="shared" si="0"/>
        <v>31</v>
      </c>
      <c r="B37" s="1" t="s">
        <v>95</v>
      </c>
      <c r="C37" s="1" t="s">
        <v>94</v>
      </c>
      <c r="D37" s="1" t="s">
        <v>96</v>
      </c>
      <c r="E37" s="1" t="s">
        <v>97</v>
      </c>
      <c r="F37" s="2">
        <v>4046.2379999999998</v>
      </c>
      <c r="G37" s="2">
        <v>43.299700000000001</v>
      </c>
      <c r="H37" s="2">
        <v>1752.009</v>
      </c>
      <c r="I37" s="3">
        <v>21.06</v>
      </c>
      <c r="J37" s="3">
        <v>0</v>
      </c>
      <c r="K37" s="2">
        <v>3.3238370000000002</v>
      </c>
      <c r="L37" s="2">
        <v>2.4258190000000002</v>
      </c>
      <c r="M37" s="2">
        <v>2.611586</v>
      </c>
      <c r="N37" s="2">
        <v>3.0864199999999999</v>
      </c>
      <c r="O37" s="2">
        <v>15.30152</v>
      </c>
      <c r="P37" s="2">
        <v>20.4466</v>
      </c>
      <c r="Q37" s="2">
        <v>22.404250000000001</v>
      </c>
      <c r="R37" s="2">
        <v>15.95454</v>
      </c>
      <c r="S37" s="2">
        <v>8.1360039999999998</v>
      </c>
      <c r="T37" s="2">
        <v>11.35998</v>
      </c>
      <c r="U37" s="2">
        <v>11.157400000000001</v>
      </c>
      <c r="V37" s="2">
        <v>10.005240000000001</v>
      </c>
      <c r="W37" s="2">
        <v>2.4445730000000001</v>
      </c>
      <c r="X37" s="2">
        <v>2.4690129999999999</v>
      </c>
      <c r="Y37" s="2">
        <v>2.3756339999999998</v>
      </c>
      <c r="Z37" s="2">
        <v>2.2718440000000002</v>
      </c>
      <c r="AA37" s="2">
        <v>13.98874</v>
      </c>
      <c r="AB37" s="2">
        <v>15.464589999999999</v>
      </c>
      <c r="AC37" s="2">
        <v>14.008850000000001</v>
      </c>
      <c r="AD37" s="2">
        <v>11.932</v>
      </c>
      <c r="AE37" s="2">
        <v>5.7115410000000004</v>
      </c>
      <c r="AF37" s="2">
        <v>4.8109599999999997</v>
      </c>
      <c r="AG37" s="2">
        <v>5.0771280000000001</v>
      </c>
      <c r="AH37" s="2">
        <v>7.3983650000000001</v>
      </c>
      <c r="AI37" s="2">
        <v>6.0834739999999998</v>
      </c>
      <c r="AJ37" s="2">
        <v>6.2520680000000004</v>
      </c>
      <c r="AK37" s="3">
        <v>8.4633780000000005</v>
      </c>
      <c r="AL37" s="3">
        <v>8.9528879999999997</v>
      </c>
      <c r="AM37" s="2">
        <v>21.431560000000001</v>
      </c>
      <c r="AN37" s="2">
        <v>20.803000000000001</v>
      </c>
      <c r="AO37" s="2">
        <v>21.960260000000002</v>
      </c>
      <c r="AP37" s="2">
        <v>22.76314</v>
      </c>
      <c r="AQ37" s="2">
        <v>2.5880860000000001</v>
      </c>
      <c r="AR37" s="2">
        <v>2.8183959999999999</v>
      </c>
      <c r="AS37" s="2">
        <v>2.3338559999999999</v>
      </c>
      <c r="AT37" s="2">
        <v>1.8802669999999999</v>
      </c>
      <c r="AU37" s="1" t="s">
        <v>68</v>
      </c>
      <c r="AV37" s="3">
        <v>1.75</v>
      </c>
      <c r="AW37" s="3">
        <v>20.45</v>
      </c>
      <c r="AX37" s="2">
        <v>-2.8964819999999998</v>
      </c>
      <c r="AY37" s="2">
        <v>12.075419999999999</v>
      </c>
      <c r="AZ37" s="2">
        <v>2.3932069999999999</v>
      </c>
      <c r="BA37" s="2">
        <v>30</v>
      </c>
      <c r="BB37" s="2">
        <v>11.72414</v>
      </c>
      <c r="BC37" s="3">
        <v>14.52</v>
      </c>
      <c r="BD37" s="2">
        <v>45.041310000000003</v>
      </c>
      <c r="BE37" s="3">
        <v>21.82</v>
      </c>
      <c r="BF37" s="2">
        <v>-3.4830450000000002</v>
      </c>
      <c r="BG37" s="2">
        <v>55.802410000000002</v>
      </c>
      <c r="BH37" s="2">
        <v>50.542619999999999</v>
      </c>
      <c r="BI37" s="2">
        <v>53.104599999999998</v>
      </c>
      <c r="BJ37" s="2">
        <v>47.756489999999999</v>
      </c>
      <c r="BK37" s="2">
        <v>7</v>
      </c>
      <c r="BL37" s="2">
        <v>15</v>
      </c>
      <c r="BM37" s="4">
        <v>16</v>
      </c>
      <c r="BN37" s="4">
        <v>0</v>
      </c>
      <c r="BO37" s="4">
        <v>1</v>
      </c>
      <c r="BP37" s="4">
        <v>16</v>
      </c>
      <c r="BQ37" s="2">
        <v>0</v>
      </c>
      <c r="BR37" s="4">
        <v>6</v>
      </c>
      <c r="BS37" s="4">
        <v>2</v>
      </c>
      <c r="BT37" s="4">
        <v>16</v>
      </c>
      <c r="BU37" s="2">
        <v>37.5</v>
      </c>
      <c r="BV37" s="2">
        <v>9.2376799999999992</v>
      </c>
      <c r="BW37" s="2">
        <v>192.12909999999999</v>
      </c>
      <c r="BX37" s="3">
        <v>0.46529480000000001</v>
      </c>
      <c r="BY37" s="3">
        <v>0.24217820000000001</v>
      </c>
      <c r="BZ37" s="2">
        <v>1.01997</v>
      </c>
      <c r="CA37" s="3">
        <v>0.24217820000000001</v>
      </c>
      <c r="CB37" s="3">
        <v>1.0400180000000001</v>
      </c>
      <c r="CC37" s="3">
        <v>1.039763</v>
      </c>
      <c r="CD37" s="2">
        <v>-2.4515390000000001E-2</v>
      </c>
      <c r="CE37" s="3">
        <v>260.6585</v>
      </c>
      <c r="CF37" s="3">
        <v>246.12610000000001</v>
      </c>
      <c r="CG37" s="2">
        <v>-5.5752810000000004</v>
      </c>
      <c r="CH37" s="3">
        <v>20.419229999999999</v>
      </c>
      <c r="CI37" s="2">
        <v>0.15069250000000001</v>
      </c>
      <c r="CJ37" s="3">
        <v>2050.23</v>
      </c>
      <c r="CK37" s="3">
        <v>2041.2529999999999</v>
      </c>
      <c r="CL37" s="2">
        <v>-0.43789149999999999</v>
      </c>
      <c r="CM37" s="3">
        <v>18.55941</v>
      </c>
      <c r="CN37" s="3">
        <v>19.28275</v>
      </c>
      <c r="CO37" s="3">
        <v>19.728840000000002</v>
      </c>
      <c r="CP37" s="2">
        <v>13.47344</v>
      </c>
      <c r="CQ37" s="2">
        <v>9.2167849999999998</v>
      </c>
      <c r="CR37" s="2">
        <v>6.7472580000000004</v>
      </c>
      <c r="CS37" s="2">
        <v>3.89744</v>
      </c>
      <c r="CT37" s="2">
        <v>6.0530099999999996</v>
      </c>
      <c r="CU37" s="3">
        <v>0.14959600000000001</v>
      </c>
      <c r="CV37" s="2">
        <v>-19.441870000000002</v>
      </c>
      <c r="CW37" s="2">
        <v>-4.2084149999999996</v>
      </c>
      <c r="CX37" s="2">
        <v>-26.299790000000002</v>
      </c>
      <c r="CY37" s="2">
        <v>22.171720000000001</v>
      </c>
    </row>
    <row r="38" spans="1:103" ht="15" customHeight="1" x14ac:dyDescent="0.2">
      <c r="A38" s="1">
        <f t="shared" si="0"/>
        <v>32</v>
      </c>
      <c r="B38" s="1" t="s">
        <v>99</v>
      </c>
      <c r="C38" s="1" t="s">
        <v>98</v>
      </c>
      <c r="D38" s="1" t="s">
        <v>71</v>
      </c>
      <c r="E38" s="1" t="s">
        <v>72</v>
      </c>
      <c r="F38" s="2">
        <v>17898.21</v>
      </c>
      <c r="G38" s="2">
        <v>29.875</v>
      </c>
      <c r="H38" s="2">
        <v>5347.0889999999999</v>
      </c>
      <c r="I38" s="3">
        <v>16.905000000000001</v>
      </c>
      <c r="J38" s="3">
        <v>0</v>
      </c>
      <c r="K38" s="2">
        <v>9.4055009999999992</v>
      </c>
      <c r="L38" s="2">
        <v>5.9154090000000004</v>
      </c>
      <c r="M38" s="2">
        <v>6.5661040000000002</v>
      </c>
      <c r="N38" s="2">
        <v>7.5829000000000004</v>
      </c>
      <c r="O38" s="2">
        <v>7.4800890000000004</v>
      </c>
      <c r="P38" s="2">
        <v>14.26582</v>
      </c>
      <c r="Q38" s="2">
        <v>10.646470000000001</v>
      </c>
      <c r="R38" s="2">
        <v>9.3635859999999997</v>
      </c>
      <c r="S38" s="2">
        <v>5.3137629999999998</v>
      </c>
      <c r="T38" s="2">
        <v>7.5820160000000003</v>
      </c>
      <c r="U38" s="2">
        <v>5.9332929999999999</v>
      </c>
      <c r="V38" s="2">
        <v>5.6323660000000002</v>
      </c>
      <c r="W38" s="2">
        <v>3.2191019999999999</v>
      </c>
      <c r="X38" s="2">
        <v>3.593359</v>
      </c>
      <c r="Y38" s="2">
        <v>3.1651739999999999</v>
      </c>
      <c r="Z38" s="2">
        <v>2.7927729999999999</v>
      </c>
      <c r="AA38" s="2">
        <v>4.0988189999999998</v>
      </c>
      <c r="AB38" s="2">
        <v>5.7361129999999996</v>
      </c>
      <c r="AC38" s="2">
        <v>4.9260799999999998</v>
      </c>
      <c r="AD38" s="2">
        <v>4.5643799999999999</v>
      </c>
      <c r="AE38" s="2">
        <v>4.5490539999999999</v>
      </c>
      <c r="AF38" s="2">
        <v>4.5580509999999999</v>
      </c>
      <c r="AG38" s="2">
        <v>4.5112750000000004</v>
      </c>
      <c r="AH38" s="2">
        <v>7.4112220000000004</v>
      </c>
      <c r="AI38" s="2">
        <v>7.470402</v>
      </c>
      <c r="AJ38" s="2">
        <v>7.4927960000000002</v>
      </c>
      <c r="AK38" s="3" t="e">
        <v>#N/A</v>
      </c>
      <c r="AL38" s="3" t="e">
        <v>#N/A</v>
      </c>
      <c r="AM38" s="2">
        <v>16.91695</v>
      </c>
      <c r="AN38" s="2">
        <v>16.821110000000001</v>
      </c>
      <c r="AO38" s="2">
        <v>21.069680000000002</v>
      </c>
      <c r="AP38" s="2">
        <v>23.61805</v>
      </c>
      <c r="AQ38" s="2">
        <v>1.9586699999999999</v>
      </c>
      <c r="AR38" s="2">
        <v>2.771639</v>
      </c>
      <c r="AS38" s="2">
        <v>2.313107</v>
      </c>
      <c r="AT38" s="2">
        <v>2.241222</v>
      </c>
      <c r="AU38" s="1" t="s">
        <v>14</v>
      </c>
      <c r="AV38" s="3">
        <v>1.5238100000000001</v>
      </c>
      <c r="AW38" s="3">
        <v>21.9</v>
      </c>
      <c r="AX38" s="2">
        <v>29.547460000000001</v>
      </c>
      <c r="AY38" s="2">
        <v>25.188580000000002</v>
      </c>
      <c r="AZ38" s="2">
        <v>-2.1381869999999998</v>
      </c>
      <c r="BA38" s="2">
        <v>-8.596921</v>
      </c>
      <c r="BB38" s="2">
        <v>-8.4236090000000008</v>
      </c>
      <c r="BC38" s="3">
        <v>16.905000000000001</v>
      </c>
      <c r="BD38" s="2">
        <v>0</v>
      </c>
      <c r="BE38" s="3">
        <v>21.51</v>
      </c>
      <c r="BF38" s="2">
        <v>-21.408650000000002</v>
      </c>
      <c r="BG38" s="2">
        <v>68.862390000000005</v>
      </c>
      <c r="BH38" s="2">
        <v>85.376589999999993</v>
      </c>
      <c r="BI38" s="2">
        <v>69.236429999999999</v>
      </c>
      <c r="BJ38" s="2">
        <v>70.582759999999993</v>
      </c>
      <c r="BK38" s="2">
        <v>20</v>
      </c>
      <c r="BL38" s="2">
        <v>19</v>
      </c>
      <c r="BM38" s="4">
        <v>21</v>
      </c>
      <c r="BN38" s="4">
        <v>3</v>
      </c>
      <c r="BO38" s="4">
        <v>2</v>
      </c>
      <c r="BP38" s="4">
        <v>15</v>
      </c>
      <c r="BQ38" s="2">
        <v>15</v>
      </c>
      <c r="BR38" s="4">
        <v>13</v>
      </c>
      <c r="BS38" s="4">
        <v>2</v>
      </c>
      <c r="BT38" s="4">
        <v>21</v>
      </c>
      <c r="BU38" s="2">
        <v>61.904760000000003</v>
      </c>
      <c r="BV38" s="2">
        <v>6.37263</v>
      </c>
      <c r="BW38" s="2">
        <v>1058.752</v>
      </c>
      <c r="BX38" s="3">
        <v>1.3515919999999999</v>
      </c>
      <c r="BY38" s="3">
        <v>0.12765899999999999</v>
      </c>
      <c r="BZ38" s="2">
        <v>0.85376300000000005</v>
      </c>
      <c r="CA38" s="3">
        <v>0.12765899999999999</v>
      </c>
      <c r="CB38" s="3">
        <v>1.4660770000000001</v>
      </c>
      <c r="CC38" s="3">
        <v>1.229881</v>
      </c>
      <c r="CD38" s="2">
        <v>-16.110759999999999</v>
      </c>
      <c r="CE38" s="3">
        <v>2683.2950000000001</v>
      </c>
      <c r="CF38" s="3">
        <v>2296.13</v>
      </c>
      <c r="CG38" s="2">
        <v>-14.42869</v>
      </c>
      <c r="CH38" s="3">
        <v>22.148669999999999</v>
      </c>
      <c r="CI38" s="2">
        <v>-1.122719</v>
      </c>
      <c r="CJ38" s="3">
        <v>24821.7</v>
      </c>
      <c r="CK38" s="3">
        <v>23929.84</v>
      </c>
      <c r="CL38" s="2">
        <v>-3.593045</v>
      </c>
      <c r="CM38" s="3">
        <v>19.28349</v>
      </c>
      <c r="CN38" s="3">
        <v>18.809899999999999</v>
      </c>
      <c r="CO38" s="3">
        <v>18.403459999999999</v>
      </c>
      <c r="CP38" s="2">
        <v>-12.33432</v>
      </c>
      <c r="CQ38" s="2">
        <v>-10.12712</v>
      </c>
      <c r="CR38" s="2">
        <v>-8.1422749999999997</v>
      </c>
      <c r="CS38" s="2">
        <v>-2.455908</v>
      </c>
      <c r="CT38" s="2">
        <v>25.859780000000001</v>
      </c>
      <c r="CU38" s="3">
        <v>0.14448250000000001</v>
      </c>
      <c r="CV38" s="2">
        <v>-59.516910000000003</v>
      </c>
      <c r="CW38" s="2">
        <v>-37.186280000000004</v>
      </c>
      <c r="CX38" s="2">
        <v>-6.0655739999999998</v>
      </c>
      <c r="CY38" s="2">
        <v>22.646470000000001</v>
      </c>
    </row>
    <row r="39" spans="1:103" ht="15" customHeight="1" x14ac:dyDescent="0.2">
      <c r="A39" s="1">
        <f t="shared" si="0"/>
        <v>33</v>
      </c>
      <c r="B39" s="1" t="s">
        <v>101</v>
      </c>
      <c r="C39" s="1" t="s">
        <v>100</v>
      </c>
      <c r="D39" s="1" t="s">
        <v>3</v>
      </c>
      <c r="E39" s="1" t="s">
        <v>29</v>
      </c>
      <c r="F39" s="2">
        <v>2733.1529999999998</v>
      </c>
      <c r="G39" s="2">
        <v>41.942599999999999</v>
      </c>
      <c r="H39" s="2">
        <v>1146.356</v>
      </c>
      <c r="I39" s="3">
        <v>5.0650000000000004</v>
      </c>
      <c r="J39" s="3">
        <v>0</v>
      </c>
      <c r="K39" s="2">
        <v>4.7384000000000004</v>
      </c>
      <c r="L39" s="2">
        <v>5.0345510000000004</v>
      </c>
      <c r="M39" s="2">
        <v>5.4052379999999998</v>
      </c>
      <c r="N39" s="2">
        <v>5.7255669999999999</v>
      </c>
      <c r="O39" s="2">
        <v>16.975619999999999</v>
      </c>
      <c r="P39" s="2">
        <v>16.338709999999999</v>
      </c>
      <c r="Q39" s="2">
        <v>15.34848</v>
      </c>
      <c r="R39" s="2">
        <v>14.68116</v>
      </c>
      <c r="S39" s="2">
        <v>30.312380000000001</v>
      </c>
      <c r="T39" s="2">
        <v>27.720359999999999</v>
      </c>
      <c r="U39" s="2">
        <v>23.657499999999999</v>
      </c>
      <c r="V39" s="2">
        <v>22.08765</v>
      </c>
      <c r="W39" s="2">
        <v>0.4439089</v>
      </c>
      <c r="X39" s="2">
        <v>0.5105847</v>
      </c>
      <c r="Y39" s="2">
        <v>0.54873870000000002</v>
      </c>
      <c r="Z39" s="2">
        <v>0.53796630000000001</v>
      </c>
      <c r="AA39" s="2">
        <v>24.192920000000001</v>
      </c>
      <c r="AB39" s="2">
        <v>14.06066</v>
      </c>
      <c r="AC39" s="2">
        <v>15.4795</v>
      </c>
      <c r="AD39" s="2">
        <v>12.60712</v>
      </c>
      <c r="AE39" s="2">
        <v>3.5689540000000002</v>
      </c>
      <c r="AF39" s="2">
        <v>2.956283</v>
      </c>
      <c r="AG39" s="2">
        <v>3.023463</v>
      </c>
      <c r="AH39" s="2">
        <v>9.9974109999999996</v>
      </c>
      <c r="AI39" s="2">
        <v>8.2411370000000002</v>
      </c>
      <c r="AJ39" s="2">
        <v>8.4052129999999998</v>
      </c>
      <c r="AK39" s="3">
        <v>2.4974630000000002</v>
      </c>
      <c r="AL39" s="3">
        <v>2.3458770000000002</v>
      </c>
      <c r="AM39" s="2">
        <v>79.436610000000002</v>
      </c>
      <c r="AN39" s="2">
        <v>80.331760000000003</v>
      </c>
      <c r="AO39" s="2">
        <v>82.05341</v>
      </c>
      <c r="AP39" s="2">
        <v>81.4953</v>
      </c>
      <c r="AQ39" s="2">
        <v>18.812059999999999</v>
      </c>
      <c r="AR39" s="2">
        <v>16.13569</v>
      </c>
      <c r="AS39" s="2">
        <v>15.17102</v>
      </c>
      <c r="AT39" s="2">
        <v>14.142440000000001</v>
      </c>
      <c r="AU39" s="1" t="s">
        <v>102</v>
      </c>
      <c r="AV39" s="3">
        <v>1.75</v>
      </c>
      <c r="AW39" s="3">
        <v>6.7</v>
      </c>
      <c r="AX39" s="2">
        <v>32.280349999999999</v>
      </c>
      <c r="AY39" s="2">
        <v>3.125</v>
      </c>
      <c r="AZ39" s="2">
        <v>6.5124839999999997</v>
      </c>
      <c r="BA39" s="2">
        <v>-24.962959999999999</v>
      </c>
      <c r="BB39" s="2">
        <v>-22.671759999999999</v>
      </c>
      <c r="BC39" s="3">
        <v>4.9020000000000001</v>
      </c>
      <c r="BD39" s="2">
        <v>3.3251759999999999</v>
      </c>
      <c r="BE39" s="3">
        <v>6.88</v>
      </c>
      <c r="BF39" s="2">
        <v>-26.38081</v>
      </c>
      <c r="BG39" s="2">
        <v>83.793779999999998</v>
      </c>
      <c r="BH39" s="2">
        <v>82.151889999999995</v>
      </c>
      <c r="BI39" s="2">
        <v>82.078000000000003</v>
      </c>
      <c r="BJ39" s="2">
        <v>81.666179999999997</v>
      </c>
      <c r="BK39" s="2">
        <v>18</v>
      </c>
      <c r="BL39" s="2">
        <v>9</v>
      </c>
      <c r="BM39" s="4">
        <v>20</v>
      </c>
      <c r="BN39" s="4">
        <v>0</v>
      </c>
      <c r="BO39" s="4">
        <v>1</v>
      </c>
      <c r="BP39" s="4">
        <v>17</v>
      </c>
      <c r="BQ39" s="2">
        <v>0</v>
      </c>
      <c r="BR39" s="4">
        <v>10</v>
      </c>
      <c r="BS39" s="4">
        <v>5</v>
      </c>
      <c r="BT39" s="4">
        <v>20</v>
      </c>
      <c r="BU39" s="2">
        <v>50</v>
      </c>
      <c r="BV39" s="2">
        <v>8.0562799999999992</v>
      </c>
      <c r="BW39" s="2">
        <v>539.61559999999997</v>
      </c>
      <c r="BX39" s="3">
        <v>1.036799</v>
      </c>
      <c r="BY39" s="3">
        <v>0.19213669999999999</v>
      </c>
      <c r="BZ39" s="2">
        <v>1.2688200000000001</v>
      </c>
      <c r="CA39" s="3">
        <v>0.19213669999999999</v>
      </c>
      <c r="CB39" s="3">
        <v>0.3107605</v>
      </c>
      <c r="CC39" s="3">
        <v>0.31141079999999999</v>
      </c>
      <c r="CD39" s="2">
        <v>0.20926</v>
      </c>
      <c r="CE39" s="3">
        <v>299.83109999999999</v>
      </c>
      <c r="CF39" s="3">
        <v>294.92270000000002</v>
      </c>
      <c r="CG39" s="2">
        <v>-1.637059</v>
      </c>
      <c r="CH39" s="3">
        <v>6.6956249999999997</v>
      </c>
      <c r="CI39" s="2">
        <v>6.5338610000000005E-2</v>
      </c>
      <c r="CJ39" s="3">
        <v>376.80560000000003</v>
      </c>
      <c r="CK39" s="3">
        <v>376.34789999999998</v>
      </c>
      <c r="CL39" s="2">
        <v>-0.1214683</v>
      </c>
      <c r="CM39" s="3">
        <v>5.6638099999999998</v>
      </c>
      <c r="CN39" s="3">
        <v>6.0030390000000002</v>
      </c>
      <c r="CO39" s="3">
        <v>5.5765390000000004</v>
      </c>
      <c r="CP39" s="2">
        <v>-10.572559999999999</v>
      </c>
      <c r="CQ39" s="2">
        <v>-15.62607</v>
      </c>
      <c r="CR39" s="2">
        <v>-9.1730479999999996</v>
      </c>
      <c r="CS39" s="2">
        <v>5.98942</v>
      </c>
      <c r="CT39" s="2">
        <v>6.225015</v>
      </c>
      <c r="CU39" s="3">
        <v>0.2277595</v>
      </c>
      <c r="CV39" s="2" t="e">
        <v>#N/A</v>
      </c>
      <c r="CW39" s="2" t="e">
        <v>#N/A</v>
      </c>
      <c r="CX39" s="2" t="e">
        <v>#N/A</v>
      </c>
      <c r="CY39" s="2">
        <v>22.989899999999999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71</v>
      </c>
      <c r="E40" s="1" t="s">
        <v>90</v>
      </c>
      <c r="F40" s="2">
        <v>6953.7730000000001</v>
      </c>
      <c r="G40" s="2">
        <v>16.527899999999999</v>
      </c>
      <c r="H40" s="2">
        <v>1149.3130000000001</v>
      </c>
      <c r="I40" s="3">
        <v>21.12</v>
      </c>
      <c r="J40" s="3">
        <v>0</v>
      </c>
      <c r="K40" s="2">
        <v>3.3143940000000001</v>
      </c>
      <c r="L40" s="2">
        <v>2.7698860000000001</v>
      </c>
      <c r="M40" s="2">
        <v>2.201705</v>
      </c>
      <c r="N40" s="2">
        <v>2.3200759999999998</v>
      </c>
      <c r="O40" s="2">
        <v>9.1826100000000004</v>
      </c>
      <c r="P40" s="2">
        <v>13.26826</v>
      </c>
      <c r="Q40" s="2">
        <v>17.181280000000001</v>
      </c>
      <c r="R40" s="2">
        <v>17.454550000000001</v>
      </c>
      <c r="S40" s="2">
        <v>8.4211229999999997</v>
      </c>
      <c r="T40" s="2">
        <v>10.248290000000001</v>
      </c>
      <c r="U40" s="2">
        <v>8.6329239999999992</v>
      </c>
      <c r="V40" s="2">
        <v>8.7308059999999994</v>
      </c>
      <c r="W40" s="2">
        <v>1.18452</v>
      </c>
      <c r="X40" s="2">
        <v>1.1282049999999999</v>
      </c>
      <c r="Y40" s="2">
        <v>1.091191</v>
      </c>
      <c r="Z40" s="2">
        <v>1.053104</v>
      </c>
      <c r="AA40" s="2">
        <v>6.0776979999999998</v>
      </c>
      <c r="AB40" s="2">
        <v>8.1544410000000003</v>
      </c>
      <c r="AC40" s="2">
        <v>7.0017699999999996</v>
      </c>
      <c r="AD40" s="2">
        <v>6.928051</v>
      </c>
      <c r="AE40" s="2">
        <v>-15.049530000000001</v>
      </c>
      <c r="AF40" s="2">
        <v>-7.4688230000000004</v>
      </c>
      <c r="AG40" s="2">
        <v>-5.9541620000000002</v>
      </c>
      <c r="AH40" s="2">
        <v>-23.286539999999999</v>
      </c>
      <c r="AI40" s="2">
        <v>-12.286020000000001</v>
      </c>
      <c r="AJ40" s="2">
        <v>-10.42493</v>
      </c>
      <c r="AK40" s="3" t="e">
        <v>#N/A</v>
      </c>
      <c r="AL40" s="3" t="e">
        <v>#N/A</v>
      </c>
      <c r="AM40" s="2">
        <v>37.99127</v>
      </c>
      <c r="AN40" s="2">
        <v>37.172040000000003</v>
      </c>
      <c r="AO40" s="2">
        <v>38.834029999999998</v>
      </c>
      <c r="AP40" s="2">
        <v>39.633369999999999</v>
      </c>
      <c r="AQ40" s="2">
        <v>1.2226250000000001</v>
      </c>
      <c r="AR40" s="2">
        <v>2.988572</v>
      </c>
      <c r="AS40" s="2">
        <v>3.384862</v>
      </c>
      <c r="AT40" s="2">
        <v>3.7442359999999999</v>
      </c>
      <c r="AU40" s="1" t="s">
        <v>68</v>
      </c>
      <c r="AV40" s="3">
        <v>1.7</v>
      </c>
      <c r="AW40" s="3">
        <v>30.4</v>
      </c>
      <c r="AX40" s="2">
        <v>43.939390000000003</v>
      </c>
      <c r="AY40" s="2">
        <v>8.5030359999999998</v>
      </c>
      <c r="AZ40" s="2">
        <v>-16.8</v>
      </c>
      <c r="BA40" s="2">
        <v>-43.317219999999999</v>
      </c>
      <c r="BB40" s="2">
        <v>-24.78632</v>
      </c>
      <c r="BC40" s="3">
        <v>21.12</v>
      </c>
      <c r="BD40" s="2">
        <v>0</v>
      </c>
      <c r="BE40" s="3">
        <v>38.5</v>
      </c>
      <c r="BF40" s="2">
        <v>-45.142850000000003</v>
      </c>
      <c r="BG40" s="2">
        <v>24.33248</v>
      </c>
      <c r="BH40" s="2">
        <v>37.1798</v>
      </c>
      <c r="BI40" s="2">
        <v>37.801310000000001</v>
      </c>
      <c r="BJ40" s="2">
        <v>40.157760000000003</v>
      </c>
      <c r="BK40" s="2">
        <v>24</v>
      </c>
      <c r="BL40" s="2">
        <v>23</v>
      </c>
      <c r="BM40" s="4">
        <v>25</v>
      </c>
      <c r="BN40" s="4">
        <v>1</v>
      </c>
      <c r="BO40" s="4">
        <v>0</v>
      </c>
      <c r="BP40" s="4">
        <v>18</v>
      </c>
      <c r="BQ40" s="2">
        <v>5.2631579999999998</v>
      </c>
      <c r="BR40" s="4">
        <v>12</v>
      </c>
      <c r="BS40" s="4">
        <v>4</v>
      </c>
      <c r="BT40" s="4">
        <v>25</v>
      </c>
      <c r="BU40" s="2">
        <v>48</v>
      </c>
      <c r="BV40" s="2">
        <v>7.6676299999999999</v>
      </c>
      <c r="BW40" s="2">
        <v>329.25060000000002</v>
      </c>
      <c r="BX40" s="3">
        <v>0.35095720000000002</v>
      </c>
      <c r="BY40" s="3">
        <v>0.1065927</v>
      </c>
      <c r="BZ40" s="2">
        <v>0.39957999999999999</v>
      </c>
      <c r="CA40" s="3">
        <v>0.1065927</v>
      </c>
      <c r="CB40" s="3">
        <v>1.625999</v>
      </c>
      <c r="CC40" s="3">
        <v>1.5281260000000001</v>
      </c>
      <c r="CD40" s="2">
        <v>-6.0192639999999997</v>
      </c>
      <c r="CE40" s="3">
        <v>923.95889999999997</v>
      </c>
      <c r="CF40" s="3">
        <v>891.85019999999997</v>
      </c>
      <c r="CG40" s="2">
        <v>-3.4751300000000001</v>
      </c>
      <c r="CH40" s="3">
        <v>33.018749999999997</v>
      </c>
      <c r="CI40" s="2">
        <v>-7.931101</v>
      </c>
      <c r="CJ40" s="3">
        <v>3468.3319999999999</v>
      </c>
      <c r="CK40" s="3">
        <v>3491.6109999999999</v>
      </c>
      <c r="CL40" s="2">
        <v>0.67117210000000005</v>
      </c>
      <c r="CM40" s="3">
        <v>27.24389</v>
      </c>
      <c r="CN40" s="3">
        <v>25.461569999999998</v>
      </c>
      <c r="CO40" s="3">
        <v>23.63308</v>
      </c>
      <c r="CP40" s="2">
        <v>-22.47803</v>
      </c>
      <c r="CQ40" s="2">
        <v>-17.051449999999999</v>
      </c>
      <c r="CR40" s="2">
        <v>-10.63373</v>
      </c>
      <c r="CS40" s="2">
        <v>-6.5420990000000003</v>
      </c>
      <c r="CT40" s="2">
        <v>9.962135</v>
      </c>
      <c r="CU40" s="3">
        <v>0.14326230000000001</v>
      </c>
      <c r="CV40" s="2">
        <v>28.571429999999999</v>
      </c>
      <c r="CW40" s="2">
        <v>7.3233110000000003</v>
      </c>
      <c r="CX40" s="2" t="e">
        <v>#N/A</v>
      </c>
      <c r="CY40" s="2">
        <v>23.93939</v>
      </c>
    </row>
    <row r="41" spans="1:103" ht="15" customHeight="1" x14ac:dyDescent="0.2">
      <c r="A41" s="1">
        <f t="shared" si="0"/>
        <v>35</v>
      </c>
      <c r="B41" s="1" t="s">
        <v>106</v>
      </c>
      <c r="C41" s="1" t="s">
        <v>105</v>
      </c>
      <c r="D41" s="1" t="s">
        <v>71</v>
      </c>
      <c r="E41" s="1" t="s">
        <v>72</v>
      </c>
      <c r="F41" s="2">
        <v>22553.22</v>
      </c>
      <c r="G41" s="2">
        <v>11.852499999999999</v>
      </c>
      <c r="H41" s="2">
        <v>2673.12</v>
      </c>
      <c r="I41" s="3">
        <v>23.26</v>
      </c>
      <c r="J41" s="3">
        <v>0</v>
      </c>
      <c r="K41" s="2">
        <v>5.159071</v>
      </c>
      <c r="L41" s="2">
        <v>6.0189170000000001</v>
      </c>
      <c r="M41" s="2">
        <v>6.0189170000000001</v>
      </c>
      <c r="N41" s="2">
        <v>6.0189170000000001</v>
      </c>
      <c r="O41" s="2">
        <v>13.67431</v>
      </c>
      <c r="P41" s="2">
        <v>11.458130000000001</v>
      </c>
      <c r="Q41" s="2">
        <v>12.57297</v>
      </c>
      <c r="R41" s="2">
        <v>14.01205</v>
      </c>
      <c r="S41" s="2">
        <v>7.244008</v>
      </c>
      <c r="T41" s="2">
        <v>7.1554320000000002</v>
      </c>
      <c r="U41" s="2">
        <v>7.3736980000000001</v>
      </c>
      <c r="V41" s="2">
        <v>7.6958820000000001</v>
      </c>
      <c r="W41" s="2">
        <v>2.9820509999999998</v>
      </c>
      <c r="X41" s="2">
        <v>2.7364709999999999</v>
      </c>
      <c r="Y41" s="2">
        <v>2.6135630000000001</v>
      </c>
      <c r="Z41" s="2">
        <v>2.531949</v>
      </c>
      <c r="AA41" s="2">
        <v>7.2456959999999997</v>
      </c>
      <c r="AB41" s="2">
        <v>6.1534389999999997</v>
      </c>
      <c r="AC41" s="2">
        <v>6.4225919999999999</v>
      </c>
      <c r="AD41" s="2">
        <v>6.5506700000000002</v>
      </c>
      <c r="AE41" s="2">
        <v>4.2099159999999998</v>
      </c>
      <c r="AF41" s="2">
        <v>2.021989</v>
      </c>
      <c r="AG41" s="2">
        <v>1.645364</v>
      </c>
      <c r="AH41" s="2">
        <v>6.5464120000000001</v>
      </c>
      <c r="AI41" s="2">
        <v>3.2518639999999999</v>
      </c>
      <c r="AJ41" s="2">
        <v>2.711808</v>
      </c>
      <c r="AK41" s="3" t="e">
        <v>#N/A</v>
      </c>
      <c r="AL41" s="3" t="e">
        <v>#N/A</v>
      </c>
      <c r="AM41" s="2">
        <v>14.585599999999999</v>
      </c>
      <c r="AN41" s="2">
        <v>19.452010000000001</v>
      </c>
      <c r="AO41" s="2">
        <v>18.885090000000002</v>
      </c>
      <c r="AP41" s="2">
        <v>19.89292</v>
      </c>
      <c r="AQ41" s="2">
        <v>2.4859710000000002</v>
      </c>
      <c r="AR41" s="2">
        <v>2.3145340000000001</v>
      </c>
      <c r="AS41" s="2">
        <v>2.7887780000000002</v>
      </c>
      <c r="AT41" s="2">
        <v>3.0264790000000001</v>
      </c>
      <c r="AU41" s="1" t="s">
        <v>107</v>
      </c>
      <c r="AV41" s="3">
        <v>2.6875</v>
      </c>
      <c r="AW41" s="3">
        <v>24.56</v>
      </c>
      <c r="AX41" s="2">
        <v>5.5889959999999999</v>
      </c>
      <c r="AY41" s="2">
        <v>23.882349999999999</v>
      </c>
      <c r="AZ41" s="2" t="e">
        <v>#N/A</v>
      </c>
      <c r="BA41" s="2">
        <v>-11.5253</v>
      </c>
      <c r="BB41" s="2">
        <v>-13.851850000000001</v>
      </c>
      <c r="BC41" s="3">
        <v>23.1</v>
      </c>
      <c r="BD41" s="2">
        <v>0.69264170000000003</v>
      </c>
      <c r="BE41" s="3">
        <v>28.88</v>
      </c>
      <c r="BF41" s="2">
        <v>-19.45983</v>
      </c>
      <c r="BG41" s="2">
        <v>70.644419999999997</v>
      </c>
      <c r="BH41" s="2">
        <v>70.813929999999999</v>
      </c>
      <c r="BI41" s="2">
        <v>77.74033</v>
      </c>
      <c r="BJ41" s="2">
        <v>83.433710000000005</v>
      </c>
      <c r="BK41" s="2">
        <v>11</v>
      </c>
      <c r="BL41" s="2">
        <v>11</v>
      </c>
      <c r="BM41" s="4">
        <v>16</v>
      </c>
      <c r="BN41" s="4">
        <v>0</v>
      </c>
      <c r="BO41" s="4">
        <v>1</v>
      </c>
      <c r="BP41" s="4">
        <v>13</v>
      </c>
      <c r="BQ41" s="2">
        <v>0</v>
      </c>
      <c r="BR41" s="4">
        <v>0</v>
      </c>
      <c r="BS41" s="4">
        <v>11</v>
      </c>
      <c r="BT41" s="4">
        <v>16</v>
      </c>
      <c r="BU41" s="2">
        <v>0</v>
      </c>
      <c r="BV41" s="2">
        <v>6.4570600000000002</v>
      </c>
      <c r="BW41" s="2">
        <v>969.61379999999997</v>
      </c>
      <c r="BX41" s="3">
        <v>0.32024720000000001</v>
      </c>
      <c r="BY41" s="3">
        <v>3.302832E-2</v>
      </c>
      <c r="BZ41" s="2">
        <v>0.51780999999999999</v>
      </c>
      <c r="CA41" s="3">
        <v>3.302832E-2</v>
      </c>
      <c r="CB41" s="3">
        <v>2.0159539999999998</v>
      </c>
      <c r="CC41" s="3">
        <v>1.968539</v>
      </c>
      <c r="CD41" s="2">
        <v>-2.3519459999999999</v>
      </c>
      <c r="CE41" s="3">
        <v>3426.78</v>
      </c>
      <c r="CF41" s="3">
        <v>3422.1889999999999</v>
      </c>
      <c r="CG41" s="2">
        <v>-0.13396140000000001</v>
      </c>
      <c r="CH41" s="3">
        <v>25.039090000000002</v>
      </c>
      <c r="CI41" s="2">
        <v>-1.913375</v>
      </c>
      <c r="CJ41" s="3">
        <v>27739.21</v>
      </c>
      <c r="CK41" s="3">
        <v>27929.439999999999</v>
      </c>
      <c r="CL41" s="2">
        <v>0.68575140000000001</v>
      </c>
      <c r="CM41" s="3">
        <v>26.555319999999998</v>
      </c>
      <c r="CN41" s="3">
        <v>26.200389999999999</v>
      </c>
      <c r="CO41" s="3">
        <v>25.125389999999999</v>
      </c>
      <c r="CP41" s="2">
        <v>-12.409280000000001</v>
      </c>
      <c r="CQ41" s="2">
        <v>-11.2227</v>
      </c>
      <c r="CR41" s="2">
        <v>-7.4243069999999998</v>
      </c>
      <c r="CS41" s="2">
        <v>-1.3365860000000001</v>
      </c>
      <c r="CT41" s="2">
        <v>8.24803</v>
      </c>
      <c r="CU41" s="3">
        <v>3.6571409999999999E-2</v>
      </c>
      <c r="CV41" s="2" t="e">
        <v>#N/A</v>
      </c>
      <c r="CW41" s="2" t="e">
        <v>#N/A</v>
      </c>
      <c r="CX41" s="2" t="e">
        <v>#N/A</v>
      </c>
      <c r="CY41" s="2">
        <v>24.69697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2024-02-15T05:52:05Z</dcterms:created>
  <dcterms:modified xsi:type="dcterms:W3CDTF">2024-02-15T05:52:05Z</dcterms:modified>
  <cp:category/>
</cp:coreProperties>
</file>