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45FCD584-F3CF-4538-AE2A-858A320D7F6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<sst xmlns="http://schemas.openxmlformats.org/spreadsheetml/2006/main" count="507" uniqueCount="363">
  <si>
    <t>FactSet Universal Screen</t>
  </si>
  <si>
    <t>ADYEN-NL</t>
  </si>
  <si>
    <t>Adyen NV</t>
  </si>
  <si>
    <t>NETHERLANDS</t>
  </si>
  <si>
    <t>Technology Services</t>
  </si>
  <si>
    <t>Packaged Software</t>
  </si>
  <si>
    <t>Buy (1.00)</t>
  </si>
  <si>
    <t>UCG-IT</t>
  </si>
  <si>
    <t>UniCredit S.p.A.</t>
  </si>
  <si>
    <t>ITALY</t>
  </si>
  <si>
    <t>Finance</t>
  </si>
  <si>
    <t>Major Banks</t>
  </si>
  <si>
    <t>ISP-IT</t>
  </si>
  <si>
    <t>Intesa Sanpaolo S.p.A.</t>
  </si>
  <si>
    <t>BBVA-ES</t>
  </si>
  <si>
    <t>Banco Bilbao Vizcaya Argentaria, S.A.</t>
  </si>
  <si>
    <t>SPAIN</t>
  </si>
  <si>
    <t>Overweight (1.50)</t>
  </si>
  <si>
    <t>ASML-NL</t>
  </si>
  <si>
    <t>ASML Holding NV</t>
  </si>
  <si>
    <t>Electronic Technology</t>
  </si>
  <si>
    <t>Semiconductors</t>
  </si>
  <si>
    <t>SAN-ES</t>
  </si>
  <si>
    <t>Banco Santander, S.A.</t>
  </si>
  <si>
    <t>VOW3-DE</t>
  </si>
  <si>
    <t>Volkswagen AG Pref</t>
  </si>
  <si>
    <t>GERMANY</t>
  </si>
  <si>
    <t>Consumer Durables</t>
  </si>
  <si>
    <t>Motor Vehicles</t>
  </si>
  <si>
    <t>STLAM-IT</t>
  </si>
  <si>
    <t>Stellantis N.V.</t>
  </si>
  <si>
    <t>MUV2-DE</t>
  </si>
  <si>
    <t>Munich Reinsurance Company</t>
  </si>
  <si>
    <t>Life/Health Insurance</t>
  </si>
  <si>
    <t>MBG-DE</t>
  </si>
  <si>
    <t>Mercedes-Benz Group AG</t>
  </si>
  <si>
    <t>SAF-FR</t>
  </si>
  <si>
    <t>Safran SA</t>
  </si>
  <si>
    <t>FRANCE</t>
  </si>
  <si>
    <t>Aerospace &amp; Defense</t>
  </si>
  <si>
    <t>Hold (1.75)</t>
  </si>
  <si>
    <t>ALV-DE</t>
  </si>
  <si>
    <t>Allianz SE</t>
  </si>
  <si>
    <t>Multi-Line Insurance</t>
  </si>
  <si>
    <t>SGO-FR</t>
  </si>
  <si>
    <t>Compagnie de Saint-Gobain SA</t>
  </si>
  <si>
    <t>Producer Manufacturing</t>
  </si>
  <si>
    <t>Building Products</t>
  </si>
  <si>
    <t>SAP-DE</t>
  </si>
  <si>
    <t>SAP SE</t>
  </si>
  <si>
    <t>CS-FR</t>
  </si>
  <si>
    <t>AXA SA</t>
  </si>
  <si>
    <t>DG-FR</t>
  </si>
  <si>
    <t>VINCI SA</t>
  </si>
  <si>
    <t>Industrial Services</t>
  </si>
  <si>
    <t>Engineering &amp; Construction</t>
  </si>
  <si>
    <t>AIR-FR</t>
  </si>
  <si>
    <t>Airbus SE</t>
  </si>
  <si>
    <t>BMW-DE</t>
  </si>
  <si>
    <t>Bayerische Motoren Werke AG</t>
  </si>
  <si>
    <t>RACE-IT</t>
  </si>
  <si>
    <t>Ferrari NV</t>
  </si>
  <si>
    <t>Hold (2.00)</t>
  </si>
  <si>
    <t>DTE-DE</t>
  </si>
  <si>
    <t>Deutsche Telekom AG</t>
  </si>
  <si>
    <t>Communications</t>
  </si>
  <si>
    <t>Major Telecommunications</t>
  </si>
  <si>
    <t>SU-FR</t>
  </si>
  <si>
    <t>Schneider Electric SE</t>
  </si>
  <si>
    <t>Electrical Products</t>
  </si>
  <si>
    <t>RMS-FR</t>
  </si>
  <si>
    <t>Hermes International SCA</t>
  </si>
  <si>
    <t>Consumer Non-Durables</t>
  </si>
  <si>
    <t>Apparel/Footwear</t>
  </si>
  <si>
    <t>SIE-DE</t>
  </si>
  <si>
    <t>Siemens Aktiengesellschaft</t>
  </si>
  <si>
    <t>Industrial Machinery</t>
  </si>
  <si>
    <t>ITX-ES</t>
  </si>
  <si>
    <t>Industria de Diseno Textil, S.A.</t>
  </si>
  <si>
    <t>Retail Trade</t>
  </si>
  <si>
    <t>Apparel/Footwear Retail</t>
  </si>
  <si>
    <t>Overweight (1.25)</t>
  </si>
  <si>
    <t>WKL-NL</t>
  </si>
  <si>
    <t>Wolters Kluwer N.V.</t>
  </si>
  <si>
    <t>Data Processing Services</t>
  </si>
  <si>
    <t>BN-FR</t>
  </si>
  <si>
    <t>Danone SA</t>
  </si>
  <si>
    <t>Food: Meat/Fish/Dairy</t>
  </si>
  <si>
    <t>SAN-FR</t>
  </si>
  <si>
    <t>Sanofi</t>
  </si>
  <si>
    <t>Health Technology</t>
  </si>
  <si>
    <t>Pharmaceuticals: Major</t>
  </si>
  <si>
    <t>IBE-ES</t>
  </si>
  <si>
    <t>Iberdrola SA</t>
  </si>
  <si>
    <t>Utilities</t>
  </si>
  <si>
    <t>Electric Utilities</t>
  </si>
  <si>
    <t>AI-FR</t>
  </si>
  <si>
    <t>Air Liquide SA</t>
  </si>
  <si>
    <t>Process Industries</t>
  </si>
  <si>
    <t>Chemicals: Specialty</t>
  </si>
  <si>
    <t>BNP-FR</t>
  </si>
  <si>
    <t>BNP Paribas S.A. Class A</t>
  </si>
  <si>
    <t>DB1-DE</t>
  </si>
  <si>
    <t>Deutsche Boerse AG</t>
  </si>
  <si>
    <t>Investment Banks/Brokers</t>
  </si>
  <si>
    <t>INGA-NL</t>
  </si>
  <si>
    <t>ING Groep NV</t>
  </si>
  <si>
    <t>PRX-NL</t>
  </si>
  <si>
    <t>Prosus N.V. Class N</t>
  </si>
  <si>
    <t>Transportation</t>
  </si>
  <si>
    <t>Air Freight/Couriers</t>
  </si>
  <si>
    <t>BAS-DE</t>
  </si>
  <si>
    <t>BASF SE</t>
  </si>
  <si>
    <t>Chemicals: Major Diversified</t>
  </si>
  <si>
    <t>TTE-FR</t>
  </si>
  <si>
    <t>TotalEnergies SE</t>
  </si>
  <si>
    <t>Energy Minerals</t>
  </si>
  <si>
    <t>Integrated Oil</t>
  </si>
  <si>
    <t>NDA.FI-FI</t>
  </si>
  <si>
    <t>Nordea Bank Abp</t>
  </si>
  <si>
    <t>SWEDEN</t>
  </si>
  <si>
    <t>ENEL-IT</t>
  </si>
  <si>
    <t>Enel SpA</t>
  </si>
  <si>
    <t>EL-FR</t>
  </si>
  <si>
    <t>EssilorLuxottica SA</t>
  </si>
  <si>
    <t>Medical Specialties</t>
  </si>
  <si>
    <t>MC-FR</t>
  </si>
  <si>
    <t>LVMH Moet Hennessy Louis Vuitton SE</t>
  </si>
  <si>
    <t>ABI-BE</t>
  </si>
  <si>
    <t>Anheuser-Busch InBev SA/NV</t>
  </si>
  <si>
    <t>BELGIUM</t>
  </si>
  <si>
    <t>Beverages: Alcoholic</t>
  </si>
  <si>
    <t>IFX-DE</t>
  </si>
  <si>
    <t>Infineon Technologies AG</t>
  </si>
  <si>
    <t>NOKIA-FI</t>
  </si>
  <si>
    <t>Nokia Oyj</t>
  </si>
  <si>
    <t>FINLAND</t>
  </si>
  <si>
    <t>Telecommunications Equipment</t>
  </si>
  <si>
    <t>ENI-IT</t>
  </si>
  <si>
    <t>Eni S.p.A.</t>
  </si>
  <si>
    <t>Oil Refining/Marketing</t>
  </si>
  <si>
    <t>DHL-DE</t>
  </si>
  <si>
    <t>Deutsche Post AG</t>
  </si>
  <si>
    <t>ADS-DE</t>
  </si>
  <si>
    <t>adidas AG</t>
  </si>
  <si>
    <t>AD-NL</t>
  </si>
  <si>
    <t>Koninklijke Ahold Delhaize N.V.</t>
  </si>
  <si>
    <t>Food Retail</t>
  </si>
  <si>
    <t>BAYN-DE</t>
  </si>
  <si>
    <t>Bayer AG</t>
  </si>
  <si>
    <t>OR-FR</t>
  </si>
  <si>
    <t>L'Oreal S.A.</t>
  </si>
  <si>
    <t>Household/Personal Care</t>
  </si>
  <si>
    <t>RI-FR</t>
  </si>
  <si>
    <t>Pernod Ricard SA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</si>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</sst>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6E09-28D7-4131-8337-FADD2A4FA29C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158</v>
      </c>
      <c r="B4" s="5" t="s">
        <v>159</v>
      </c>
      <c r="C4" s="5" t="s">
        <v>160</v>
      </c>
      <c r="D4" s="5" t="s">
        <v>161</v>
      </c>
      <c r="E4" s="5" t="s">
        <v>162</v>
      </c>
      <c r="F4" s="5" t="s">
        <v>163</v>
      </c>
      <c r="G4" s="6" t="s">
        <v>164</v>
      </c>
      <c r="H4" s="6" t="s">
        <v>165</v>
      </c>
      <c r="I4" s="6" t="s">
        <v>166</v>
      </c>
      <c r="J4" s="6" t="s">
        <v>167</v>
      </c>
      <c r="K4" s="6" t="s">
        <v>168</v>
      </c>
      <c r="L4" s="6" t="s">
        <v>169</v>
      </c>
      <c r="M4" s="6" t="s">
        <v>170</v>
      </c>
      <c r="N4" s="6" t="s">
        <v>171</v>
      </c>
      <c r="O4" s="6" t="s">
        <v>172</v>
      </c>
      <c r="P4" s="6" t="s">
        <v>173</v>
      </c>
      <c r="Q4" s="6" t="s">
        <v>174</v>
      </c>
      <c r="R4" s="6" t="s">
        <v>175</v>
      </c>
      <c r="S4" s="6" t="s">
        <v>176</v>
      </c>
      <c r="T4" s="6" t="s">
        <v>177</v>
      </c>
      <c r="U4" s="6" t="s">
        <v>178</v>
      </c>
      <c r="V4" s="6" t="s">
        <v>179</v>
      </c>
      <c r="W4" s="6" t="s">
        <v>180</v>
      </c>
      <c r="X4" s="6" t="s">
        <v>181</v>
      </c>
      <c r="Y4" s="6" t="s">
        <v>182</v>
      </c>
      <c r="Z4" s="6" t="s">
        <v>183</v>
      </c>
      <c r="AA4" s="6" t="s">
        <v>184</v>
      </c>
      <c r="AB4" s="6" t="s">
        <v>185</v>
      </c>
      <c r="AC4" s="6" t="s">
        <v>186</v>
      </c>
      <c r="AD4" s="6" t="s">
        <v>187</v>
      </c>
      <c r="AE4" s="6" t="s">
        <v>188</v>
      </c>
      <c r="AF4" s="6" t="s">
        <v>189</v>
      </c>
      <c r="AG4" s="6" t="s">
        <v>190</v>
      </c>
      <c r="AH4" s="6" t="s">
        <v>191</v>
      </c>
      <c r="AI4" s="6" t="s">
        <v>192</v>
      </c>
      <c r="AJ4" s="6" t="s">
        <v>193</v>
      </c>
      <c r="AK4" s="6" t="s">
        <v>194</v>
      </c>
      <c r="AL4" s="6" t="s">
        <v>195</v>
      </c>
      <c r="AM4" s="6" t="s">
        <v>196</v>
      </c>
      <c r="AN4" s="6" t="s">
        <v>197</v>
      </c>
      <c r="AO4" s="6" t="s">
        <v>198</v>
      </c>
      <c r="AP4" s="6" t="s">
        <v>199</v>
      </c>
      <c r="AQ4" s="6" t="s">
        <v>200</v>
      </c>
      <c r="AR4" s="6" t="s">
        <v>201</v>
      </c>
      <c r="AS4" s="6" t="s">
        <v>202</v>
      </c>
      <c r="AT4" s="6" t="s">
        <v>203</v>
      </c>
      <c r="AU4" s="6" t="s">
        <v>204</v>
      </c>
      <c r="AV4" s="5" t="s">
        <v>205</v>
      </c>
      <c r="AW4" s="6" t="s">
        <v>206</v>
      </c>
      <c r="AX4" s="6" t="s">
        <v>207</v>
      </c>
      <c r="AY4" s="6" t="s">
        <v>208</v>
      </c>
      <c r="AZ4" s="6" t="s">
        <v>209</v>
      </c>
      <c r="BA4" s="6" t="s">
        <v>210</v>
      </c>
      <c r="BB4" s="6" t="s">
        <v>211</v>
      </c>
      <c r="BC4" s="6" t="s">
        <v>212</v>
      </c>
      <c r="BD4" s="6" t="s">
        <v>213</v>
      </c>
      <c r="BE4" s="6" t="s">
        <v>214</v>
      </c>
      <c r="BF4" s="6" t="s">
        <v>215</v>
      </c>
      <c r="BG4" s="6" t="s">
        <v>216</v>
      </c>
      <c r="BH4" s="6" t="s">
        <v>217</v>
      </c>
      <c r="BI4" s="6" t="s">
        <v>218</v>
      </c>
      <c r="BJ4" s="6" t="s">
        <v>219</v>
      </c>
      <c r="BK4" s="6" t="s">
        <v>220</v>
      </c>
      <c r="BL4" s="6" t="s">
        <v>221</v>
      </c>
      <c r="BM4" s="6" t="s">
        <v>222</v>
      </c>
      <c r="BN4" s="6" t="s">
        <v>223</v>
      </c>
      <c r="BO4" s="6" t="s">
        <v>224</v>
      </c>
      <c r="BP4" s="6" t="s">
        <v>225</v>
      </c>
      <c r="BQ4" s="6" t="s">
        <v>226</v>
      </c>
      <c r="BR4" s="6" t="s">
        <v>227</v>
      </c>
      <c r="BS4" s="6" t="s">
        <v>228</v>
      </c>
      <c r="BT4" s="6" t="s">
        <v>229</v>
      </c>
      <c r="BU4" s="6" t="s">
        <v>223</v>
      </c>
      <c r="BV4" s="6" t="s">
        <v>230</v>
      </c>
      <c r="BW4" s="6" t="s">
        <v>231</v>
      </c>
      <c r="BX4" s="6" t="s">
        <v>232</v>
      </c>
      <c r="BY4" s="6" t="s">
        <v>233</v>
      </c>
      <c r="BZ4" s="6" t="s">
        <v>234</v>
      </c>
      <c r="CA4" s="6" t="s">
        <v>235</v>
      </c>
      <c r="CB4" s="6" t="s">
        <v>236</v>
      </c>
      <c r="CC4" s="6" t="s">
        <v>237</v>
      </c>
      <c r="CD4" s="6" t="s">
        <v>238</v>
      </c>
      <c r="CE4" s="6" t="s">
        <v>239</v>
      </c>
      <c r="CF4" s="6" t="s">
        <v>240</v>
      </c>
      <c r="CG4" s="6" t="s">
        <v>241</v>
      </c>
      <c r="CH4" s="6" t="s">
        <v>242</v>
      </c>
      <c r="CI4" s="6" t="s">
        <v>243</v>
      </c>
      <c r="CJ4" s="6" t="s">
        <v>244</v>
      </c>
      <c r="CK4" s="6" t="s">
        <v>245</v>
      </c>
      <c r="CL4" s="6" t="s">
        <v>246</v>
      </c>
      <c r="CM4" s="6" t="s">
        <v>247</v>
      </c>
      <c r="CN4" s="6" t="s">
        <v>248</v>
      </c>
      <c r="CO4" s="6" t="s">
        <v>249</v>
      </c>
      <c r="CP4" s="6" t="s">
        <v>250</v>
      </c>
      <c r="CQ4" s="6" t="s">
        <v>251</v>
      </c>
      <c r="CR4" s="6" t="s">
        <v>252</v>
      </c>
      <c r="CS4" s="6" t="s">
        <v>253</v>
      </c>
      <c r="CT4" s="6" t="s">
        <v>254</v>
      </c>
      <c r="CU4" s="6" t="s">
        <v>255</v>
      </c>
      <c r="CV4" s="6" t="s">
        <v>256</v>
      </c>
      <c r="CW4" s="6" t="s">
        <v>257</v>
      </c>
      <c r="CX4" s="6" t="s">
        <v>258</v>
      </c>
      <c r="CY4" s="6" t="s">
        <v>259</v>
      </c>
      <c r="CZ4" s="6" t="s">
        <v>260</v>
      </c>
    </row>
    <row r="5" spans="1:104" ht="12.75" x14ac:dyDescent="0.2">
      <c r="A5" s="5"/>
      <c r="B5" s="5"/>
      <c r="C5" s="5" t="s">
        <v>261</v>
      </c>
      <c r="D5" s="5" t="s">
        <v>262</v>
      </c>
      <c r="E5" s="5" t="s">
        <v>263</v>
      </c>
      <c r="F5" s="5" t="s">
        <v>264</v>
      </c>
      <c r="G5" s="6" t="s">
        <v>265</v>
      </c>
      <c r="H5" s="6" t="s">
        <v>266</v>
      </c>
      <c r="I5" s="6" t="s">
        <v>267</v>
      </c>
      <c r="J5" s="6" t="s">
        <v>268</v>
      </c>
      <c r="K5" s="6" t="s">
        <v>269</v>
      </c>
      <c r="L5" s="6" t="s">
        <v>270</v>
      </c>
      <c r="M5" s="6" t="s">
        <v>271</v>
      </c>
      <c r="N5" s="6" t="s">
        <v>272</v>
      </c>
      <c r="O5" s="6" t="s">
        <v>273</v>
      </c>
      <c r="P5" s="6" t="s">
        <v>274</v>
      </c>
      <c r="Q5" s="6" t="s">
        <v>275</v>
      </c>
      <c r="R5" s="6" t="s">
        <v>276</v>
      </c>
      <c r="S5" s="6" t="s">
        <v>277</v>
      </c>
      <c r="T5" s="6" t="s">
        <v>278</v>
      </c>
      <c r="U5" s="6" t="s">
        <v>279</v>
      </c>
      <c r="V5" s="6" t="s">
        <v>280</v>
      </c>
      <c r="W5" s="6" t="s">
        <v>281</v>
      </c>
      <c r="X5" s="6" t="s">
        <v>282</v>
      </c>
      <c r="Y5" s="6" t="s">
        <v>283</v>
      </c>
      <c r="Z5" s="6" t="s">
        <v>284</v>
      </c>
      <c r="AA5" s="6" t="s">
        <v>285</v>
      </c>
      <c r="AB5" s="6" t="s">
        <v>286</v>
      </c>
      <c r="AC5" s="6" t="s">
        <v>287</v>
      </c>
      <c r="AD5" s="6" t="s">
        <v>288</v>
      </c>
      <c r="AE5" s="6" t="s">
        <v>289</v>
      </c>
      <c r="AF5" s="6" t="s">
        <v>290</v>
      </c>
      <c r="AG5" s="6" t="s">
        <v>291</v>
      </c>
      <c r="AH5" s="6" t="s">
        <v>292</v>
      </c>
      <c r="AI5" s="6" t="s">
        <v>293</v>
      </c>
      <c r="AJ5" s="6" t="s">
        <v>294</v>
      </c>
      <c r="AK5" s="6" t="s">
        <v>295</v>
      </c>
      <c r="AL5" s="6" t="s">
        <v>296</v>
      </c>
      <c r="AM5" s="6" t="s">
        <v>297</v>
      </c>
      <c r="AN5" s="6" t="s">
        <v>298</v>
      </c>
      <c r="AO5" s="6" t="s">
        <v>299</v>
      </c>
      <c r="AP5" s="6" t="s">
        <v>300</v>
      </c>
      <c r="AQ5" s="6" t="s">
        <v>301</v>
      </c>
      <c r="AR5" s="6" t="s">
        <v>302</v>
      </c>
      <c r="AS5" s="6" t="s">
        <v>303</v>
      </c>
      <c r="AT5" s="6" t="s">
        <v>304</v>
      </c>
      <c r="AU5" s="6" t="s">
        <v>305</v>
      </c>
      <c r="AV5" s="5" t="s">
        <v>306</v>
      </c>
      <c r="AW5" s="6" t="s">
        <v>307</v>
      </c>
      <c r="AX5" s="6" t="s">
        <v>308</v>
      </c>
      <c r="AY5" s="6" t="s">
        <v>309</v>
      </c>
      <c r="AZ5" s="6" t="s">
        <v>310</v>
      </c>
      <c r="BA5" s="6" t="s">
        <v>311</v>
      </c>
      <c r="BB5" s="6" t="s">
        <v>312</v>
      </c>
      <c r="BC5" s="6" t="s">
        <v>313</v>
      </c>
      <c r="BD5" s="6" t="s">
        <v>314</v>
      </c>
      <c r="BE5" s="6" t="s">
        <v>315</v>
      </c>
      <c r="BF5" s="6" t="s">
        <v>316</v>
      </c>
      <c r="BG5" s="6" t="s">
        <v>317</v>
      </c>
      <c r="BH5" s="6" t="s">
        <v>318</v>
      </c>
      <c r="BI5" s="6" t="s">
        <v>319</v>
      </c>
      <c r="BJ5" s="6" t="s">
        <v>320</v>
      </c>
      <c r="BK5" s="6" t="s">
        <v>321</v>
      </c>
      <c r="BL5" s="6" t="s">
        <v>322</v>
      </c>
      <c r="BM5" s="6" t="s">
        <v>323</v>
      </c>
      <c r="BN5" s="6" t="s">
        <v>324</v>
      </c>
      <c r="BO5" s="6" t="s">
        <v>325</v>
      </c>
      <c r="BP5" s="6" t="s">
        <v>326</v>
      </c>
      <c r="BQ5" s="6" t="s">
        <v>327</v>
      </c>
      <c r="BR5" s="6" t="s">
        <v>328</v>
      </c>
      <c r="BS5" s="6" t="s">
        <v>329</v>
      </c>
      <c r="BT5" s="6" t="s">
        <v>330</v>
      </c>
      <c r="BU5" s="6" t="s">
        <v>331</v>
      </c>
      <c r="BV5" s="6" t="s">
        <v>332</v>
      </c>
      <c r="BW5" s="6" t="s">
        <v>333</v>
      </c>
      <c r="BX5" s="6" t="s">
        <v>334</v>
      </c>
      <c r="BY5" s="6" t="s">
        <v>335</v>
      </c>
      <c r="BZ5" s="6" t="s">
        <v>336</v>
      </c>
      <c r="CA5" s="6" t="s">
        <v>337</v>
      </c>
      <c r="CB5" s="6" t="s">
        <v>338</v>
      </c>
      <c r="CC5" s="6" t="s">
        <v>339</v>
      </c>
      <c r="CD5" s="6" t="s">
        <v>340</v>
      </c>
      <c r="CE5" s="6" t="s">
        <v>341</v>
      </c>
      <c r="CF5" s="6" t="s">
        <v>342</v>
      </c>
      <c r="CG5" s="6" t="s">
        <v>343</v>
      </c>
      <c r="CH5" s="6" t="s">
        <v>344</v>
      </c>
      <c r="CI5" s="6" t="s">
        <v>345</v>
      </c>
      <c r="CJ5" s="6" t="s">
        <v>346</v>
      </c>
      <c r="CK5" s="6" t="s">
        <v>347</v>
      </c>
      <c r="CL5" s="6" t="s">
        <v>348</v>
      </c>
      <c r="CM5" s="6" t="s">
        <v>349</v>
      </c>
      <c r="CN5" s="6" t="s">
        <v>350</v>
      </c>
      <c r="CO5" s="6" t="s">
        <v>351</v>
      </c>
      <c r="CP5" s="6" t="s">
        <v>352</v>
      </c>
      <c r="CQ5" s="6" t="s">
        <v>353</v>
      </c>
      <c r="CR5" s="6" t="s">
        <v>354</v>
      </c>
      <c r="CS5" s="6" t="s">
        <v>355</v>
      </c>
      <c r="CT5" s="6" t="s">
        <v>356</v>
      </c>
      <c r="CU5" s="6" t="s">
        <v>357</v>
      </c>
      <c r="CV5" s="6" t="s">
        <v>358</v>
      </c>
      <c r="CW5" s="6" t="s">
        <v>359</v>
      </c>
      <c r="CX5" s="6" t="s">
        <v>360</v>
      </c>
      <c r="CY5" s="6" t="s">
        <v>361</v>
      </c>
      <c r="CZ5" s="6" t="s">
        <v>362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45662.1</v>
      </c>
      <c r="H7" s="2">
        <v>95.453500000000005</v>
      </c>
      <c r="I7" s="2">
        <v>43586.07</v>
      </c>
      <c r="J7" s="3">
        <v>1471.4</v>
      </c>
      <c r="K7" s="3">
        <v>0</v>
      </c>
      <c r="L7" s="2">
        <v>0</v>
      </c>
      <c r="M7" s="2">
        <v>0</v>
      </c>
      <c r="N7" s="2">
        <v>0</v>
      </c>
      <c r="O7" s="2">
        <v>0</v>
      </c>
      <c r="P7" s="2">
        <v>65.599639999999994</v>
      </c>
      <c r="Q7" s="2">
        <v>52.662849999999999</v>
      </c>
      <c r="R7" s="2">
        <v>41.670909999999999</v>
      </c>
      <c r="S7" s="2">
        <v>32.175229999999999</v>
      </c>
      <c r="T7" s="2">
        <v>40.323329999999999</v>
      </c>
      <c r="U7" s="2">
        <v>43.543889999999998</v>
      </c>
      <c r="V7" s="2">
        <v>31.600429999999999</v>
      </c>
      <c r="W7" s="2">
        <v>22.95393</v>
      </c>
      <c r="X7" s="2">
        <v>14.483000000000001</v>
      </c>
      <c r="Y7" s="2">
        <v>11.492850000000001</v>
      </c>
      <c r="Z7" s="2">
        <v>9.0126179999999998</v>
      </c>
      <c r="AA7" s="2">
        <v>7.0757390000000004</v>
      </c>
      <c r="AB7" s="2">
        <v>55.357410000000002</v>
      </c>
      <c r="AC7" s="2">
        <v>43.814520000000002</v>
      </c>
      <c r="AD7" s="2">
        <v>34.415590000000002</v>
      </c>
      <c r="AE7" s="2">
        <v>29.620529999999999</v>
      </c>
      <c r="AF7" s="2">
        <v>2.779992</v>
      </c>
      <c r="AG7" s="2">
        <v>3.5125769999999998</v>
      </c>
      <c r="AH7" s="2">
        <v>5.0825490000000002</v>
      </c>
      <c r="AI7" s="2">
        <v>2.5502699999999998</v>
      </c>
      <c r="AJ7" s="2">
        <v>3.131335</v>
      </c>
      <c r="AK7" s="2">
        <v>4.3544850000000004</v>
      </c>
      <c r="AL7" s="3">
        <v>2.0518190000000001</v>
      </c>
      <c r="AM7" s="3">
        <v>1.6208959999999999</v>
      </c>
      <c r="AN7" s="2">
        <v>45.694319999999998</v>
      </c>
      <c r="AO7" s="2">
        <v>47.765219999999999</v>
      </c>
      <c r="AP7" s="2">
        <v>51.382150000000003</v>
      </c>
      <c r="AQ7" s="2">
        <v>54.503729999999997</v>
      </c>
      <c r="AR7" s="2">
        <v>-8.3806910000000006</v>
      </c>
      <c r="AS7" s="2">
        <v>-3.9223309999999998</v>
      </c>
      <c r="AT7" s="2">
        <v>-3.8473769999999998</v>
      </c>
      <c r="AU7" s="2">
        <v>-3.8378679999999998</v>
      </c>
      <c r="AV7" s="1" t="s">
        <v>6</v>
      </c>
      <c r="AW7" s="3">
        <v>1.3125</v>
      </c>
      <c r="AX7" s="3">
        <v>1700</v>
      </c>
      <c r="AY7" s="2">
        <v>15.53622</v>
      </c>
      <c r="AZ7" s="2">
        <v>21.823450000000001</v>
      </c>
      <c r="BA7" s="2">
        <v>24.332689999999999</v>
      </c>
      <c r="BB7" s="2">
        <v>3.678131</v>
      </c>
      <c r="BC7" s="2">
        <v>26.127210000000002</v>
      </c>
      <c r="BD7" s="3">
        <v>602.79999999999995</v>
      </c>
      <c r="BE7" s="2">
        <v>144.0942</v>
      </c>
      <c r="BF7" s="3">
        <v>1699.2</v>
      </c>
      <c r="BG7" s="2">
        <v>-13.40631</v>
      </c>
      <c r="BH7" s="2">
        <v>0</v>
      </c>
      <c r="BI7" s="2">
        <v>0</v>
      </c>
      <c r="BJ7" s="2">
        <v>0</v>
      </c>
      <c r="BK7" s="2">
        <v>2.8376229999999998</v>
      </c>
      <c r="BL7" s="2">
        <v>31</v>
      </c>
      <c r="BM7" s="2">
        <v>25</v>
      </c>
      <c r="BN7" s="4">
        <v>32</v>
      </c>
      <c r="BO7" s="4">
        <v>6</v>
      </c>
      <c r="BP7" s="4">
        <v>0</v>
      </c>
      <c r="BQ7" s="4">
        <v>25</v>
      </c>
      <c r="BR7" s="2">
        <v>19.354839999999999</v>
      </c>
      <c r="BS7" s="4">
        <v>23</v>
      </c>
      <c r="BT7" s="4">
        <v>0</v>
      </c>
      <c r="BU7" s="4">
        <v>32</v>
      </c>
      <c r="BV7" s="2">
        <v>71.875</v>
      </c>
      <c r="BW7" s="2">
        <v>18.378799999999998</v>
      </c>
      <c r="BX7" s="2">
        <v>31.033100000000001</v>
      </c>
      <c r="BY7" s="3">
        <v>9.3021039999999999E-2</v>
      </c>
      <c r="BZ7" s="3">
        <v>0.29974780000000001</v>
      </c>
      <c r="CA7" s="2">
        <v>2.7793000000000001</v>
      </c>
      <c r="CB7" s="3">
        <v>0.29860809999999999</v>
      </c>
      <c r="CC7" s="3">
        <v>24.989809999999999</v>
      </c>
      <c r="CD7" s="3">
        <v>28.033650000000002</v>
      </c>
      <c r="CE7" s="2">
        <v>12.18033</v>
      </c>
      <c r="CF7" s="3">
        <v>813.46079999999995</v>
      </c>
      <c r="CG7" s="3">
        <v>880.74580000000003</v>
      </c>
      <c r="CH7" s="2">
        <v>8.2714669999999995</v>
      </c>
      <c r="CI7" s="3">
        <v>1132.837</v>
      </c>
      <c r="CJ7" s="2">
        <v>50.065730000000002</v>
      </c>
      <c r="CK7" s="3">
        <v>2009.298</v>
      </c>
      <c r="CL7" s="3">
        <v>2031.625</v>
      </c>
      <c r="CM7" s="2">
        <v>1.1112089999999999</v>
      </c>
      <c r="CN7" s="3">
        <v>1154.144</v>
      </c>
      <c r="CO7" s="3">
        <v>1446.384</v>
      </c>
      <c r="CP7" s="3">
        <v>1500.8610000000001</v>
      </c>
      <c r="CQ7" s="2">
        <v>27.488430000000001</v>
      </c>
      <c r="CR7" s="2">
        <v>1.7295480000000001</v>
      </c>
      <c r="CS7" s="2">
        <v>-1.962966</v>
      </c>
      <c r="CT7" s="2">
        <v>25.32095</v>
      </c>
      <c r="CU7" s="2">
        <v>104.51349999999999</v>
      </c>
      <c r="CV7" s="3">
        <v>0.22888449999999999</v>
      </c>
      <c r="CW7" s="2" t="e">
        <v>#N/A</v>
      </c>
      <c r="CX7" s="2" t="e">
        <v>#N/A</v>
      </c>
      <c r="CY7" s="2" t="e">
        <v>#N/A</v>
      </c>
      <c r="CZ7" s="2">
        <v>13.29293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58056.97</v>
      </c>
      <c r="H8" s="2">
        <v>87.788700000000006</v>
      </c>
      <c r="I8" s="2">
        <v>50967.46</v>
      </c>
      <c r="J8" s="3">
        <v>34.520000000000003</v>
      </c>
      <c r="K8" s="3">
        <v>0</v>
      </c>
      <c r="L8" s="2">
        <v>5.0984939999999996</v>
      </c>
      <c r="M8" s="2">
        <v>6.2461450000000003</v>
      </c>
      <c r="N8" s="2">
        <v>6.9959439999999997</v>
      </c>
      <c r="O8" s="2">
        <v>8.3864429999999999</v>
      </c>
      <c r="P8" s="2">
        <v>7.3290870000000004</v>
      </c>
      <c r="Q8" s="2">
        <v>6.8086779999999996</v>
      </c>
      <c r="R8" s="2">
        <v>6.470478</v>
      </c>
      <c r="S8" s="2">
        <v>6.0139370000000003</v>
      </c>
      <c r="T8" s="2" t="e">
        <v>#N/A</v>
      </c>
      <c r="U8" s="2" t="e">
        <v>#N/A</v>
      </c>
      <c r="V8" s="2" t="e">
        <v>#N/A</v>
      </c>
      <c r="W8" s="2" t="e">
        <v>#N/A</v>
      </c>
      <c r="X8" s="2">
        <v>0.991954</v>
      </c>
      <c r="Y8" s="2">
        <v>0.88388169999999999</v>
      </c>
      <c r="Z8" s="2">
        <v>0.81212189999999995</v>
      </c>
      <c r="AA8" s="2">
        <v>0.75602279999999999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3">
        <v>0.34098349999999999</v>
      </c>
      <c r="AM8" s="3">
        <v>0.32485209999999998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1" t="s">
        <v>6</v>
      </c>
      <c r="AW8" s="3">
        <v>1.1956519999999999</v>
      </c>
      <c r="AX8" s="3">
        <v>37</v>
      </c>
      <c r="AY8" s="2">
        <v>7.1842430000000004</v>
      </c>
      <c r="AZ8" s="2">
        <v>12.98169</v>
      </c>
      <c r="BA8" s="2">
        <v>19.994589999999999</v>
      </c>
      <c r="BB8" s="2">
        <v>89.275130000000004</v>
      </c>
      <c r="BC8" s="2">
        <v>40.52514</v>
      </c>
      <c r="BD8" s="3">
        <v>17.626000000000001</v>
      </c>
      <c r="BE8" s="2">
        <v>95.847059999999999</v>
      </c>
      <c r="BF8" s="3">
        <v>35.814999999999998</v>
      </c>
      <c r="BG8" s="2">
        <v>-3.6157970000000001</v>
      </c>
      <c r="BH8" s="2">
        <v>36.898330000000001</v>
      </c>
      <c r="BI8" s="2">
        <v>42.367469999999997</v>
      </c>
      <c r="BJ8" s="2">
        <v>45.433160000000001</v>
      </c>
      <c r="BK8" s="2">
        <v>49.36195</v>
      </c>
      <c r="BL8" s="2">
        <v>22</v>
      </c>
      <c r="BM8" s="2">
        <v>13</v>
      </c>
      <c r="BN8" s="4">
        <v>23</v>
      </c>
      <c r="BO8" s="4">
        <v>0</v>
      </c>
      <c r="BP8" s="4">
        <v>2</v>
      </c>
      <c r="BQ8" s="4">
        <v>22</v>
      </c>
      <c r="BR8" s="2">
        <v>0</v>
      </c>
      <c r="BS8" s="4">
        <v>19</v>
      </c>
      <c r="BT8" s="4">
        <v>0</v>
      </c>
      <c r="BU8" s="4">
        <v>23</v>
      </c>
      <c r="BV8" s="2">
        <v>82.608699999999999</v>
      </c>
      <c r="BW8" s="2">
        <v>11.893800000000001</v>
      </c>
      <c r="BX8" s="2">
        <v>1681.836</v>
      </c>
      <c r="BY8" s="3">
        <v>11.90503</v>
      </c>
      <c r="BZ8" s="3">
        <v>0.70785949999999997</v>
      </c>
      <c r="CA8" s="2">
        <v>1.69404</v>
      </c>
      <c r="CB8" s="3">
        <v>0.70516789999999996</v>
      </c>
      <c r="CC8" s="3">
        <v>4.4868290000000002</v>
      </c>
      <c r="CD8" s="3">
        <v>5.063199</v>
      </c>
      <c r="CE8" s="2">
        <v>12.84581</v>
      </c>
      <c r="CF8" s="3">
        <v>12784.18</v>
      </c>
      <c r="CG8" s="3">
        <v>13299.73</v>
      </c>
      <c r="CH8" s="2">
        <v>4.0326950000000004</v>
      </c>
      <c r="CI8" s="3">
        <v>33.100909999999999</v>
      </c>
      <c r="CJ8" s="2">
        <v>11.779400000000001</v>
      </c>
      <c r="CK8" s="3">
        <v>22546.02</v>
      </c>
      <c r="CL8" s="3">
        <v>22915.03</v>
      </c>
      <c r="CM8" s="2">
        <v>1.636684</v>
      </c>
      <c r="CN8" s="3">
        <v>25.470780000000001</v>
      </c>
      <c r="CO8" s="3">
        <v>31.571079999999998</v>
      </c>
      <c r="CP8" s="3">
        <v>33.577309999999997</v>
      </c>
      <c r="CQ8" s="2">
        <v>35.52787</v>
      </c>
      <c r="CR8" s="2">
        <v>9.3405609999999992</v>
      </c>
      <c r="CS8" s="2">
        <v>2.8075220000000001</v>
      </c>
      <c r="CT8" s="2">
        <v>23.950230000000001</v>
      </c>
      <c r="CU8" s="2">
        <v>291.30099999999999</v>
      </c>
      <c r="CV8" s="3">
        <v>0.50175029999999998</v>
      </c>
      <c r="CW8" s="2">
        <v>45.575609999999998</v>
      </c>
      <c r="CX8" s="2">
        <v>7.1214589999999998</v>
      </c>
      <c r="CY8" s="2">
        <v>17.871269999999999</v>
      </c>
      <c r="CZ8" s="2">
        <v>14.535349999999999</v>
      </c>
    </row>
    <row r="9" spans="1:104" ht="15" customHeight="1" x14ac:dyDescent="0.2">
      <c r="A9" s="1">
        <f t="shared" ref="A9:A56" si="0">1+A8</f>
        <v>3</v>
      </c>
      <c r="B9" s="1" t="s">
        <v>13</v>
      </c>
      <c r="C9" s="1" t="s">
        <v>12</v>
      </c>
      <c r="D9" s="1" t="s">
        <v>9</v>
      </c>
      <c r="E9" s="1" t="s">
        <v>10</v>
      </c>
      <c r="F9" s="1" t="s">
        <v>11</v>
      </c>
      <c r="G9" s="2">
        <v>60543.49</v>
      </c>
      <c r="H9" s="2">
        <v>79.096599999999995</v>
      </c>
      <c r="I9" s="2">
        <v>47887.839999999997</v>
      </c>
      <c r="J9" s="3">
        <v>3.3115000000000001</v>
      </c>
      <c r="K9" s="3">
        <v>0</v>
      </c>
      <c r="L9" s="2">
        <v>9.0593389999999996</v>
      </c>
      <c r="M9" s="2">
        <v>9.9457640000000005</v>
      </c>
      <c r="N9" s="2">
        <v>9.9652729999999998</v>
      </c>
      <c r="O9" s="2">
        <v>10.35281</v>
      </c>
      <c r="P9" s="2">
        <v>8.0768299999999993</v>
      </c>
      <c r="Q9" s="2">
        <v>7.3588889999999996</v>
      </c>
      <c r="R9" s="2">
        <v>7.1989130000000001</v>
      </c>
      <c r="S9" s="2">
        <v>6.9243620000000004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1.0463020000000001</v>
      </c>
      <c r="Y9" s="2">
        <v>1.012184</v>
      </c>
      <c r="Z9" s="2">
        <v>0.96664539999999999</v>
      </c>
      <c r="AA9" s="2">
        <v>0.94937910000000003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3">
        <v>1.250448</v>
      </c>
      <c r="AM9" s="3">
        <v>1.2259709999999999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6</v>
      </c>
      <c r="AW9" s="3">
        <v>1.2708330000000001</v>
      </c>
      <c r="AX9" s="3">
        <v>3.8</v>
      </c>
      <c r="AY9" s="2">
        <v>14.75163</v>
      </c>
      <c r="AZ9" s="2">
        <v>13.754569999999999</v>
      </c>
      <c r="BA9" s="2">
        <v>5.8342770000000002</v>
      </c>
      <c r="BB9" s="2">
        <v>40.436819999999997</v>
      </c>
      <c r="BC9" s="2">
        <v>25.269539999999999</v>
      </c>
      <c r="BD9" s="3">
        <v>2.133</v>
      </c>
      <c r="BE9" s="2">
        <v>55.250839999999997</v>
      </c>
      <c r="BF9" s="3">
        <v>3.419</v>
      </c>
      <c r="BG9" s="2">
        <v>-3.1441870000000001</v>
      </c>
      <c r="BH9" s="2">
        <v>72.068600000000004</v>
      </c>
      <c r="BI9" s="2">
        <v>71.130380000000002</v>
      </c>
      <c r="BJ9" s="2">
        <v>71.231399999999994</v>
      </c>
      <c r="BK9" s="2">
        <v>72.288579999999996</v>
      </c>
      <c r="BL9" s="2">
        <v>21</v>
      </c>
      <c r="BM9" s="2">
        <v>11</v>
      </c>
      <c r="BN9" s="4">
        <v>24</v>
      </c>
      <c r="BO9" s="4">
        <v>1</v>
      </c>
      <c r="BP9" s="4">
        <v>0</v>
      </c>
      <c r="BQ9" s="4">
        <v>23</v>
      </c>
      <c r="BR9" s="2">
        <v>4.1666670000000003</v>
      </c>
      <c r="BS9" s="4">
        <v>19</v>
      </c>
      <c r="BT9" s="4">
        <v>0</v>
      </c>
      <c r="BU9" s="4">
        <v>24</v>
      </c>
      <c r="BV9" s="2">
        <v>79.166669999999996</v>
      </c>
      <c r="BW9" s="2">
        <v>7.9863600000000003</v>
      </c>
      <c r="BX9" s="2">
        <v>18282.8</v>
      </c>
      <c r="BY9" s="3">
        <v>81.874430000000004</v>
      </c>
      <c r="BZ9" s="3">
        <v>0.4478222</v>
      </c>
      <c r="CA9" s="2">
        <v>1.1838599999999999</v>
      </c>
      <c r="CB9" s="3">
        <v>0.4461194</v>
      </c>
      <c r="CC9" s="3">
        <v>0.43334640000000002</v>
      </c>
      <c r="CD9" s="3">
        <v>0.45391229999999999</v>
      </c>
      <c r="CE9" s="2">
        <v>4.7458289999999996</v>
      </c>
      <c r="CF9" s="3">
        <v>14117.23</v>
      </c>
      <c r="CG9" s="3">
        <v>14500.55</v>
      </c>
      <c r="CH9" s="2">
        <v>2.7152419999999999</v>
      </c>
      <c r="CI9" s="3">
        <v>3.5222730000000002</v>
      </c>
      <c r="CJ9" s="2">
        <v>7.8848839999999996</v>
      </c>
      <c r="CK9" s="3">
        <v>25498.58</v>
      </c>
      <c r="CL9" s="3">
        <v>25834.54</v>
      </c>
      <c r="CM9" s="2">
        <v>1.3175730000000001</v>
      </c>
      <c r="CN9" s="3">
        <v>2.674102</v>
      </c>
      <c r="CO9" s="3">
        <v>3.0707450000000001</v>
      </c>
      <c r="CP9" s="3">
        <v>3.2595190000000001</v>
      </c>
      <c r="CQ9" s="2">
        <v>23.835979999999999</v>
      </c>
      <c r="CR9" s="2">
        <v>7.8402880000000001</v>
      </c>
      <c r="CS9" s="2">
        <v>1.5947340000000001</v>
      </c>
      <c r="CT9" s="2">
        <v>14.83276</v>
      </c>
      <c r="CU9" s="2">
        <v>268.85019999999997</v>
      </c>
      <c r="CV9" s="3">
        <v>0.44406129999999999</v>
      </c>
      <c r="CW9" s="2">
        <v>-3.4918260000000001</v>
      </c>
      <c r="CX9" s="2">
        <v>0.52349140000000005</v>
      </c>
      <c r="CY9" s="2">
        <v>-0.56234720000000005</v>
      </c>
      <c r="CZ9" s="2">
        <v>14.91919</v>
      </c>
    </row>
    <row r="10" spans="1:104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10</v>
      </c>
      <c r="F10" s="1" t="s">
        <v>11</v>
      </c>
      <c r="G10" s="2">
        <v>61181.61</v>
      </c>
      <c r="H10" s="2">
        <v>99.792000000000002</v>
      </c>
      <c r="I10" s="2">
        <v>61054.36</v>
      </c>
      <c r="J10" s="3">
        <v>10.48</v>
      </c>
      <c r="K10" s="3">
        <v>0</v>
      </c>
      <c r="L10" s="2">
        <v>5.2480919999999998</v>
      </c>
      <c r="M10" s="2">
        <v>6.2022899999999996</v>
      </c>
      <c r="N10" s="2">
        <v>6.0114510000000001</v>
      </c>
      <c r="O10" s="2">
        <v>6.2022899999999996</v>
      </c>
      <c r="P10" s="2">
        <v>7.9393929999999999</v>
      </c>
      <c r="Q10" s="2">
        <v>7.4153250000000002</v>
      </c>
      <c r="R10" s="2">
        <v>7.4857139999999998</v>
      </c>
      <c r="S10" s="2">
        <v>7.5366479999999996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1.182844</v>
      </c>
      <c r="Y10" s="2">
        <v>1.1101700000000001</v>
      </c>
      <c r="Z10" s="2">
        <v>1.047533</v>
      </c>
      <c r="AA10" s="2">
        <v>0.97126970000000001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1.2431970000000001</v>
      </c>
      <c r="AM10" s="3">
        <v>1.2588410000000001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17</v>
      </c>
      <c r="AW10" s="3">
        <v>1.518519</v>
      </c>
      <c r="AX10" s="3">
        <v>10.8</v>
      </c>
      <c r="AY10" s="2">
        <v>3.053439</v>
      </c>
      <c r="AZ10" s="2">
        <v>14.97129</v>
      </c>
      <c r="BA10" s="2">
        <v>6.0075089999999998</v>
      </c>
      <c r="BB10" s="2">
        <v>59.270510000000002</v>
      </c>
      <c r="BC10" s="2">
        <v>27.400919999999999</v>
      </c>
      <c r="BD10" s="3">
        <v>6.0579999999999998</v>
      </c>
      <c r="BE10" s="2">
        <v>72.994380000000007</v>
      </c>
      <c r="BF10" s="3">
        <v>11.275</v>
      </c>
      <c r="BG10" s="2">
        <v>-7.0509969999999997</v>
      </c>
      <c r="BH10" s="2">
        <v>43.316339999999997</v>
      </c>
      <c r="BI10" s="2">
        <v>45.558160000000001</v>
      </c>
      <c r="BJ10" s="2">
        <v>46.34686</v>
      </c>
      <c r="BK10" s="2">
        <v>46.19211</v>
      </c>
      <c r="BL10" s="2">
        <v>25</v>
      </c>
      <c r="BM10" s="2">
        <v>17</v>
      </c>
      <c r="BN10" s="4">
        <v>27</v>
      </c>
      <c r="BO10" s="4">
        <v>1</v>
      </c>
      <c r="BP10" s="4">
        <v>3</v>
      </c>
      <c r="BQ10" s="4">
        <v>23</v>
      </c>
      <c r="BR10" s="2">
        <v>3.7037040000000001</v>
      </c>
      <c r="BS10" s="4">
        <v>14</v>
      </c>
      <c r="BT10" s="4">
        <v>0</v>
      </c>
      <c r="BU10" s="4">
        <v>27</v>
      </c>
      <c r="BV10" s="2">
        <v>51.851849999999999</v>
      </c>
      <c r="BW10" s="2">
        <v>8.7023299999999999</v>
      </c>
      <c r="BX10" s="2">
        <v>5837.94</v>
      </c>
      <c r="BY10" s="3">
        <v>13.68852</v>
      </c>
      <c r="BZ10" s="3">
        <v>0.23447519999999999</v>
      </c>
      <c r="CA10" s="2">
        <v>1.48289</v>
      </c>
      <c r="CB10" s="3">
        <v>0.23358370000000001</v>
      </c>
      <c r="CC10" s="3">
        <v>1.3229359999999999</v>
      </c>
      <c r="CD10" s="3">
        <v>1.403224</v>
      </c>
      <c r="CE10" s="2">
        <v>6.0689089999999997</v>
      </c>
      <c r="CF10" s="3">
        <v>17653.509999999998</v>
      </c>
      <c r="CG10" s="3">
        <v>19264.259999999998</v>
      </c>
      <c r="CH10" s="2">
        <v>9.1242199999999993</v>
      </c>
      <c r="CI10" s="3">
        <v>9.7200000000000006</v>
      </c>
      <c r="CJ10" s="2">
        <v>11.1111</v>
      </c>
      <c r="CK10" s="3">
        <v>30923.11</v>
      </c>
      <c r="CL10" s="3">
        <v>31702.52</v>
      </c>
      <c r="CM10" s="2">
        <v>2.520502</v>
      </c>
      <c r="CN10" s="3">
        <v>8.2352489999999996</v>
      </c>
      <c r="CO10" s="3">
        <v>9.8510010000000001</v>
      </c>
      <c r="CP10" s="3">
        <v>10.54335</v>
      </c>
      <c r="CQ10" s="2">
        <v>27.257840000000002</v>
      </c>
      <c r="CR10" s="2">
        <v>6.3851240000000002</v>
      </c>
      <c r="CS10" s="2">
        <v>-0.60081479999999998</v>
      </c>
      <c r="CT10" s="2">
        <v>19.619949999999999</v>
      </c>
      <c r="CU10" s="2">
        <v>120.56270000000001</v>
      </c>
      <c r="CV10" s="3">
        <v>0.19705710000000001</v>
      </c>
      <c r="CW10" s="2">
        <v>12.061299999999999</v>
      </c>
      <c r="CX10" s="2">
        <v>1.8441350000000001</v>
      </c>
      <c r="CY10" s="2">
        <v>6.7883630000000004</v>
      </c>
      <c r="CZ10" s="2">
        <v>16.868690000000001</v>
      </c>
    </row>
    <row r="11" spans="1:104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3</v>
      </c>
      <c r="E11" s="1" t="s">
        <v>20</v>
      </c>
      <c r="F11" s="1" t="s">
        <v>21</v>
      </c>
      <c r="G11" s="2">
        <v>359346.4</v>
      </c>
      <c r="H11" s="2">
        <v>98.445700000000002</v>
      </c>
      <c r="I11" s="2">
        <v>353761.1</v>
      </c>
      <c r="J11" s="3">
        <v>899.3</v>
      </c>
      <c r="K11" s="3">
        <v>0</v>
      </c>
      <c r="L11" s="2">
        <v>0.6783053</v>
      </c>
      <c r="M11" s="2">
        <v>0.74502389999999996</v>
      </c>
      <c r="N11" s="2">
        <v>0.85811190000000004</v>
      </c>
      <c r="O11" s="2">
        <v>1.031358</v>
      </c>
      <c r="P11" s="2">
        <v>45.168259999999997</v>
      </c>
      <c r="Q11" s="2">
        <v>47.40643</v>
      </c>
      <c r="R11" s="2">
        <v>31.092549999999999</v>
      </c>
      <c r="S11" s="2">
        <v>26.44971</v>
      </c>
      <c r="T11" s="2">
        <v>27.85153</v>
      </c>
      <c r="U11" s="2">
        <v>38.281109999999998</v>
      </c>
      <c r="V11" s="2">
        <v>25.080570000000002</v>
      </c>
      <c r="W11" s="2">
        <v>21.585059999999999</v>
      </c>
      <c r="X11" s="2">
        <v>26.341539999999998</v>
      </c>
      <c r="Y11" s="2">
        <v>23.156949999999998</v>
      </c>
      <c r="Z11" s="2">
        <v>18.87105</v>
      </c>
      <c r="AA11" s="2">
        <v>12.850809999999999</v>
      </c>
      <c r="AB11" s="2">
        <v>65.055269999999993</v>
      </c>
      <c r="AC11" s="2">
        <v>41.86016</v>
      </c>
      <c r="AD11" s="2">
        <v>28.502079999999999</v>
      </c>
      <c r="AE11" s="2">
        <v>26.3765</v>
      </c>
      <c r="AF11" s="2">
        <v>1.812649</v>
      </c>
      <c r="AG11" s="2">
        <v>2.6347770000000001</v>
      </c>
      <c r="AH11" s="2">
        <v>3.3326039999999999</v>
      </c>
      <c r="AI11" s="2">
        <v>1.7990079999999999</v>
      </c>
      <c r="AJ11" s="2">
        <v>2.5976900000000001</v>
      </c>
      <c r="AK11" s="2">
        <v>3.242912</v>
      </c>
      <c r="AL11" s="3">
        <v>2.5907529999999999</v>
      </c>
      <c r="AM11" s="3">
        <v>1.701508</v>
      </c>
      <c r="AN11" s="2">
        <v>35.49512</v>
      </c>
      <c r="AO11" s="2">
        <v>33.73075</v>
      </c>
      <c r="AP11" s="2">
        <v>40.212940000000003</v>
      </c>
      <c r="AQ11" s="2">
        <v>41.460540000000002</v>
      </c>
      <c r="AR11" s="2">
        <v>-0.242586</v>
      </c>
      <c r="AS11" s="2">
        <v>-0.29027310000000001</v>
      </c>
      <c r="AT11" s="2">
        <v>-0.35807800000000001</v>
      </c>
      <c r="AU11" s="2">
        <v>-0.59699880000000005</v>
      </c>
      <c r="AV11" s="1" t="s">
        <v>6</v>
      </c>
      <c r="AW11" s="3">
        <v>1.3658539999999999</v>
      </c>
      <c r="AX11" s="3">
        <v>940</v>
      </c>
      <c r="AY11" s="2">
        <v>4.5257449999999997</v>
      </c>
      <c r="AZ11" s="2">
        <v>48.84769</v>
      </c>
      <c r="BA11" s="2">
        <v>16</v>
      </c>
      <c r="BB11" s="2">
        <v>48.154850000000003</v>
      </c>
      <c r="BC11" s="2">
        <v>31.920190000000002</v>
      </c>
      <c r="BD11" s="3">
        <v>534.4</v>
      </c>
      <c r="BE11" s="2">
        <v>68.282169999999994</v>
      </c>
      <c r="BF11" s="3">
        <v>958.4</v>
      </c>
      <c r="BG11" s="2">
        <v>-6.1665299999999998</v>
      </c>
      <c r="BH11" s="2">
        <v>29.97186</v>
      </c>
      <c r="BI11" s="2">
        <v>35.834339999999997</v>
      </c>
      <c r="BJ11" s="2">
        <v>28.90174</v>
      </c>
      <c r="BK11" s="2">
        <v>27.415990000000001</v>
      </c>
      <c r="BL11" s="2">
        <v>38</v>
      </c>
      <c r="BM11" s="2">
        <v>36</v>
      </c>
      <c r="BN11" s="4">
        <v>41</v>
      </c>
      <c r="BO11" s="4">
        <v>3</v>
      </c>
      <c r="BP11" s="4">
        <v>5</v>
      </c>
      <c r="BQ11" s="4">
        <v>38</v>
      </c>
      <c r="BR11" s="2">
        <v>6.5217390000000002</v>
      </c>
      <c r="BS11" s="4">
        <v>28</v>
      </c>
      <c r="BT11" s="4">
        <v>1</v>
      </c>
      <c r="BU11" s="4">
        <v>41</v>
      </c>
      <c r="BV11" s="2">
        <v>68.292689999999993</v>
      </c>
      <c r="BW11" s="2">
        <v>10.1425</v>
      </c>
      <c r="BX11" s="2">
        <v>399.58460000000002</v>
      </c>
      <c r="BY11" s="3">
        <v>0.55534380000000005</v>
      </c>
      <c r="BZ11" s="3">
        <v>0.1389803</v>
      </c>
      <c r="CA11" s="2">
        <v>1.8924300000000001</v>
      </c>
      <c r="CB11" s="3">
        <v>0.13845189999999999</v>
      </c>
      <c r="CC11" s="3">
        <v>19.499459999999999</v>
      </c>
      <c r="CD11" s="3">
        <v>18.991679999999999</v>
      </c>
      <c r="CE11" s="2">
        <v>-2.6040610000000002</v>
      </c>
      <c r="CF11" s="3">
        <v>8789.4689999999991</v>
      </c>
      <c r="CG11" s="3">
        <v>8600.9989999999998</v>
      </c>
      <c r="CH11" s="2">
        <v>-2.1442649999999999</v>
      </c>
      <c r="CI11" s="3">
        <v>707.99710000000005</v>
      </c>
      <c r="CJ11" s="2">
        <v>32.768909999999998</v>
      </c>
      <c r="CK11" s="3">
        <v>27382.06</v>
      </c>
      <c r="CL11" s="3">
        <v>27745.119999999999</v>
      </c>
      <c r="CM11" s="2">
        <v>1.3259049999999999</v>
      </c>
      <c r="CN11" s="3">
        <v>687.18769999999995</v>
      </c>
      <c r="CO11" s="3">
        <v>876.14300000000003</v>
      </c>
      <c r="CP11" s="3">
        <v>897.07299999999998</v>
      </c>
      <c r="CQ11" s="2">
        <v>30.866720000000001</v>
      </c>
      <c r="CR11" s="2">
        <v>2.6430609999999999</v>
      </c>
      <c r="CS11" s="2">
        <v>0.24825330000000001</v>
      </c>
      <c r="CT11" s="2">
        <v>27.4969</v>
      </c>
      <c r="CU11" s="2">
        <v>457.81700000000001</v>
      </c>
      <c r="CV11" s="3">
        <v>0.12740270000000001</v>
      </c>
      <c r="CW11" s="2">
        <v>9.558249</v>
      </c>
      <c r="CX11" s="2">
        <v>5.3723070000000002</v>
      </c>
      <c r="CY11" s="2">
        <v>9.7542030000000004</v>
      </c>
      <c r="CZ11" s="2">
        <v>18.737369999999999</v>
      </c>
    </row>
    <row r="12" spans="1:104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16</v>
      </c>
      <c r="E12" s="1" t="s">
        <v>10</v>
      </c>
      <c r="F12" s="1" t="s">
        <v>11</v>
      </c>
      <c r="G12" s="2">
        <v>72251.679999999993</v>
      </c>
      <c r="H12" s="2">
        <v>98.761799999999994</v>
      </c>
      <c r="I12" s="2">
        <v>71357.06</v>
      </c>
      <c r="J12" s="3">
        <v>4.5655000000000001</v>
      </c>
      <c r="K12" s="3">
        <v>-1.192093E-5</v>
      </c>
      <c r="L12" s="2">
        <v>3.723579</v>
      </c>
      <c r="M12" s="2">
        <v>4.1441249999999998</v>
      </c>
      <c r="N12" s="2">
        <v>4.5450010000000001</v>
      </c>
      <c r="O12" s="2">
        <v>4.8187490000000004</v>
      </c>
      <c r="P12" s="2">
        <v>7.0238459999999998</v>
      </c>
      <c r="Q12" s="2">
        <v>6.5744420000000003</v>
      </c>
      <c r="R12" s="2">
        <v>6.2115640000000001</v>
      </c>
      <c r="S12" s="2">
        <v>5.7967570000000004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>
        <v>0.76006339999999994</v>
      </c>
      <c r="Y12" s="2">
        <v>0.70346690000000001</v>
      </c>
      <c r="Z12" s="2">
        <v>0.65224439999999995</v>
      </c>
      <c r="AA12" s="2">
        <v>0.60063710000000003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3">
        <v>1.029336</v>
      </c>
      <c r="AM12" s="3">
        <v>0.97542720000000005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1" t="s">
        <v>6</v>
      </c>
      <c r="AW12" s="3">
        <v>1.4423079999999999</v>
      </c>
      <c r="AX12" s="3">
        <v>5.0999999999999996</v>
      </c>
      <c r="AY12" s="2">
        <v>11.707380000000001</v>
      </c>
      <c r="AZ12" s="2">
        <v>10.70002</v>
      </c>
      <c r="BA12" s="2">
        <v>6.3446230000000003</v>
      </c>
      <c r="BB12" s="2">
        <v>29.554469999999998</v>
      </c>
      <c r="BC12" s="2">
        <v>20.796389999999999</v>
      </c>
      <c r="BD12" s="3">
        <v>3.0065</v>
      </c>
      <c r="BE12" s="2">
        <v>51.854309999999998</v>
      </c>
      <c r="BF12" s="3">
        <v>4.6885000000000003</v>
      </c>
      <c r="BG12" s="2">
        <v>-2.6234449999999998</v>
      </c>
      <c r="BH12" s="2">
        <v>27.01266</v>
      </c>
      <c r="BI12" s="2">
        <v>30.557790000000001</v>
      </c>
      <c r="BJ12" s="2">
        <v>31.065850000000001</v>
      </c>
      <c r="BK12" s="2">
        <v>31.571280000000002</v>
      </c>
      <c r="BL12" s="2">
        <v>24</v>
      </c>
      <c r="BM12" s="2">
        <v>17</v>
      </c>
      <c r="BN12" s="4">
        <v>26</v>
      </c>
      <c r="BO12" s="4">
        <v>0</v>
      </c>
      <c r="BP12" s="4">
        <v>1</v>
      </c>
      <c r="BQ12" s="4">
        <v>24</v>
      </c>
      <c r="BR12" s="2">
        <v>0</v>
      </c>
      <c r="BS12" s="4">
        <v>17</v>
      </c>
      <c r="BT12" s="4">
        <v>1</v>
      </c>
      <c r="BU12" s="4">
        <v>26</v>
      </c>
      <c r="BV12" s="2">
        <v>65.384609999999995</v>
      </c>
      <c r="BW12" s="2">
        <v>8.0576699999999999</v>
      </c>
      <c r="BX12" s="2">
        <v>15825.58</v>
      </c>
      <c r="BY12" s="3">
        <v>36.465330000000002</v>
      </c>
      <c r="BZ12" s="3">
        <v>0.23042019999999999</v>
      </c>
      <c r="CA12" s="2">
        <v>1.3527100000000001</v>
      </c>
      <c r="CB12" s="3">
        <v>0.2295441</v>
      </c>
      <c r="CC12" s="3">
        <v>0.67391679999999998</v>
      </c>
      <c r="CD12" s="3">
        <v>0.69907770000000002</v>
      </c>
      <c r="CE12" s="2">
        <v>3.7335400000000001</v>
      </c>
      <c r="CF12" s="3">
        <v>33190.36</v>
      </c>
      <c r="CG12" s="3">
        <v>33496.61</v>
      </c>
      <c r="CH12" s="2">
        <v>0.92271570000000003</v>
      </c>
      <c r="CI12" s="3">
        <v>4.8638979999999998</v>
      </c>
      <c r="CJ12" s="2">
        <v>4.8541670000000003</v>
      </c>
      <c r="CK12" s="3">
        <v>59809.02</v>
      </c>
      <c r="CL12" s="3">
        <v>59829.46</v>
      </c>
      <c r="CM12" s="2">
        <v>3.4177300000000001E-2</v>
      </c>
      <c r="CN12" s="3">
        <v>3.724758</v>
      </c>
      <c r="CO12" s="3">
        <v>4.0322940000000003</v>
      </c>
      <c r="CP12" s="3">
        <v>4.2967310000000003</v>
      </c>
      <c r="CQ12" s="2">
        <v>22.571729999999999</v>
      </c>
      <c r="CR12" s="2">
        <v>13.223369999999999</v>
      </c>
      <c r="CS12" s="2">
        <v>6.2552089999999998</v>
      </c>
      <c r="CT12" s="2">
        <v>8.2565550000000005</v>
      </c>
      <c r="CU12" s="2">
        <v>135.33369999999999</v>
      </c>
      <c r="CV12" s="3">
        <v>0.18730869999999999</v>
      </c>
      <c r="CW12" s="2">
        <v>17.243500000000001</v>
      </c>
      <c r="CX12" s="2">
        <v>0.31278309999999998</v>
      </c>
      <c r="CY12" s="2">
        <v>0.61995480000000003</v>
      </c>
      <c r="CZ12" s="2">
        <v>19.06061</v>
      </c>
    </row>
    <row r="13" spans="1:104" ht="15" customHeight="1" x14ac:dyDescent="0.2">
      <c r="A13" s="1">
        <f t="shared" si="0"/>
        <v>7</v>
      </c>
      <c r="B13" s="1" t="s">
        <v>25</v>
      </c>
      <c r="C13" s="1" t="s">
        <v>24</v>
      </c>
      <c r="D13" s="1" t="s">
        <v>26</v>
      </c>
      <c r="E13" s="1" t="s">
        <v>27</v>
      </c>
      <c r="F13" s="1" t="s">
        <v>28</v>
      </c>
      <c r="G13" s="2">
        <v>25724.13</v>
      </c>
      <c r="H13" s="2">
        <v>97.517499999999998</v>
      </c>
      <c r="I13" s="2">
        <v>25085.53</v>
      </c>
      <c r="J13" s="3">
        <v>124.75</v>
      </c>
      <c r="K13" s="3">
        <v>0</v>
      </c>
      <c r="L13" s="2">
        <v>7.214429</v>
      </c>
      <c r="M13" s="2">
        <v>7.5982440000000002</v>
      </c>
      <c r="N13" s="2">
        <v>7.9151109999999996</v>
      </c>
      <c r="O13" s="2">
        <v>8.0884020000000003</v>
      </c>
      <c r="P13" s="2">
        <v>3.9082080000000001</v>
      </c>
      <c r="Q13" s="2">
        <v>3.9747020000000002</v>
      </c>
      <c r="R13" s="2">
        <v>3.5581860000000001</v>
      </c>
      <c r="S13" s="2">
        <v>3.470097</v>
      </c>
      <c r="T13" s="2">
        <v>0.41914560000000001</v>
      </c>
      <c r="U13" s="2">
        <v>0.60385279999999997</v>
      </c>
      <c r="V13" s="2">
        <v>0.56448549999999997</v>
      </c>
      <c r="W13" s="2">
        <v>0.52956970000000003</v>
      </c>
      <c r="X13" s="2">
        <v>0.35592010000000002</v>
      </c>
      <c r="Y13" s="2">
        <v>0.33389289999999999</v>
      </c>
      <c r="Z13" s="2">
        <v>0.3014232</v>
      </c>
      <c r="AA13" s="2">
        <v>0.30089369999999999</v>
      </c>
      <c r="AB13" s="2">
        <v>1.6521779999999999</v>
      </c>
      <c r="AC13" s="2">
        <v>1.735107</v>
      </c>
      <c r="AD13" s="2">
        <v>1.665883</v>
      </c>
      <c r="AE13" s="2">
        <v>1.4093340000000001</v>
      </c>
      <c r="AF13" s="2">
        <v>-55.83502</v>
      </c>
      <c r="AG13" s="2">
        <v>-59.261539999999997</v>
      </c>
      <c r="AH13" s="2">
        <v>-61.568710000000003</v>
      </c>
      <c r="AI13" s="2">
        <v>34.212589999999999</v>
      </c>
      <c r="AJ13" s="2">
        <v>40.441400000000002</v>
      </c>
      <c r="AK13" s="2">
        <v>45.223770000000002</v>
      </c>
      <c r="AL13" s="3">
        <v>0.60580750000000005</v>
      </c>
      <c r="AM13" s="3">
        <v>0.55462549999999999</v>
      </c>
      <c r="AN13" s="2">
        <v>13.11623</v>
      </c>
      <c r="AO13" s="2">
        <v>14.131769999999999</v>
      </c>
      <c r="AP13" s="2">
        <v>13.604570000000001</v>
      </c>
      <c r="AQ13" s="2">
        <v>13.516349999999999</v>
      </c>
      <c r="AR13" s="2">
        <v>-0.95310669999999997</v>
      </c>
      <c r="AS13" s="2">
        <v>-0.90514609999999995</v>
      </c>
      <c r="AT13" s="2">
        <v>-0.94381669999999995</v>
      </c>
      <c r="AU13" s="2">
        <v>-0.96270750000000005</v>
      </c>
      <c r="AV13" s="1" t="s">
        <v>6</v>
      </c>
      <c r="AW13" s="3">
        <v>1.5208330000000001</v>
      </c>
      <c r="AX13" s="3">
        <v>142</v>
      </c>
      <c r="AY13" s="2">
        <v>13.82766</v>
      </c>
      <c r="AZ13" s="2">
        <v>8.4004519999999996</v>
      </c>
      <c r="BA13" s="2">
        <v>6.6813159999999998</v>
      </c>
      <c r="BB13" s="2">
        <v>1.044869</v>
      </c>
      <c r="BC13" s="2">
        <v>11.58319</v>
      </c>
      <c r="BD13" s="3">
        <v>97.83</v>
      </c>
      <c r="BE13" s="2">
        <v>27.517119999999998</v>
      </c>
      <c r="BF13" s="3">
        <v>133.41999999999999</v>
      </c>
      <c r="BG13" s="2">
        <v>-6.4982769999999999</v>
      </c>
      <c r="BH13" s="2">
        <v>27.870809999999999</v>
      </c>
      <c r="BI13" s="2">
        <v>29.286650000000002</v>
      </c>
      <c r="BJ13" s="2">
        <v>28.606919999999999</v>
      </c>
      <c r="BK13" s="2">
        <v>27.112159999999999</v>
      </c>
      <c r="BL13" s="2">
        <v>20</v>
      </c>
      <c r="BM13" s="2">
        <v>20</v>
      </c>
      <c r="BN13" s="4">
        <v>24</v>
      </c>
      <c r="BO13" s="4">
        <v>0</v>
      </c>
      <c r="BP13" s="4">
        <v>0</v>
      </c>
      <c r="BQ13" s="4">
        <v>24</v>
      </c>
      <c r="BR13" s="2">
        <v>0</v>
      </c>
      <c r="BS13" s="4">
        <v>14</v>
      </c>
      <c r="BT13" s="4">
        <v>2</v>
      </c>
      <c r="BU13" s="4">
        <v>24</v>
      </c>
      <c r="BV13" s="2">
        <v>58.333329999999997</v>
      </c>
      <c r="BW13" s="2">
        <v>6.9944699999999997</v>
      </c>
      <c r="BX13" s="2">
        <v>206.2054</v>
      </c>
      <c r="BY13" s="3">
        <v>0.98762430000000001</v>
      </c>
      <c r="BZ13" s="3">
        <v>0.47895159999999998</v>
      </c>
      <c r="CA13" s="2">
        <v>1.0723</v>
      </c>
      <c r="CB13" s="3">
        <v>0.47713050000000001</v>
      </c>
      <c r="CC13" s="3">
        <v>29.46471</v>
      </c>
      <c r="CD13" s="3">
        <v>30.820799999999998</v>
      </c>
      <c r="CE13" s="2">
        <v>4.6024079999999996</v>
      </c>
      <c r="CF13" s="3">
        <v>21534.29</v>
      </c>
      <c r="CG13" s="3">
        <v>22517</v>
      </c>
      <c r="CH13" s="2">
        <v>4.5634980000000001</v>
      </c>
      <c r="CI13" s="3">
        <v>139.10249999999999</v>
      </c>
      <c r="CJ13" s="2">
        <v>2.0829680000000002</v>
      </c>
      <c r="CK13" s="3">
        <v>315026</v>
      </c>
      <c r="CL13" s="3">
        <v>322640.3</v>
      </c>
      <c r="CM13" s="2">
        <v>2.4170639999999999</v>
      </c>
      <c r="CN13" s="3">
        <v>113.98439999999999</v>
      </c>
      <c r="CO13" s="3">
        <v>120.04510000000001</v>
      </c>
      <c r="CP13" s="3">
        <v>119.9415</v>
      </c>
      <c r="CQ13" s="2">
        <v>9.4447609999999997</v>
      </c>
      <c r="CR13" s="2">
        <v>3.9193030000000002</v>
      </c>
      <c r="CS13" s="2">
        <v>4.0089959999999998</v>
      </c>
      <c r="CT13" s="2">
        <v>5.3170679999999999</v>
      </c>
      <c r="CU13" s="2">
        <v>127.6592</v>
      </c>
      <c r="CV13" s="3">
        <v>0.4962625</v>
      </c>
      <c r="CW13" s="2">
        <v>22.09836</v>
      </c>
      <c r="CX13" s="2">
        <v>4.9946789999999996</v>
      </c>
      <c r="CY13" s="2">
        <v>6.6920599999999997</v>
      </c>
      <c r="CZ13" s="2">
        <v>19.606059999999999</v>
      </c>
    </row>
    <row r="14" spans="1:104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9</v>
      </c>
      <c r="E14" s="1" t="s">
        <v>27</v>
      </c>
      <c r="F14" s="1" t="s">
        <v>28</v>
      </c>
      <c r="G14" s="2">
        <v>75624.34</v>
      </c>
      <c r="H14" s="2">
        <v>70.811800000000005</v>
      </c>
      <c r="I14" s="2">
        <v>53550.96</v>
      </c>
      <c r="J14" s="3">
        <v>25.074999999999999</v>
      </c>
      <c r="K14" s="3">
        <v>0</v>
      </c>
      <c r="L14" s="2">
        <v>6.1814559999999998</v>
      </c>
      <c r="M14" s="2">
        <v>6.1814559999999998</v>
      </c>
      <c r="N14" s="2">
        <v>6.7397809999999998</v>
      </c>
      <c r="O14" s="2">
        <v>6.3553449999999998</v>
      </c>
      <c r="P14" s="2">
        <v>3.9057629999999999</v>
      </c>
      <c r="Q14" s="2">
        <v>4.3948619999999998</v>
      </c>
      <c r="R14" s="2">
        <v>4.4032</v>
      </c>
      <c r="S14" s="2">
        <v>4.2428090000000003</v>
      </c>
      <c r="T14" s="2">
        <v>1.1788019999999999</v>
      </c>
      <c r="U14" s="2">
        <v>1.531649</v>
      </c>
      <c r="V14" s="2">
        <v>1.312964</v>
      </c>
      <c r="W14" s="2">
        <v>1.0634319999999999</v>
      </c>
      <c r="X14" s="2">
        <v>0.92105979999999998</v>
      </c>
      <c r="Y14" s="2">
        <v>0.82690779999999997</v>
      </c>
      <c r="Z14" s="2">
        <v>0.72471110000000005</v>
      </c>
      <c r="AA14" s="2">
        <v>0.63966829999999997</v>
      </c>
      <c r="AB14" s="2">
        <v>3.4656980000000002</v>
      </c>
      <c r="AC14" s="2">
        <v>3.3478520000000001</v>
      </c>
      <c r="AD14" s="2">
        <v>3.372236</v>
      </c>
      <c r="AE14" s="2">
        <v>3.2996889999999999</v>
      </c>
      <c r="AF14" s="2">
        <v>23.596550000000001</v>
      </c>
      <c r="AG14" s="2">
        <v>27.05265</v>
      </c>
      <c r="AH14" s="2">
        <v>31.46622</v>
      </c>
      <c r="AI14" s="2">
        <v>13.83459</v>
      </c>
      <c r="AJ14" s="2">
        <v>13.89592</v>
      </c>
      <c r="AK14" s="2">
        <v>13.939769999999999</v>
      </c>
      <c r="AL14" s="3" t="e">
        <v>#N/A</v>
      </c>
      <c r="AM14" s="3" t="e">
        <v>#N/A</v>
      </c>
      <c r="AN14" s="2">
        <v>16.566600000000001</v>
      </c>
      <c r="AO14" s="2">
        <v>15.21247</v>
      </c>
      <c r="AP14" s="2">
        <v>15.08535</v>
      </c>
      <c r="AQ14" s="2">
        <v>15.699439999999999</v>
      </c>
      <c r="AR14" s="2">
        <v>-0.93904650000000001</v>
      </c>
      <c r="AS14" s="2">
        <v>-1.0807610000000001</v>
      </c>
      <c r="AT14" s="2">
        <v>-1.2431220000000001</v>
      </c>
      <c r="AU14" s="2">
        <v>-1.337051</v>
      </c>
      <c r="AV14" s="1" t="s">
        <v>6</v>
      </c>
      <c r="AW14" s="3">
        <v>1.464286</v>
      </c>
      <c r="AX14" s="3">
        <v>26.95</v>
      </c>
      <c r="AY14" s="2">
        <v>7.4775700000000001</v>
      </c>
      <c r="AZ14" s="2">
        <v>18.815329999999999</v>
      </c>
      <c r="BA14" s="2">
        <v>-2.5461499999999999</v>
      </c>
      <c r="BB14" s="2">
        <v>54.326700000000002</v>
      </c>
      <c r="BC14" s="2">
        <v>18.557929999999999</v>
      </c>
      <c r="BD14" s="3">
        <v>14.146000000000001</v>
      </c>
      <c r="BE14" s="2">
        <v>77.258600000000001</v>
      </c>
      <c r="BF14" s="3">
        <v>27.35</v>
      </c>
      <c r="BG14" s="2">
        <v>-8.3180960000000006</v>
      </c>
      <c r="BH14" s="2">
        <v>23.792840000000002</v>
      </c>
      <c r="BI14" s="2">
        <v>28.277100000000001</v>
      </c>
      <c r="BJ14" s="2">
        <v>28.882999999999999</v>
      </c>
      <c r="BK14" s="2">
        <v>27.65042</v>
      </c>
      <c r="BL14" s="2">
        <v>25</v>
      </c>
      <c r="BM14" s="2">
        <v>24</v>
      </c>
      <c r="BN14" s="4">
        <v>28</v>
      </c>
      <c r="BO14" s="4">
        <v>1</v>
      </c>
      <c r="BP14" s="4">
        <v>4</v>
      </c>
      <c r="BQ14" s="4">
        <v>21</v>
      </c>
      <c r="BR14" s="2">
        <v>3.8461539999999999</v>
      </c>
      <c r="BS14" s="4">
        <v>17</v>
      </c>
      <c r="BT14" s="4">
        <v>1</v>
      </c>
      <c r="BU14" s="4">
        <v>28</v>
      </c>
      <c r="BV14" s="2">
        <v>60.714289999999998</v>
      </c>
      <c r="BW14" s="2">
        <v>9.8460800000000006</v>
      </c>
      <c r="BX14" s="2">
        <v>3015.9259999999999</v>
      </c>
      <c r="BY14" s="3">
        <v>9.3916939999999993</v>
      </c>
      <c r="BZ14" s="3">
        <v>0.31140329999999999</v>
      </c>
      <c r="CA14" s="2">
        <v>1.5369999999999999</v>
      </c>
      <c r="CB14" s="3">
        <v>0.31021929999999998</v>
      </c>
      <c r="CC14" s="3">
        <v>5.3875359999999999</v>
      </c>
      <c r="CD14" s="3">
        <v>5.5271470000000003</v>
      </c>
      <c r="CE14" s="2">
        <v>2.5913719999999998</v>
      </c>
      <c r="CF14" s="3">
        <v>21774.2</v>
      </c>
      <c r="CG14" s="3">
        <v>21680.76</v>
      </c>
      <c r="CH14" s="2">
        <v>-0.42913560000000001</v>
      </c>
      <c r="CI14" s="3">
        <v>23.703279999999999</v>
      </c>
      <c r="CJ14" s="2">
        <v>13.697369999999999</v>
      </c>
      <c r="CK14" s="3">
        <v>192019.20000000001</v>
      </c>
      <c r="CL14" s="3">
        <v>189422.2</v>
      </c>
      <c r="CM14" s="2">
        <v>-1.352447</v>
      </c>
      <c r="CN14" s="3">
        <v>19.986750000000001</v>
      </c>
      <c r="CO14" s="3">
        <v>24.373329999999999</v>
      </c>
      <c r="CP14" s="3">
        <v>25.798069999999999</v>
      </c>
      <c r="CQ14" s="2">
        <v>25.458130000000001</v>
      </c>
      <c r="CR14" s="2">
        <v>2.8788450000000001</v>
      </c>
      <c r="CS14" s="2">
        <v>-2.8028189999999999</v>
      </c>
      <c r="CT14" s="2">
        <v>21.94746</v>
      </c>
      <c r="CU14" s="2">
        <v>200.46440000000001</v>
      </c>
      <c r="CV14" s="3">
        <v>0.26507920000000001</v>
      </c>
      <c r="CW14" s="2">
        <v>-18.574159999999999</v>
      </c>
      <c r="CX14" s="2">
        <v>0.33834769999999997</v>
      </c>
      <c r="CY14" s="2" t="e">
        <v>#N/A</v>
      </c>
      <c r="CZ14" s="2">
        <v>20.828279999999999</v>
      </c>
    </row>
    <row r="15" spans="1:104" ht="15" customHeight="1" x14ac:dyDescent="0.2">
      <c r="A15" s="1">
        <f t="shared" si="0"/>
        <v>9</v>
      </c>
      <c r="B15" s="1" t="s">
        <v>32</v>
      </c>
      <c r="C15" s="1" t="s">
        <v>31</v>
      </c>
      <c r="D15" s="1" t="s">
        <v>26</v>
      </c>
      <c r="E15" s="1" t="s">
        <v>10</v>
      </c>
      <c r="F15" s="1" t="s">
        <v>33</v>
      </c>
      <c r="G15" s="2">
        <v>56443.22</v>
      </c>
      <c r="H15" s="2">
        <v>99.999099999999999</v>
      </c>
      <c r="I15" s="2">
        <v>56442.71</v>
      </c>
      <c r="J15" s="3">
        <v>413.6</v>
      </c>
      <c r="K15" s="3">
        <v>0</v>
      </c>
      <c r="L15" s="2">
        <v>3.6266919999999998</v>
      </c>
      <c r="M15" s="2">
        <v>3.8684720000000001</v>
      </c>
      <c r="N15" s="2">
        <v>4.1102509999999999</v>
      </c>
      <c r="O15" s="2">
        <v>4.3520310000000002</v>
      </c>
      <c r="P15" s="2">
        <v>12.235620000000001</v>
      </c>
      <c r="Q15" s="2">
        <v>10.605130000000001</v>
      </c>
      <c r="R15" s="2">
        <v>9.6998890000000006</v>
      </c>
      <c r="S15" s="2">
        <v>8.8650739999999999</v>
      </c>
      <c r="T15" s="2">
        <v>9.1787200000000002</v>
      </c>
      <c r="U15" s="2">
        <v>8.1216530000000002</v>
      </c>
      <c r="V15" s="2">
        <v>7.6167930000000004</v>
      </c>
      <c r="W15" s="2" t="e">
        <v>#N/A</v>
      </c>
      <c r="X15" s="2">
        <v>1.8962909999999999</v>
      </c>
      <c r="Y15" s="2">
        <v>1.7544010000000001</v>
      </c>
      <c r="Z15" s="2">
        <v>1.6191040000000001</v>
      </c>
      <c r="AA15" s="2">
        <v>1.4931410000000001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>
        <v>3.649721</v>
      </c>
      <c r="AG15" s="2">
        <v>4.6442030000000001</v>
      </c>
      <c r="AH15" s="2" t="e">
        <v>#N/A</v>
      </c>
      <c r="AI15" s="2">
        <v>3.7236910000000001</v>
      </c>
      <c r="AJ15" s="2">
        <v>4.7383290000000002</v>
      </c>
      <c r="AK15" s="2">
        <v>0.26290029999999998</v>
      </c>
      <c r="AL15" s="3">
        <v>1.020772</v>
      </c>
      <c r="AM15" s="3">
        <v>0.92748459999999999</v>
      </c>
      <c r="AN15" s="2">
        <v>8.1668120000000002</v>
      </c>
      <c r="AO15" s="2">
        <v>10.282719999999999</v>
      </c>
      <c r="AP15" s="2">
        <v>10.751329999999999</v>
      </c>
      <c r="AQ15" s="2">
        <v>11.438230000000001</v>
      </c>
      <c r="AR15" s="2">
        <v>0.2006395</v>
      </c>
      <c r="AS15" s="2">
        <v>0.16133549999999999</v>
      </c>
      <c r="AT15" s="2">
        <v>0.15130650000000001</v>
      </c>
      <c r="AU15" s="2" t="e">
        <v>#N/A</v>
      </c>
      <c r="AV15" s="1" t="s">
        <v>17</v>
      </c>
      <c r="AW15" s="3">
        <v>1.5789470000000001</v>
      </c>
      <c r="AX15" s="3">
        <v>460</v>
      </c>
      <c r="AY15" s="2">
        <v>11.21857</v>
      </c>
      <c r="AZ15" s="2">
        <v>16.542950000000001</v>
      </c>
      <c r="BA15" s="2">
        <v>10.38172</v>
      </c>
      <c r="BB15" s="2">
        <v>25.40934</v>
      </c>
      <c r="BC15" s="2">
        <v>10.26393</v>
      </c>
      <c r="BD15" s="3">
        <v>318.8</v>
      </c>
      <c r="BE15" s="2">
        <v>29.736519999999999</v>
      </c>
      <c r="BF15" s="3">
        <v>454.1</v>
      </c>
      <c r="BG15" s="2">
        <v>-8.9187379999999994</v>
      </c>
      <c r="BH15" s="2">
        <v>44.047499999999999</v>
      </c>
      <c r="BI15" s="2">
        <v>41.234749999999998</v>
      </c>
      <c r="BJ15" s="2">
        <v>39.937130000000003</v>
      </c>
      <c r="BK15" s="2">
        <v>39.219410000000003</v>
      </c>
      <c r="BL15" s="2">
        <v>16</v>
      </c>
      <c r="BM15" s="2">
        <v>10</v>
      </c>
      <c r="BN15" s="4">
        <v>19</v>
      </c>
      <c r="BO15" s="4">
        <v>2</v>
      </c>
      <c r="BP15" s="4">
        <v>3</v>
      </c>
      <c r="BQ15" s="4">
        <v>15</v>
      </c>
      <c r="BR15" s="2">
        <v>10</v>
      </c>
      <c r="BS15" s="4">
        <v>10</v>
      </c>
      <c r="BT15" s="4">
        <v>2</v>
      </c>
      <c r="BU15" s="4">
        <v>19</v>
      </c>
      <c r="BV15" s="2">
        <v>52.63158</v>
      </c>
      <c r="BW15" s="2">
        <v>5.6746999999999996</v>
      </c>
      <c r="BX15" s="2">
        <v>136.46809999999999</v>
      </c>
      <c r="BY15" s="3">
        <v>0.26812350000000001</v>
      </c>
      <c r="BZ15" s="3">
        <v>0.19647329999999999</v>
      </c>
      <c r="CA15" s="2">
        <v>0.54947999999999997</v>
      </c>
      <c r="CB15" s="3">
        <v>0.19572629999999999</v>
      </c>
      <c r="CC15" s="3">
        <v>38.662730000000003</v>
      </c>
      <c r="CD15" s="3">
        <v>39.028570000000002</v>
      </c>
      <c r="CE15" s="2">
        <v>0.94624759999999997</v>
      </c>
      <c r="CF15" s="3">
        <v>6906.366</v>
      </c>
      <c r="CG15" s="3">
        <v>6994.1620000000003</v>
      </c>
      <c r="CH15" s="2">
        <v>1.271236</v>
      </c>
      <c r="CI15" s="3">
        <v>417.88159999999999</v>
      </c>
      <c r="CJ15" s="2">
        <v>10.079029999999999</v>
      </c>
      <c r="CK15" s="3">
        <v>67284.69</v>
      </c>
      <c r="CL15" s="3">
        <v>67035.91</v>
      </c>
      <c r="CM15" s="2">
        <v>-0.3697336</v>
      </c>
      <c r="CN15" s="3">
        <v>383.56470000000002</v>
      </c>
      <c r="CO15" s="3">
        <v>425.49610000000001</v>
      </c>
      <c r="CP15" s="3">
        <v>440.66919999999999</v>
      </c>
      <c r="CQ15" s="2">
        <v>7.8305600000000002</v>
      </c>
      <c r="CR15" s="2">
        <v>-2.7958210000000001</v>
      </c>
      <c r="CS15" s="2">
        <v>-6.142754</v>
      </c>
      <c r="CT15" s="2">
        <v>10.932029999999999</v>
      </c>
      <c r="CU15" s="2">
        <v>109.4498</v>
      </c>
      <c r="CV15" s="3">
        <v>0.19391120000000001</v>
      </c>
      <c r="CW15" s="2">
        <v>4.0156879999999999</v>
      </c>
      <c r="CX15" s="2">
        <v>7.5733600000000001</v>
      </c>
      <c r="CY15" s="2">
        <v>-49.339700000000001</v>
      </c>
      <c r="CZ15" s="2">
        <v>21.06061</v>
      </c>
    </row>
    <row r="16" spans="1:104" ht="15" customHeight="1" x14ac:dyDescent="0.2">
      <c r="A16" s="1">
        <f t="shared" si="0"/>
        <v>10</v>
      </c>
      <c r="B16" s="1" t="s">
        <v>35</v>
      </c>
      <c r="C16" s="1" t="s">
        <v>34</v>
      </c>
      <c r="D16" s="1" t="s">
        <v>26</v>
      </c>
      <c r="E16" s="1" t="s">
        <v>27</v>
      </c>
      <c r="F16" s="1" t="s">
        <v>28</v>
      </c>
      <c r="G16" s="2">
        <v>81500.210000000006</v>
      </c>
      <c r="H16" s="2">
        <v>80.328599999999994</v>
      </c>
      <c r="I16" s="2">
        <v>65467.98</v>
      </c>
      <c r="J16" s="3">
        <v>76.180000000000007</v>
      </c>
      <c r="K16" s="3">
        <v>0</v>
      </c>
      <c r="L16" s="2">
        <v>6.9572070000000004</v>
      </c>
      <c r="M16" s="2">
        <v>6.4337819999999999</v>
      </c>
      <c r="N16" s="2">
        <v>6.9572070000000004</v>
      </c>
      <c r="O16" s="2">
        <v>7.4166449999999999</v>
      </c>
      <c r="P16" s="2">
        <v>5.659732</v>
      </c>
      <c r="Q16" s="2">
        <v>6.3510580000000001</v>
      </c>
      <c r="R16" s="2">
        <v>6.1186949999999998</v>
      </c>
      <c r="S16" s="2">
        <v>5.4182079999999999</v>
      </c>
      <c r="T16" s="2">
        <v>1.3849</v>
      </c>
      <c r="U16" s="2">
        <v>2.226388</v>
      </c>
      <c r="V16" s="2">
        <v>2.2510330000000001</v>
      </c>
      <c r="W16" s="2">
        <v>1.899602</v>
      </c>
      <c r="X16" s="2">
        <v>0.86841469999999998</v>
      </c>
      <c r="Y16" s="2">
        <v>0.80326090000000006</v>
      </c>
      <c r="Z16" s="2">
        <v>0.74660649999999995</v>
      </c>
      <c r="AA16" s="2">
        <v>0.67505539999999997</v>
      </c>
      <c r="AB16" s="2">
        <v>4.0922409999999996</v>
      </c>
      <c r="AC16" s="2">
        <v>4.2323659999999999</v>
      </c>
      <c r="AD16" s="2">
        <v>4.3554029999999999</v>
      </c>
      <c r="AE16" s="2">
        <v>3.6574680000000002</v>
      </c>
      <c r="AF16" s="2">
        <v>16.46679</v>
      </c>
      <c r="AG16" s="2">
        <v>16.161999999999999</v>
      </c>
      <c r="AH16" s="2">
        <v>15.72681</v>
      </c>
      <c r="AI16" s="2">
        <v>10.55977</v>
      </c>
      <c r="AJ16" s="2">
        <v>10.537430000000001</v>
      </c>
      <c r="AK16" s="2">
        <v>9.4412610000000008</v>
      </c>
      <c r="AL16" s="3" t="e">
        <v>#N/A</v>
      </c>
      <c r="AM16" s="3" t="e">
        <v>#N/A</v>
      </c>
      <c r="AN16" s="2">
        <v>17.103079999999999</v>
      </c>
      <c r="AO16" s="2">
        <v>15.486330000000001</v>
      </c>
      <c r="AP16" s="2">
        <v>15.229649999999999</v>
      </c>
      <c r="AQ16" s="2">
        <v>16.036110000000001</v>
      </c>
      <c r="AR16" s="2">
        <v>-1.1687460000000001</v>
      </c>
      <c r="AS16" s="2">
        <v>-1.245417</v>
      </c>
      <c r="AT16" s="2">
        <v>-1.201535</v>
      </c>
      <c r="AU16" s="2">
        <v>-1.264667</v>
      </c>
      <c r="AV16" s="1" t="s">
        <v>6</v>
      </c>
      <c r="AW16" s="3">
        <v>1.478261</v>
      </c>
      <c r="AX16" s="3">
        <v>85</v>
      </c>
      <c r="AY16" s="2">
        <v>11.57784</v>
      </c>
      <c r="AZ16" s="2">
        <v>12.64767</v>
      </c>
      <c r="BA16" s="2">
        <v>-2.1097679999999999</v>
      </c>
      <c r="BB16" s="2">
        <v>12.326750000000001</v>
      </c>
      <c r="BC16" s="2">
        <v>21.790559999999999</v>
      </c>
      <c r="BD16" s="3">
        <v>55.08</v>
      </c>
      <c r="BE16" s="2">
        <v>38.307920000000003</v>
      </c>
      <c r="BF16" s="3">
        <v>77.45</v>
      </c>
      <c r="BG16" s="2">
        <v>-1.6397660000000001</v>
      </c>
      <c r="BH16" s="2">
        <v>38.716569999999997</v>
      </c>
      <c r="BI16" s="2">
        <v>41.965209999999999</v>
      </c>
      <c r="BJ16" s="2">
        <v>41.785980000000002</v>
      </c>
      <c r="BK16" s="2">
        <v>40.191870000000002</v>
      </c>
      <c r="BL16" s="2">
        <v>20</v>
      </c>
      <c r="BM16" s="2">
        <v>19</v>
      </c>
      <c r="BN16" s="4">
        <v>23</v>
      </c>
      <c r="BO16" s="4">
        <v>2</v>
      </c>
      <c r="BP16" s="4">
        <v>1</v>
      </c>
      <c r="BQ16" s="4">
        <v>20</v>
      </c>
      <c r="BR16" s="2">
        <v>8.6956520000000008</v>
      </c>
      <c r="BS16" s="4">
        <v>15</v>
      </c>
      <c r="BT16" s="4">
        <v>2</v>
      </c>
      <c r="BU16" s="4">
        <v>23</v>
      </c>
      <c r="BV16" s="2">
        <v>65.217389999999995</v>
      </c>
      <c r="BW16" s="2">
        <v>7.2781000000000002</v>
      </c>
      <c r="BX16" s="2">
        <v>1069.837</v>
      </c>
      <c r="BY16" s="3">
        <v>2.477986</v>
      </c>
      <c r="BZ16" s="3">
        <v>0.23162269999999999</v>
      </c>
      <c r="CA16" s="2">
        <v>1.0314000000000001</v>
      </c>
      <c r="CB16" s="3">
        <v>0.230742</v>
      </c>
      <c r="CC16" s="3">
        <v>11.81066</v>
      </c>
      <c r="CD16" s="3">
        <v>11.86795</v>
      </c>
      <c r="CE16" s="2">
        <v>0.48509839999999999</v>
      </c>
      <c r="CF16" s="3">
        <v>17085.59</v>
      </c>
      <c r="CG16" s="3">
        <v>16714.86</v>
      </c>
      <c r="CH16" s="2">
        <v>-2.1698529999999998</v>
      </c>
      <c r="CI16" s="3">
        <v>78.714290000000005</v>
      </c>
      <c r="CJ16" s="2">
        <v>7.9854849999999997</v>
      </c>
      <c r="CK16" s="3">
        <v>154120.6</v>
      </c>
      <c r="CL16" s="3">
        <v>151857.60000000001</v>
      </c>
      <c r="CM16" s="2">
        <v>-1.4683310000000001</v>
      </c>
      <c r="CN16" s="3">
        <v>66.062740000000005</v>
      </c>
      <c r="CO16" s="3">
        <v>70.66883</v>
      </c>
      <c r="CP16" s="3">
        <v>73.685770000000005</v>
      </c>
      <c r="CQ16" s="2">
        <v>15.31462</v>
      </c>
      <c r="CR16" s="2">
        <v>7.7985879999999996</v>
      </c>
      <c r="CS16" s="2">
        <v>3.38496</v>
      </c>
      <c r="CT16" s="2">
        <v>6.972289</v>
      </c>
      <c r="CU16" s="2">
        <v>178.03299999999999</v>
      </c>
      <c r="CV16" s="3">
        <v>0.21844479999999999</v>
      </c>
      <c r="CW16" s="2">
        <v>12.68047</v>
      </c>
      <c r="CX16" s="2">
        <v>2.5316079999999999</v>
      </c>
      <c r="CY16" s="2">
        <v>9.6169460000000004</v>
      </c>
      <c r="CZ16" s="2">
        <v>21.292929999999998</v>
      </c>
    </row>
    <row r="17" spans="1:104" ht="15" customHeight="1" x14ac:dyDescent="0.2">
      <c r="A17" s="1">
        <f t="shared" si="0"/>
        <v>11</v>
      </c>
      <c r="B17" s="1" t="s">
        <v>37</v>
      </c>
      <c r="C17" s="1" t="s">
        <v>36</v>
      </c>
      <c r="D17" s="1" t="s">
        <v>38</v>
      </c>
      <c r="E17" s="1" t="s">
        <v>20</v>
      </c>
      <c r="F17" s="1" t="s">
        <v>39</v>
      </c>
      <c r="G17" s="2">
        <v>86990.26</v>
      </c>
      <c r="H17" s="2">
        <v>81.8339</v>
      </c>
      <c r="I17" s="2">
        <v>71187.520000000004</v>
      </c>
      <c r="J17" s="3">
        <v>203.6</v>
      </c>
      <c r="K17" s="3">
        <v>0</v>
      </c>
      <c r="L17" s="2">
        <v>1.0805499999999999</v>
      </c>
      <c r="M17" s="2">
        <v>1.3998029999999999</v>
      </c>
      <c r="N17" s="2">
        <v>1.699411</v>
      </c>
      <c r="O17" s="2">
        <v>1.986289</v>
      </c>
      <c r="P17" s="2">
        <v>43.31915</v>
      </c>
      <c r="Q17" s="2">
        <v>29.33718</v>
      </c>
      <c r="R17" s="2">
        <v>24.26698</v>
      </c>
      <c r="S17" s="2">
        <v>21.03219</v>
      </c>
      <c r="T17" s="2">
        <v>16.018190000000001</v>
      </c>
      <c r="U17" s="2">
        <v>16.11637</v>
      </c>
      <c r="V17" s="2">
        <v>13.643219999999999</v>
      </c>
      <c r="W17" s="2">
        <v>11.91403</v>
      </c>
      <c r="X17" s="2">
        <v>7.3475640000000002</v>
      </c>
      <c r="Y17" s="2">
        <v>6.3203740000000002</v>
      </c>
      <c r="Z17" s="2">
        <v>5.4716480000000001</v>
      </c>
      <c r="AA17" s="2">
        <v>4.6484019999999999</v>
      </c>
      <c r="AB17" s="2">
        <v>24.528919999999999</v>
      </c>
      <c r="AC17" s="2">
        <v>19.949940000000002</v>
      </c>
      <c r="AD17" s="2">
        <v>17.152979999999999</v>
      </c>
      <c r="AE17" s="2">
        <v>15.31823</v>
      </c>
      <c r="AF17" s="2">
        <v>3.4487350000000001</v>
      </c>
      <c r="AG17" s="2">
        <v>3.902914</v>
      </c>
      <c r="AH17" s="2">
        <v>4.5902450000000004</v>
      </c>
      <c r="AI17" s="2">
        <v>3.388166</v>
      </c>
      <c r="AJ17" s="2">
        <v>3.7849400000000002</v>
      </c>
      <c r="AK17" s="2">
        <v>4.341869</v>
      </c>
      <c r="AL17" s="3">
        <v>1.193098</v>
      </c>
      <c r="AM17" s="3">
        <v>0.98778779999999999</v>
      </c>
      <c r="AN17" s="2">
        <v>18.233550000000001</v>
      </c>
      <c r="AO17" s="2">
        <v>19.349070000000001</v>
      </c>
      <c r="AP17" s="2">
        <v>19.807549999999999</v>
      </c>
      <c r="AQ17" s="2">
        <v>20.398240000000001</v>
      </c>
      <c r="AR17" s="2">
        <v>-8.8416079999999994E-2</v>
      </c>
      <c r="AS17" s="2">
        <v>-0.28810750000000002</v>
      </c>
      <c r="AT17" s="2">
        <v>-0.42524960000000001</v>
      </c>
      <c r="AU17" s="2">
        <v>-0.68154009999999998</v>
      </c>
      <c r="AV17" s="1" t="s">
        <v>40</v>
      </c>
      <c r="AW17" s="3">
        <v>1.575</v>
      </c>
      <c r="AX17" s="3">
        <v>200</v>
      </c>
      <c r="AY17" s="2">
        <v>-1.768178</v>
      </c>
      <c r="AZ17" s="2">
        <v>21.54391</v>
      </c>
      <c r="BA17" s="2">
        <v>24.654039999999998</v>
      </c>
      <c r="BB17" s="2">
        <v>49.244990000000001</v>
      </c>
      <c r="BC17" s="2">
        <v>27.68092</v>
      </c>
      <c r="BD17" s="3">
        <v>133.36000000000001</v>
      </c>
      <c r="BE17" s="2">
        <v>52.669460000000001</v>
      </c>
      <c r="BF17" s="3">
        <v>213.35</v>
      </c>
      <c r="BG17" s="2">
        <v>-4.5699540000000001</v>
      </c>
      <c r="BH17" s="2">
        <v>46.808509999999998</v>
      </c>
      <c r="BI17" s="2">
        <v>41.941040000000001</v>
      </c>
      <c r="BJ17" s="2">
        <v>41.873780000000004</v>
      </c>
      <c r="BK17" s="2">
        <v>42.310369999999999</v>
      </c>
      <c r="BL17" s="2">
        <v>18</v>
      </c>
      <c r="BM17" s="2">
        <v>17</v>
      </c>
      <c r="BN17" s="4">
        <v>20</v>
      </c>
      <c r="BO17" s="4">
        <v>0</v>
      </c>
      <c r="BP17" s="4">
        <v>3</v>
      </c>
      <c r="BQ17" s="4">
        <v>17</v>
      </c>
      <c r="BR17" s="2">
        <v>0</v>
      </c>
      <c r="BS17" s="4">
        <v>10</v>
      </c>
      <c r="BT17" s="4">
        <v>1</v>
      </c>
      <c r="BU17" s="4">
        <v>20</v>
      </c>
      <c r="BV17" s="2">
        <v>50</v>
      </c>
      <c r="BW17" s="2">
        <v>7.2199499999999999</v>
      </c>
      <c r="BX17" s="2">
        <v>427.26060000000001</v>
      </c>
      <c r="BY17" s="3">
        <v>0.51661869999999999</v>
      </c>
      <c r="BZ17" s="3">
        <v>0.1209142</v>
      </c>
      <c r="CA17" s="2">
        <v>1.0922400000000001</v>
      </c>
      <c r="CB17" s="3">
        <v>0.12045450000000001</v>
      </c>
      <c r="CC17" s="3">
        <v>6.6674300000000004</v>
      </c>
      <c r="CD17" s="3">
        <v>6.9326470000000002</v>
      </c>
      <c r="CE17" s="2">
        <v>3.9777990000000001</v>
      </c>
      <c r="CF17" s="3">
        <v>3946.0230000000001</v>
      </c>
      <c r="CG17" s="3">
        <v>4044.4369999999999</v>
      </c>
      <c r="CH17" s="2">
        <v>2.4940009999999999</v>
      </c>
      <c r="CI17" s="3">
        <v>179.22219999999999</v>
      </c>
      <c r="CJ17" s="2">
        <v>11.593310000000001</v>
      </c>
      <c r="CK17" s="3">
        <v>26586.84</v>
      </c>
      <c r="CL17" s="3">
        <v>27435.53</v>
      </c>
      <c r="CM17" s="2">
        <v>3.1921390000000001</v>
      </c>
      <c r="CN17" s="3">
        <v>163.13810000000001</v>
      </c>
      <c r="CO17" s="3">
        <v>193.97120000000001</v>
      </c>
      <c r="CP17" s="3">
        <v>204.0189</v>
      </c>
      <c r="CQ17" s="2">
        <v>24.80226</v>
      </c>
      <c r="CR17" s="2">
        <v>4.9640659999999999</v>
      </c>
      <c r="CS17" s="2">
        <v>-0.20530219999999999</v>
      </c>
      <c r="CT17" s="2">
        <v>18.899989999999999</v>
      </c>
      <c r="CU17" s="2">
        <v>83.489519999999999</v>
      </c>
      <c r="CV17" s="3">
        <v>9.597572E-2</v>
      </c>
      <c r="CW17" s="2" t="e">
        <v>#N/A</v>
      </c>
      <c r="CX17" s="2" t="e">
        <v>#N/A</v>
      </c>
      <c r="CY17" s="2" t="e">
        <v>#N/A</v>
      </c>
      <c r="CZ17" s="2">
        <v>21.383839999999999</v>
      </c>
    </row>
    <row r="18" spans="1:104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26</v>
      </c>
      <c r="E18" s="1" t="s">
        <v>10</v>
      </c>
      <c r="F18" s="1" t="s">
        <v>43</v>
      </c>
      <c r="G18" s="2">
        <v>103413.8</v>
      </c>
      <c r="H18" s="2">
        <v>99.559600000000003</v>
      </c>
      <c r="I18" s="2">
        <v>102958.39999999999</v>
      </c>
      <c r="J18" s="3">
        <v>264</v>
      </c>
      <c r="K18" s="3">
        <v>0</v>
      </c>
      <c r="L18" s="2">
        <v>5.2272730000000003</v>
      </c>
      <c r="M18" s="2">
        <v>5.5492419999999996</v>
      </c>
      <c r="N18" s="2">
        <v>5.9469700000000003</v>
      </c>
      <c r="O18" s="2">
        <v>6.348948</v>
      </c>
      <c r="P18" s="2">
        <v>11.67625</v>
      </c>
      <c r="Q18" s="2">
        <v>10.775510000000001</v>
      </c>
      <c r="R18" s="2">
        <v>9.9154929999999997</v>
      </c>
      <c r="S18" s="2">
        <v>9.2664089999999995</v>
      </c>
      <c r="T18" s="2">
        <v>6.9683890000000002</v>
      </c>
      <c r="U18" s="2">
        <v>7.2143800000000002</v>
      </c>
      <c r="V18" s="2">
        <v>6.8766439999999998</v>
      </c>
      <c r="W18" s="2" t="e">
        <v>#N/A</v>
      </c>
      <c r="X18" s="2">
        <v>1.856279</v>
      </c>
      <c r="Y18" s="2">
        <v>1.6803509999999999</v>
      </c>
      <c r="Z18" s="2">
        <v>1.575555</v>
      </c>
      <c r="AA18" s="2">
        <v>1.5260119999999999</v>
      </c>
      <c r="AB18" s="2" t="e">
        <v>#N/A</v>
      </c>
      <c r="AC18" s="2" t="e">
        <v>#N/A</v>
      </c>
      <c r="AD18" s="2" t="e">
        <v>#N/A</v>
      </c>
      <c r="AE18" s="2" t="e">
        <v>#N/A</v>
      </c>
      <c r="AF18" s="2">
        <v>7.6358410000000001</v>
      </c>
      <c r="AG18" s="2">
        <v>8.0933650000000004</v>
      </c>
      <c r="AH18" s="2" t="e">
        <v>#N/A</v>
      </c>
      <c r="AI18" s="2">
        <v>8.7979540000000007</v>
      </c>
      <c r="AJ18" s="2">
        <v>9.2456600000000009</v>
      </c>
      <c r="AK18" s="2">
        <v>10.152419999999999</v>
      </c>
      <c r="AL18" s="3">
        <v>0.97165939999999995</v>
      </c>
      <c r="AM18" s="3">
        <v>0.89482329999999999</v>
      </c>
      <c r="AN18" s="2">
        <v>9.6847300000000001</v>
      </c>
      <c r="AO18" s="2">
        <v>10.36739</v>
      </c>
      <c r="AP18" s="2">
        <v>10.411820000000001</v>
      </c>
      <c r="AQ18" s="2" t="e">
        <v>#N/A</v>
      </c>
      <c r="AR18" s="2">
        <v>0.91633600000000004</v>
      </c>
      <c r="AS18" s="2">
        <v>0.95293969999999995</v>
      </c>
      <c r="AT18" s="2">
        <v>0.85704230000000003</v>
      </c>
      <c r="AU18" s="2" t="e">
        <v>#N/A</v>
      </c>
      <c r="AV18" s="1" t="s">
        <v>6</v>
      </c>
      <c r="AW18" s="3">
        <v>1.325</v>
      </c>
      <c r="AX18" s="3">
        <v>276.5</v>
      </c>
      <c r="AY18" s="2">
        <v>4.7348499999999998</v>
      </c>
      <c r="AZ18" s="2">
        <v>15.59417</v>
      </c>
      <c r="BA18" s="2">
        <v>11.07239</v>
      </c>
      <c r="BB18" s="2">
        <v>22.02449</v>
      </c>
      <c r="BC18" s="2">
        <v>9.1134550000000001</v>
      </c>
      <c r="BD18" s="3">
        <v>198.6</v>
      </c>
      <c r="BE18" s="2">
        <v>32.930500000000002</v>
      </c>
      <c r="BF18" s="3">
        <v>280</v>
      </c>
      <c r="BG18" s="2">
        <v>-5.7142850000000003</v>
      </c>
      <c r="BH18" s="2">
        <v>61.034939999999999</v>
      </c>
      <c r="BI18" s="2">
        <v>59.613529999999997</v>
      </c>
      <c r="BJ18" s="2">
        <v>59.083930000000002</v>
      </c>
      <c r="BK18" s="2">
        <v>59.301749999999998</v>
      </c>
      <c r="BL18" s="2">
        <v>15</v>
      </c>
      <c r="BM18" s="2">
        <v>13</v>
      </c>
      <c r="BN18" s="4">
        <v>20</v>
      </c>
      <c r="BO18" s="4">
        <v>2</v>
      </c>
      <c r="BP18" s="4">
        <v>0</v>
      </c>
      <c r="BQ18" s="4">
        <v>19</v>
      </c>
      <c r="BR18" s="2">
        <v>9.523809</v>
      </c>
      <c r="BS18" s="4">
        <v>16</v>
      </c>
      <c r="BT18" s="4">
        <v>1</v>
      </c>
      <c r="BU18" s="4">
        <v>20</v>
      </c>
      <c r="BV18" s="2">
        <v>80</v>
      </c>
      <c r="BW18" s="2">
        <v>6.2155300000000002</v>
      </c>
      <c r="BX18" s="2">
        <v>391.71899999999999</v>
      </c>
      <c r="BY18" s="3">
        <v>0.78923290000000001</v>
      </c>
      <c r="BZ18" s="3">
        <v>0.2014794</v>
      </c>
      <c r="CA18" s="2">
        <v>0.82705300000000004</v>
      </c>
      <c r="CB18" s="3">
        <v>0.20071330000000001</v>
      </c>
      <c r="CC18" s="3">
        <v>25.557569999999998</v>
      </c>
      <c r="CD18" s="3">
        <v>24.538530000000002</v>
      </c>
      <c r="CE18" s="2">
        <v>-3.9872529999999999</v>
      </c>
      <c r="CF18" s="3">
        <v>15529.5</v>
      </c>
      <c r="CG18" s="3">
        <v>15369.75</v>
      </c>
      <c r="CH18" s="2">
        <v>-1.0286869999999999</v>
      </c>
      <c r="CI18" s="3">
        <v>261.41210000000001</v>
      </c>
      <c r="CJ18" s="2">
        <v>5.7716849999999997</v>
      </c>
      <c r="CK18" s="3">
        <v>162305.20000000001</v>
      </c>
      <c r="CL18" s="3">
        <v>161239.29999999999</v>
      </c>
      <c r="CM18" s="2">
        <v>-0.65675969999999995</v>
      </c>
      <c r="CN18" s="3">
        <v>235.4058</v>
      </c>
      <c r="CO18" s="3">
        <v>258.33330000000001</v>
      </c>
      <c r="CP18" s="3">
        <v>268.57690000000002</v>
      </c>
      <c r="CQ18" s="2">
        <v>12.14678</v>
      </c>
      <c r="CR18" s="2">
        <v>2.193546</v>
      </c>
      <c r="CS18" s="2">
        <v>-1.704121</v>
      </c>
      <c r="CT18" s="2">
        <v>9.7395899999999997</v>
      </c>
      <c r="CU18" s="2">
        <v>190.31729999999999</v>
      </c>
      <c r="CV18" s="3">
        <v>0.1840347</v>
      </c>
      <c r="CW18" s="2">
        <v>5.4343750000000002</v>
      </c>
      <c r="CX18" s="2" t="e">
        <v>#N/A</v>
      </c>
      <c r="CY18" s="2">
        <v>1.5154049999999999</v>
      </c>
      <c r="CZ18" s="2">
        <v>21.606059999999999</v>
      </c>
    </row>
    <row r="19" spans="1:104" ht="15" customHeight="1" x14ac:dyDescent="0.2">
      <c r="A19" s="1">
        <f t="shared" si="0"/>
        <v>13</v>
      </c>
      <c r="B19" s="1" t="s">
        <v>45</v>
      </c>
      <c r="C19" s="1" t="s">
        <v>44</v>
      </c>
      <c r="D19" s="1" t="s">
        <v>38</v>
      </c>
      <c r="E19" s="1" t="s">
        <v>46</v>
      </c>
      <c r="F19" s="1" t="s">
        <v>47</v>
      </c>
      <c r="G19" s="2">
        <v>37102.75</v>
      </c>
      <c r="H19" s="2">
        <v>90.349100000000007</v>
      </c>
      <c r="I19" s="2">
        <v>33522</v>
      </c>
      <c r="J19" s="3">
        <v>73.260000000000005</v>
      </c>
      <c r="K19" s="3">
        <v>0</v>
      </c>
      <c r="L19" s="2">
        <v>2.8665029999999998</v>
      </c>
      <c r="M19" s="2">
        <v>3.0166529999999998</v>
      </c>
      <c r="N19" s="2">
        <v>3.3169529999999998</v>
      </c>
      <c r="O19" s="2">
        <v>3.6301190000000001</v>
      </c>
      <c r="P19" s="2">
        <v>11.464790000000001</v>
      </c>
      <c r="Q19" s="2">
        <v>11.77814</v>
      </c>
      <c r="R19" s="2">
        <v>10.770049999999999</v>
      </c>
      <c r="S19" s="2">
        <v>9.8773099999999996</v>
      </c>
      <c r="T19" s="2">
        <v>5.8774420000000003</v>
      </c>
      <c r="U19" s="2">
        <v>6.190537</v>
      </c>
      <c r="V19" s="2">
        <v>5.7339789999999997</v>
      </c>
      <c r="W19" s="2">
        <v>5.2865520000000004</v>
      </c>
      <c r="X19" s="2">
        <v>1.589154</v>
      </c>
      <c r="Y19" s="2">
        <v>1.4657009999999999</v>
      </c>
      <c r="Z19" s="2">
        <v>1.3501110000000001</v>
      </c>
      <c r="AA19" s="2">
        <v>1.263539</v>
      </c>
      <c r="AB19" s="2">
        <v>7.1005560000000001</v>
      </c>
      <c r="AC19" s="2">
        <v>7.5457299999999998</v>
      </c>
      <c r="AD19" s="2">
        <v>7.2634059999999998</v>
      </c>
      <c r="AE19" s="2">
        <v>7.4070729999999996</v>
      </c>
      <c r="AF19" s="2">
        <v>6.9607510000000001</v>
      </c>
      <c r="AG19" s="2">
        <v>7.2659039999999999</v>
      </c>
      <c r="AH19" s="2">
        <v>8.1300519999999992</v>
      </c>
      <c r="AI19" s="2">
        <v>8.1131170000000008</v>
      </c>
      <c r="AJ19" s="2">
        <v>8.2080520000000003</v>
      </c>
      <c r="AK19" s="2">
        <v>8.8450480000000002</v>
      </c>
      <c r="AL19" s="3">
        <v>1.9955430000000001</v>
      </c>
      <c r="AM19" s="3">
        <v>1.8358749999999999</v>
      </c>
      <c r="AN19" s="2">
        <v>14.6035</v>
      </c>
      <c r="AO19" s="2">
        <v>14.93131</v>
      </c>
      <c r="AP19" s="2">
        <v>14.96453</v>
      </c>
      <c r="AQ19" s="2">
        <v>15.03041</v>
      </c>
      <c r="AR19" s="2">
        <v>1.055917</v>
      </c>
      <c r="AS19" s="2">
        <v>0.87928770000000001</v>
      </c>
      <c r="AT19" s="2">
        <v>0.65816520000000001</v>
      </c>
      <c r="AU19" s="2">
        <v>0.42734299999999997</v>
      </c>
      <c r="AV19" s="1" t="s">
        <v>6</v>
      </c>
      <c r="AW19" s="3">
        <v>1.1315789999999999</v>
      </c>
      <c r="AX19" s="3">
        <v>80</v>
      </c>
      <c r="AY19" s="2">
        <v>9.2001080000000002</v>
      </c>
      <c r="AZ19" s="2">
        <v>12.44426</v>
      </c>
      <c r="BA19" s="2">
        <v>5.8312670000000004</v>
      </c>
      <c r="BB19" s="2">
        <v>49.357810000000001</v>
      </c>
      <c r="BC19" s="2">
        <v>9.9009879999999999</v>
      </c>
      <c r="BD19" s="3">
        <v>48.87</v>
      </c>
      <c r="BE19" s="2">
        <v>49.907919999999997</v>
      </c>
      <c r="BF19" s="3">
        <v>74.86</v>
      </c>
      <c r="BG19" s="2">
        <v>-2.137321</v>
      </c>
      <c r="BH19" s="2">
        <v>32.743470000000002</v>
      </c>
      <c r="BI19" s="2">
        <v>35.681800000000003</v>
      </c>
      <c r="BJ19" s="2">
        <v>36.10707</v>
      </c>
      <c r="BK19" s="2">
        <v>36.219430000000003</v>
      </c>
      <c r="BL19" s="2">
        <v>18</v>
      </c>
      <c r="BM19" s="2">
        <v>17</v>
      </c>
      <c r="BN19" s="4">
        <v>19</v>
      </c>
      <c r="BO19" s="4">
        <v>2</v>
      </c>
      <c r="BP19" s="4">
        <v>1</v>
      </c>
      <c r="BQ19" s="4">
        <v>18</v>
      </c>
      <c r="BR19" s="2">
        <v>9.523809</v>
      </c>
      <c r="BS19" s="4">
        <v>17</v>
      </c>
      <c r="BT19" s="4">
        <v>0</v>
      </c>
      <c r="BU19" s="4">
        <v>19</v>
      </c>
      <c r="BV19" s="2">
        <v>89.473690000000005</v>
      </c>
      <c r="BW19" s="2">
        <v>8.5201700000000002</v>
      </c>
      <c r="BX19" s="2">
        <v>506.45299999999997</v>
      </c>
      <c r="BY19" s="3">
        <v>1.0186580000000001</v>
      </c>
      <c r="BZ19" s="3">
        <v>0.2011358</v>
      </c>
      <c r="CA19" s="2">
        <v>1.56111</v>
      </c>
      <c r="CB19" s="3">
        <v>0.20037099999999999</v>
      </c>
      <c r="CC19" s="3">
        <v>6.3878579999999996</v>
      </c>
      <c r="CD19" s="3">
        <v>6.2956820000000002</v>
      </c>
      <c r="CE19" s="2">
        <v>-1.442993</v>
      </c>
      <c r="CF19" s="3">
        <v>5080.4570000000003</v>
      </c>
      <c r="CG19" s="3">
        <v>5066.058</v>
      </c>
      <c r="CH19" s="2">
        <v>-0.2834082</v>
      </c>
      <c r="CI19" s="3">
        <v>73.476470000000006</v>
      </c>
      <c r="CJ19" s="2">
        <v>8.8783860000000008</v>
      </c>
      <c r="CK19" s="3">
        <v>48283.81</v>
      </c>
      <c r="CL19" s="3">
        <v>46920.49</v>
      </c>
      <c r="CM19" s="2">
        <v>-2.8235549999999998</v>
      </c>
      <c r="CN19" s="3">
        <v>61.483289999999997</v>
      </c>
      <c r="CO19" s="3">
        <v>69.573719999999994</v>
      </c>
      <c r="CP19" s="3">
        <v>70.846549999999993</v>
      </c>
      <c r="CQ19" s="2">
        <v>19.154319999999998</v>
      </c>
      <c r="CR19" s="2">
        <v>5.2983760000000002</v>
      </c>
      <c r="CS19" s="2">
        <v>3.406596</v>
      </c>
      <c r="CT19" s="2">
        <v>13.15875</v>
      </c>
      <c r="CU19" s="2">
        <v>64.107060000000004</v>
      </c>
      <c r="CV19" s="3">
        <v>0.17278250000000001</v>
      </c>
      <c r="CW19" s="2" t="e">
        <v>#N/A</v>
      </c>
      <c r="CX19" s="2">
        <v>-1.4271659999999999</v>
      </c>
      <c r="CY19" s="2" t="e">
        <v>#N/A</v>
      </c>
      <c r="CZ19" s="2">
        <v>21.85859</v>
      </c>
    </row>
    <row r="20" spans="1:104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26</v>
      </c>
      <c r="E20" s="1" t="s">
        <v>4</v>
      </c>
      <c r="F20" s="1" t="s">
        <v>5</v>
      </c>
      <c r="G20" s="2">
        <v>211818.7</v>
      </c>
      <c r="H20" s="2">
        <v>83.555400000000006</v>
      </c>
      <c r="I20" s="2">
        <v>176985.9</v>
      </c>
      <c r="J20" s="3">
        <v>172.42</v>
      </c>
      <c r="K20" s="3">
        <v>0</v>
      </c>
      <c r="L20" s="2">
        <v>1.246955</v>
      </c>
      <c r="M20" s="2">
        <v>1.279555</v>
      </c>
      <c r="N20" s="2">
        <v>1.362951</v>
      </c>
      <c r="O20" s="2">
        <v>1.461992</v>
      </c>
      <c r="P20" s="2">
        <v>34.415170000000003</v>
      </c>
      <c r="Q20" s="2">
        <v>37.637259999999998</v>
      </c>
      <c r="R20" s="2">
        <v>28.230239999999998</v>
      </c>
      <c r="S20" s="2">
        <v>23.651579999999999</v>
      </c>
      <c r="T20" s="2">
        <v>21.54138</v>
      </c>
      <c r="U20" s="2">
        <v>23.937819999999999</v>
      </c>
      <c r="V20" s="2">
        <v>18.425170000000001</v>
      </c>
      <c r="W20" s="2">
        <v>15.640219999999999</v>
      </c>
      <c r="X20" s="2">
        <v>4.6667009999999998</v>
      </c>
      <c r="Y20" s="2">
        <v>4.676431</v>
      </c>
      <c r="Z20" s="2">
        <v>4.338381</v>
      </c>
      <c r="AA20" s="2">
        <v>3.8794010000000001</v>
      </c>
      <c r="AB20" s="2">
        <v>32.798580000000001</v>
      </c>
      <c r="AC20" s="2">
        <v>41.150359999999999</v>
      </c>
      <c r="AD20" s="2">
        <v>22.198810000000002</v>
      </c>
      <c r="AE20" s="2">
        <v>19.329599999999999</v>
      </c>
      <c r="AF20" s="2">
        <v>1.892757</v>
      </c>
      <c r="AG20" s="2">
        <v>3.9303620000000001</v>
      </c>
      <c r="AH20" s="2">
        <v>4.6117030000000003</v>
      </c>
      <c r="AI20" s="2">
        <v>1.886609</v>
      </c>
      <c r="AJ20" s="2">
        <v>3.8270580000000001</v>
      </c>
      <c r="AK20" s="2">
        <v>4.3790870000000002</v>
      </c>
      <c r="AL20" s="3">
        <v>1.963948</v>
      </c>
      <c r="AM20" s="3">
        <v>1.551107</v>
      </c>
      <c r="AN20" s="2">
        <v>25.223030000000001</v>
      </c>
      <c r="AO20" s="2">
        <v>26.117139999999999</v>
      </c>
      <c r="AP20" s="2">
        <v>29.834759999999999</v>
      </c>
      <c r="AQ20" s="2">
        <v>30.530550000000002</v>
      </c>
      <c r="AR20" s="2">
        <v>-0.22766110000000001</v>
      </c>
      <c r="AS20" s="2">
        <v>-7.8004870000000004E-2</v>
      </c>
      <c r="AT20" s="2">
        <v>-0.49735190000000001</v>
      </c>
      <c r="AU20" s="2">
        <v>-0.83080270000000001</v>
      </c>
      <c r="AV20" s="1" t="s">
        <v>6</v>
      </c>
      <c r="AW20" s="3">
        <v>1.3518520000000001</v>
      </c>
      <c r="AX20" s="3">
        <v>190</v>
      </c>
      <c r="AY20" s="2">
        <v>10.19603</v>
      </c>
      <c r="AZ20" s="2">
        <v>12.425000000000001</v>
      </c>
      <c r="BA20" s="2">
        <v>19.682269999999999</v>
      </c>
      <c r="BB20" s="2">
        <v>47.367519999999999</v>
      </c>
      <c r="BC20" s="2">
        <v>23.616289999999999</v>
      </c>
      <c r="BD20" s="3">
        <v>113.1</v>
      </c>
      <c r="BE20" s="2">
        <v>52.449150000000003</v>
      </c>
      <c r="BF20" s="3">
        <v>184.48</v>
      </c>
      <c r="BG20" s="2">
        <v>-6.5372940000000002</v>
      </c>
      <c r="BH20" s="2">
        <v>41.329810000000002</v>
      </c>
      <c r="BI20" s="2">
        <v>43.39385</v>
      </c>
      <c r="BJ20" s="2">
        <v>36.899590000000003</v>
      </c>
      <c r="BK20" s="2">
        <v>41.047690000000003</v>
      </c>
      <c r="BL20" s="2">
        <v>28</v>
      </c>
      <c r="BM20" s="2">
        <v>25</v>
      </c>
      <c r="BN20" s="4">
        <v>27</v>
      </c>
      <c r="BO20" s="4">
        <v>2</v>
      </c>
      <c r="BP20" s="4">
        <v>2</v>
      </c>
      <c r="BQ20" s="4">
        <v>26</v>
      </c>
      <c r="BR20" s="2">
        <v>6.6666670000000003</v>
      </c>
      <c r="BS20" s="4">
        <v>21</v>
      </c>
      <c r="BT20" s="4">
        <v>2</v>
      </c>
      <c r="BU20" s="4">
        <v>27</v>
      </c>
      <c r="BV20" s="2">
        <v>77.777780000000007</v>
      </c>
      <c r="BW20" s="2">
        <v>7.4567500000000004</v>
      </c>
      <c r="BX20" s="2">
        <v>1228.5039999999999</v>
      </c>
      <c r="BY20" s="3">
        <v>1.6628719999999999</v>
      </c>
      <c r="BZ20" s="3">
        <v>0.13535749999999999</v>
      </c>
      <c r="CA20" s="2">
        <v>1.14514</v>
      </c>
      <c r="CB20" s="3">
        <v>0.13484280000000001</v>
      </c>
      <c r="CC20" s="3">
        <v>5.9528480000000004</v>
      </c>
      <c r="CD20" s="3">
        <v>4.9758300000000002</v>
      </c>
      <c r="CE20" s="2">
        <v>-16.41262</v>
      </c>
      <c r="CF20" s="3">
        <v>9528.7630000000008</v>
      </c>
      <c r="CG20" s="3">
        <v>8171.4210000000003</v>
      </c>
      <c r="CH20" s="2">
        <v>-14.244680000000001</v>
      </c>
      <c r="CI20" s="3">
        <v>150.17420000000001</v>
      </c>
      <c r="CJ20" s="2">
        <v>26.519749999999998</v>
      </c>
      <c r="CK20" s="3">
        <v>33783.43</v>
      </c>
      <c r="CL20" s="3">
        <v>33843.53</v>
      </c>
      <c r="CM20" s="2">
        <v>0.17788409999999999</v>
      </c>
      <c r="CN20" s="3">
        <v>142.29429999999999</v>
      </c>
      <c r="CO20" s="3">
        <v>172.1671</v>
      </c>
      <c r="CP20" s="3">
        <v>177.05</v>
      </c>
      <c r="CQ20" s="2">
        <v>21.17137</v>
      </c>
      <c r="CR20" s="2">
        <v>0.1469135</v>
      </c>
      <c r="CS20" s="2">
        <v>-2.615094</v>
      </c>
      <c r="CT20" s="2">
        <v>20.993600000000001</v>
      </c>
      <c r="CU20" s="2">
        <v>276.27690000000001</v>
      </c>
      <c r="CV20" s="3">
        <v>0.13043080000000001</v>
      </c>
      <c r="CW20" s="2">
        <v>-11.44712</v>
      </c>
      <c r="CX20" s="2">
        <v>1.4680850000000001</v>
      </c>
      <c r="CY20" s="2">
        <v>-7.9248479999999996E-2</v>
      </c>
      <c r="CZ20" s="2">
        <v>22.040400000000002</v>
      </c>
    </row>
    <row r="21" spans="1:104" ht="15" customHeight="1" x14ac:dyDescent="0.2">
      <c r="A21" s="1">
        <f t="shared" si="0"/>
        <v>15</v>
      </c>
      <c r="B21" s="1" t="s">
        <v>51</v>
      </c>
      <c r="C21" s="1" t="s">
        <v>50</v>
      </c>
      <c r="D21" s="1" t="s">
        <v>38</v>
      </c>
      <c r="E21" s="1" t="s">
        <v>10</v>
      </c>
      <c r="F21" s="1" t="s">
        <v>43</v>
      </c>
      <c r="G21" s="2">
        <v>76868.59</v>
      </c>
      <c r="H21" s="2">
        <v>91.801699999999997</v>
      </c>
      <c r="I21" s="2">
        <v>70566.67</v>
      </c>
      <c r="J21" s="3">
        <v>33.86</v>
      </c>
      <c r="K21" s="3">
        <v>0</v>
      </c>
      <c r="L21" s="2">
        <v>5.8476080000000001</v>
      </c>
      <c r="M21" s="2">
        <v>6.3201419999999997</v>
      </c>
      <c r="N21" s="2">
        <v>6.8224179999999999</v>
      </c>
      <c r="O21" s="2">
        <v>7.2209089999999998</v>
      </c>
      <c r="P21" s="2">
        <v>10.229609999999999</v>
      </c>
      <c r="Q21" s="2">
        <v>9.6087589999999992</v>
      </c>
      <c r="R21" s="2">
        <v>8.934037</v>
      </c>
      <c r="S21" s="2">
        <v>8.2338570000000004</v>
      </c>
      <c r="T21" s="2">
        <v>7.2438159999999998</v>
      </c>
      <c r="U21" s="2">
        <v>7.5480580000000002</v>
      </c>
      <c r="V21" s="2">
        <v>7.1612410000000004</v>
      </c>
      <c r="W21" s="2">
        <v>6.7486800000000002</v>
      </c>
      <c r="X21" s="2">
        <v>1.523973</v>
      </c>
      <c r="Y21" s="2">
        <v>1.461908</v>
      </c>
      <c r="Z21" s="2">
        <v>1.400145</v>
      </c>
      <c r="AA21" s="2">
        <v>1.3439749999999999</v>
      </c>
      <c r="AB21" s="2">
        <v>11.368650000000001</v>
      </c>
      <c r="AC21" s="2">
        <v>10.81879</v>
      </c>
      <c r="AD21" s="2">
        <v>9.8529040000000006</v>
      </c>
      <c r="AE21" s="2" t="e">
        <v>#N/A</v>
      </c>
      <c r="AF21" s="2">
        <v>5.7976890000000001</v>
      </c>
      <c r="AG21" s="2">
        <v>6.088012</v>
      </c>
      <c r="AH21" s="2">
        <v>6.3855449999999996</v>
      </c>
      <c r="AI21" s="2">
        <v>5.7986899999999997</v>
      </c>
      <c r="AJ21" s="2">
        <v>6.0891149999999996</v>
      </c>
      <c r="AK21" s="2">
        <v>6.3867589999999996</v>
      </c>
      <c r="AL21" s="3">
        <v>0.25045410000000001</v>
      </c>
      <c r="AM21" s="3">
        <v>0.2311105</v>
      </c>
      <c r="AN21" s="2">
        <v>8.9942919999999997</v>
      </c>
      <c r="AO21" s="2">
        <v>14.55828</v>
      </c>
      <c r="AP21" s="2">
        <v>14.9312</v>
      </c>
      <c r="AQ21" s="2">
        <v>16.27552</v>
      </c>
      <c r="AR21" s="2">
        <v>1.545392E-3</v>
      </c>
      <c r="AS21" s="2">
        <v>1.302421E-3</v>
      </c>
      <c r="AT21" s="2">
        <v>1.2974480000000001E-3</v>
      </c>
      <c r="AU21" s="2">
        <v>1.2838249999999999E-3</v>
      </c>
      <c r="AV21" s="1" t="s">
        <v>6</v>
      </c>
      <c r="AW21" s="3">
        <v>1.175</v>
      </c>
      <c r="AX21" s="3">
        <v>37</v>
      </c>
      <c r="AY21" s="2">
        <v>9.2734810000000003</v>
      </c>
      <c r="AZ21" s="2">
        <v>15.214320000000001</v>
      </c>
      <c r="BA21" s="2">
        <v>38.489490000000004</v>
      </c>
      <c r="BB21" s="2">
        <v>17.979099999999999</v>
      </c>
      <c r="BC21" s="2">
        <v>14.818580000000001</v>
      </c>
      <c r="BD21" s="3">
        <v>25.21</v>
      </c>
      <c r="BE21" s="2">
        <v>34.311779999999999</v>
      </c>
      <c r="BF21" s="3">
        <v>35.19</v>
      </c>
      <c r="BG21" s="2">
        <v>-3.779477</v>
      </c>
      <c r="BH21" s="2">
        <v>59.490209999999998</v>
      </c>
      <c r="BI21" s="2">
        <v>61.15643</v>
      </c>
      <c r="BJ21" s="2">
        <v>60.721409999999999</v>
      </c>
      <c r="BK21" s="2">
        <v>60.076900000000002</v>
      </c>
      <c r="BL21" s="2">
        <v>18</v>
      </c>
      <c r="BM21" s="2">
        <v>6</v>
      </c>
      <c r="BN21" s="4">
        <v>20</v>
      </c>
      <c r="BO21" s="4">
        <v>1</v>
      </c>
      <c r="BP21" s="4">
        <v>1</v>
      </c>
      <c r="BQ21" s="4">
        <v>18</v>
      </c>
      <c r="BR21" s="2">
        <v>5</v>
      </c>
      <c r="BS21" s="4">
        <v>18</v>
      </c>
      <c r="BT21" s="4">
        <v>0</v>
      </c>
      <c r="BU21" s="4">
        <v>20</v>
      </c>
      <c r="BV21" s="2">
        <v>90</v>
      </c>
      <c r="BW21" s="2">
        <v>6.0583299999999998</v>
      </c>
      <c r="BX21" s="2">
        <v>2270.1889999999999</v>
      </c>
      <c r="BY21" s="3">
        <v>3.2355990000000001</v>
      </c>
      <c r="BZ21" s="3">
        <v>0.1425255</v>
      </c>
      <c r="CA21" s="2">
        <v>0.89080700000000002</v>
      </c>
      <c r="CB21" s="3">
        <v>0.14198359999999999</v>
      </c>
      <c r="CC21" s="3">
        <v>3.6219109999999999</v>
      </c>
      <c r="CD21" s="3">
        <v>3.512502</v>
      </c>
      <c r="CE21" s="2">
        <v>-3.0207510000000002</v>
      </c>
      <c r="CF21" s="3">
        <v>8916.0280000000002</v>
      </c>
      <c r="CG21" s="3">
        <v>9338.9159999999993</v>
      </c>
      <c r="CH21" s="2">
        <v>4.743004</v>
      </c>
      <c r="CI21" s="3">
        <v>34.483530000000002</v>
      </c>
      <c r="CJ21" s="2">
        <v>7.2976109999999998</v>
      </c>
      <c r="CK21" s="3">
        <v>106604.5</v>
      </c>
      <c r="CL21" s="3">
        <v>65729.77</v>
      </c>
      <c r="CM21" s="2">
        <v>-38.342410000000001</v>
      </c>
      <c r="CN21" s="3">
        <v>29.447130000000001</v>
      </c>
      <c r="CO21" s="3">
        <v>32.759799999999998</v>
      </c>
      <c r="CP21" s="3">
        <v>34.198650000000001</v>
      </c>
      <c r="CQ21" s="2">
        <v>14.98573</v>
      </c>
      <c r="CR21" s="2">
        <v>3.3584000000000001</v>
      </c>
      <c r="CS21" s="2">
        <v>-0.99025370000000001</v>
      </c>
      <c r="CT21" s="2">
        <v>11.24953</v>
      </c>
      <c r="CU21" s="2">
        <v>98.494770000000003</v>
      </c>
      <c r="CV21" s="3">
        <v>0.128134</v>
      </c>
      <c r="CW21" s="2" t="e">
        <v>#N/A</v>
      </c>
      <c r="CX21" s="2" t="e">
        <v>#N/A</v>
      </c>
      <c r="CY21" s="2" t="e">
        <v>#N/A</v>
      </c>
      <c r="CZ21" s="2">
        <v>22.656559999999999</v>
      </c>
    </row>
    <row r="22" spans="1:104" ht="15" customHeight="1" x14ac:dyDescent="0.2">
      <c r="A22" s="1">
        <f t="shared" si="0"/>
        <v>16</v>
      </c>
      <c r="B22" s="1" t="s">
        <v>53</v>
      </c>
      <c r="C22" s="1" t="s">
        <v>52</v>
      </c>
      <c r="D22" s="1" t="s">
        <v>38</v>
      </c>
      <c r="E22" s="1" t="s">
        <v>54</v>
      </c>
      <c r="F22" s="1" t="s">
        <v>55</v>
      </c>
      <c r="G22" s="2">
        <v>67475.520000000004</v>
      </c>
      <c r="H22" s="2">
        <v>82.329599999999999</v>
      </c>
      <c r="I22" s="2">
        <v>55552.32</v>
      </c>
      <c r="J22" s="3">
        <v>114.55</v>
      </c>
      <c r="K22" s="3">
        <v>0</v>
      </c>
      <c r="L22" s="2">
        <v>3.9284159999999999</v>
      </c>
      <c r="M22" s="2">
        <v>4.264513</v>
      </c>
      <c r="N22" s="2">
        <v>4.6437340000000003</v>
      </c>
      <c r="O22" s="2">
        <v>4.9950789999999996</v>
      </c>
      <c r="P22" s="2">
        <v>14.00367</v>
      </c>
      <c r="Q22" s="2">
        <v>13.27347</v>
      </c>
      <c r="R22" s="2">
        <v>12.173220000000001</v>
      </c>
      <c r="S22" s="2">
        <v>11.44356</v>
      </c>
      <c r="T22" s="2">
        <v>7.0290049999999997</v>
      </c>
      <c r="U22" s="2">
        <v>6.6621240000000004</v>
      </c>
      <c r="V22" s="2">
        <v>6.2342969999999998</v>
      </c>
      <c r="W22" s="2">
        <v>5.8017050000000001</v>
      </c>
      <c r="X22" s="2">
        <v>2.317914</v>
      </c>
      <c r="Y22" s="2">
        <v>2.1388859999999998</v>
      </c>
      <c r="Z22" s="2">
        <v>1.970966</v>
      </c>
      <c r="AA22" s="2">
        <v>1.8096369999999999</v>
      </c>
      <c r="AB22" s="2">
        <v>7.3603319999999997</v>
      </c>
      <c r="AC22" s="2">
        <v>7.7915809999999999</v>
      </c>
      <c r="AD22" s="2">
        <v>7.3574700000000002</v>
      </c>
      <c r="AE22" s="2">
        <v>6.918005</v>
      </c>
      <c r="AF22" s="2">
        <v>6.3063130000000003</v>
      </c>
      <c r="AG22" s="2">
        <v>6.9373779999999998</v>
      </c>
      <c r="AH22" s="2">
        <v>5.4835180000000001</v>
      </c>
      <c r="AI22" s="2">
        <v>7.7237390000000001</v>
      </c>
      <c r="AJ22" s="2">
        <v>8.3261800000000008</v>
      </c>
      <c r="AK22" s="2">
        <v>6.3650589999999996</v>
      </c>
      <c r="AL22" s="3">
        <v>2.6000969999999999</v>
      </c>
      <c r="AM22" s="3">
        <v>2.4239790000000001</v>
      </c>
      <c r="AN22" s="2">
        <v>17.379930000000002</v>
      </c>
      <c r="AO22" s="2">
        <v>17.280449999999998</v>
      </c>
      <c r="AP22" s="2">
        <v>17.425719999999998</v>
      </c>
      <c r="AQ22" s="2">
        <v>17.536570000000001</v>
      </c>
      <c r="AR22" s="2">
        <v>1.348295</v>
      </c>
      <c r="AS22" s="2">
        <v>1.2226030000000001</v>
      </c>
      <c r="AT22" s="2">
        <v>1.0398769999999999</v>
      </c>
      <c r="AU22" s="2">
        <v>0.80351850000000002</v>
      </c>
      <c r="AV22" s="1" t="s">
        <v>6</v>
      </c>
      <c r="AW22" s="3">
        <v>1.3095239999999999</v>
      </c>
      <c r="AX22" s="3">
        <v>135</v>
      </c>
      <c r="AY22" s="2">
        <v>17.852460000000001</v>
      </c>
      <c r="AZ22" s="2">
        <v>16.114000000000001</v>
      </c>
      <c r="BA22" s="2">
        <v>5.0426739999999999</v>
      </c>
      <c r="BB22" s="2">
        <v>6.8962339999999998</v>
      </c>
      <c r="BC22" s="2">
        <v>0.74758530000000001</v>
      </c>
      <c r="BD22" s="3">
        <v>98.49</v>
      </c>
      <c r="BE22" s="2">
        <v>16.306229999999999</v>
      </c>
      <c r="BF22" s="3">
        <v>120.62</v>
      </c>
      <c r="BG22" s="2">
        <v>-5.0323310000000001</v>
      </c>
      <c r="BH22" s="2">
        <v>55.328029999999998</v>
      </c>
      <c r="BI22" s="2">
        <v>56.134239999999998</v>
      </c>
      <c r="BJ22" s="2">
        <v>56.87106</v>
      </c>
      <c r="BK22" s="2">
        <v>57.29918</v>
      </c>
      <c r="BL22" s="2">
        <v>17</v>
      </c>
      <c r="BM22" s="2">
        <v>16</v>
      </c>
      <c r="BN22" s="4">
        <v>21</v>
      </c>
      <c r="BO22" s="4">
        <v>0</v>
      </c>
      <c r="BP22" s="4">
        <v>0</v>
      </c>
      <c r="BQ22" s="4">
        <v>21</v>
      </c>
      <c r="BR22" s="2">
        <v>0</v>
      </c>
      <c r="BS22" s="4">
        <v>17</v>
      </c>
      <c r="BT22" s="4">
        <v>2</v>
      </c>
      <c r="BU22" s="4">
        <v>21</v>
      </c>
      <c r="BV22" s="2">
        <v>80.952380000000005</v>
      </c>
      <c r="BW22" s="2">
        <v>5.2101600000000001</v>
      </c>
      <c r="BX22" s="2">
        <v>589.04859999999996</v>
      </c>
      <c r="BY22" s="3">
        <v>0.70740890000000001</v>
      </c>
      <c r="BZ22" s="3">
        <v>0.12009350000000001</v>
      </c>
      <c r="CA22" s="2">
        <v>0.931898</v>
      </c>
      <c r="CB22" s="3">
        <v>0.1196368</v>
      </c>
      <c r="CC22" s="3">
        <v>8.7740310000000008</v>
      </c>
      <c r="CD22" s="3">
        <v>8.7366449999999993</v>
      </c>
      <c r="CE22" s="2">
        <v>-0.42609570000000002</v>
      </c>
      <c r="CF22" s="3">
        <v>8600.5409999999993</v>
      </c>
      <c r="CG22" s="3">
        <v>8697.1970000000001</v>
      </c>
      <c r="CH22" s="2">
        <v>1.123834</v>
      </c>
      <c r="CI22" s="3">
        <v>129.36840000000001</v>
      </c>
      <c r="CJ22" s="2">
        <v>4.3531300000000002</v>
      </c>
      <c r="CK22" s="3">
        <v>70361.17</v>
      </c>
      <c r="CL22" s="3">
        <v>71785.77</v>
      </c>
      <c r="CM22" s="2">
        <v>2.0246979999999999</v>
      </c>
      <c r="CN22" s="3">
        <v>110.0081</v>
      </c>
      <c r="CO22" s="3">
        <v>117.0027</v>
      </c>
      <c r="CP22" s="3">
        <v>117.51309999999999</v>
      </c>
      <c r="CQ22" s="2">
        <v>4.1286589999999999</v>
      </c>
      <c r="CR22" s="2">
        <v>-2.0962890000000001</v>
      </c>
      <c r="CS22" s="2">
        <v>-2.5214850000000002</v>
      </c>
      <c r="CT22" s="2">
        <v>6.3582299999999998</v>
      </c>
      <c r="CU22" s="2">
        <v>77.872889999999998</v>
      </c>
      <c r="CV22" s="3">
        <v>0.1154091</v>
      </c>
      <c r="CW22" s="2" t="e">
        <v>#N/A</v>
      </c>
      <c r="CX22" s="2">
        <v>2.900271</v>
      </c>
      <c r="CY22" s="2" t="e">
        <v>#N/A</v>
      </c>
      <c r="CZ22" s="2">
        <v>22.979800000000001</v>
      </c>
    </row>
    <row r="23" spans="1:104" ht="15" customHeight="1" x14ac:dyDescent="0.2">
      <c r="A23" s="1">
        <f t="shared" si="0"/>
        <v>17</v>
      </c>
      <c r="B23" s="1" t="s">
        <v>57</v>
      </c>
      <c r="C23" s="1" t="s">
        <v>56</v>
      </c>
      <c r="D23" s="1" t="s">
        <v>38</v>
      </c>
      <c r="E23" s="1" t="s">
        <v>20</v>
      </c>
      <c r="F23" s="1" t="s">
        <v>39</v>
      </c>
      <c r="G23" s="2">
        <v>130473.3</v>
      </c>
      <c r="H23" s="2">
        <v>74.107900000000001</v>
      </c>
      <c r="I23" s="2">
        <v>96691.01</v>
      </c>
      <c r="J23" s="3">
        <v>164.68</v>
      </c>
      <c r="K23" s="3">
        <v>0</v>
      </c>
      <c r="L23" s="2">
        <v>1.0960650000000001</v>
      </c>
      <c r="M23" s="2">
        <v>1.4877339999999999</v>
      </c>
      <c r="N23" s="2">
        <v>1.83341</v>
      </c>
      <c r="O23" s="2">
        <v>2.3233320000000002</v>
      </c>
      <c r="P23" s="2">
        <v>29.407139999999998</v>
      </c>
      <c r="Q23" s="2">
        <v>24.65269</v>
      </c>
      <c r="R23" s="2">
        <v>20.052019999999999</v>
      </c>
      <c r="S23" s="2">
        <v>15.981389999999999</v>
      </c>
      <c r="T23" s="2">
        <v>12.34708</v>
      </c>
      <c r="U23" s="2">
        <v>12.32371</v>
      </c>
      <c r="V23" s="2">
        <v>10.08995</v>
      </c>
      <c r="W23" s="2">
        <v>8.1494769999999992</v>
      </c>
      <c r="X23" s="2">
        <v>7.3349849999999996</v>
      </c>
      <c r="Y23" s="2">
        <v>6.2331560000000001</v>
      </c>
      <c r="Z23" s="2">
        <v>5.1142849999999997</v>
      </c>
      <c r="AA23" s="2">
        <v>4.1543890000000001</v>
      </c>
      <c r="AB23" s="2">
        <v>21.43309</v>
      </c>
      <c r="AC23" s="2">
        <v>17.258990000000001</v>
      </c>
      <c r="AD23" s="2">
        <v>14.25604</v>
      </c>
      <c r="AE23" s="2">
        <v>11.946899999999999</v>
      </c>
      <c r="AF23" s="2">
        <v>3.6947670000000001</v>
      </c>
      <c r="AG23" s="2">
        <v>5.5044940000000002</v>
      </c>
      <c r="AH23" s="2">
        <v>6.6947029999999996</v>
      </c>
      <c r="AI23" s="2">
        <v>3.3450229999999999</v>
      </c>
      <c r="AJ23" s="2">
        <v>4.8340079999999999</v>
      </c>
      <c r="AK23" s="2">
        <v>5.7123549999999996</v>
      </c>
      <c r="AL23" s="3">
        <v>1.0561799999999999</v>
      </c>
      <c r="AM23" s="3">
        <v>0.85001439999999995</v>
      </c>
      <c r="AN23" s="2">
        <v>12.34606</v>
      </c>
      <c r="AO23" s="2">
        <v>13.316750000000001</v>
      </c>
      <c r="AP23" s="2">
        <v>14.00128</v>
      </c>
      <c r="AQ23" s="2">
        <v>15.008559999999999</v>
      </c>
      <c r="AR23" s="2">
        <v>-1.327475</v>
      </c>
      <c r="AS23" s="2">
        <v>-1.288524</v>
      </c>
      <c r="AT23" s="2">
        <v>-1.3994949999999999</v>
      </c>
      <c r="AU23" s="2">
        <v>-1.401457</v>
      </c>
      <c r="AV23" s="1" t="s">
        <v>6</v>
      </c>
      <c r="AW23" s="3">
        <v>1.2826090000000001</v>
      </c>
      <c r="AX23" s="3">
        <v>173</v>
      </c>
      <c r="AY23" s="2">
        <v>5.0522330000000002</v>
      </c>
      <c r="AZ23" s="2">
        <v>25.28388</v>
      </c>
      <c r="BA23" s="2">
        <v>23.438040000000001</v>
      </c>
      <c r="BB23" s="2">
        <v>30.511959999999998</v>
      </c>
      <c r="BC23" s="2">
        <v>17.81371</v>
      </c>
      <c r="BD23" s="3">
        <v>120.08</v>
      </c>
      <c r="BE23" s="2">
        <v>37.1419</v>
      </c>
      <c r="BF23" s="3">
        <v>172.78</v>
      </c>
      <c r="BG23" s="2">
        <v>-4.6880480000000002</v>
      </c>
      <c r="BH23" s="2">
        <v>39.150959999999998</v>
      </c>
      <c r="BI23" s="2">
        <v>36.057989999999997</v>
      </c>
      <c r="BJ23" s="2">
        <v>36.362990000000003</v>
      </c>
      <c r="BK23" s="2">
        <v>37.20308</v>
      </c>
      <c r="BL23" s="2">
        <v>19</v>
      </c>
      <c r="BM23" s="2">
        <v>20</v>
      </c>
      <c r="BN23" s="4">
        <v>23</v>
      </c>
      <c r="BO23" s="4">
        <v>1</v>
      </c>
      <c r="BP23" s="4">
        <v>1</v>
      </c>
      <c r="BQ23" s="4">
        <v>20</v>
      </c>
      <c r="BR23" s="2">
        <v>4.5454549999999996</v>
      </c>
      <c r="BS23" s="4">
        <v>19</v>
      </c>
      <c r="BT23" s="4">
        <v>1</v>
      </c>
      <c r="BU23" s="4">
        <v>23</v>
      </c>
      <c r="BV23" s="2">
        <v>82.608699999999999</v>
      </c>
      <c r="BW23" s="2">
        <v>7.3757000000000001</v>
      </c>
      <c r="BX23" s="2">
        <v>792.28369999999995</v>
      </c>
      <c r="BY23" s="3">
        <v>0.86212679999999997</v>
      </c>
      <c r="BZ23" s="3">
        <v>0.10881540000000001</v>
      </c>
      <c r="CA23" s="2">
        <v>1.19737</v>
      </c>
      <c r="CB23" s="3">
        <v>0.1084017</v>
      </c>
      <c r="CC23" s="3">
        <v>6.8117330000000003</v>
      </c>
      <c r="CD23" s="3">
        <v>6.6524530000000004</v>
      </c>
      <c r="CE23" s="2">
        <v>-2.338314</v>
      </c>
      <c r="CF23" s="3">
        <v>7299.5690000000004</v>
      </c>
      <c r="CG23" s="3">
        <v>6982.1580000000004</v>
      </c>
      <c r="CH23" s="2">
        <v>-4.3483499999999999</v>
      </c>
      <c r="CI23" s="3">
        <v>157.6019</v>
      </c>
      <c r="CJ23" s="2">
        <v>9.7702869999999997</v>
      </c>
      <c r="CK23" s="3">
        <v>71496.23</v>
      </c>
      <c r="CL23" s="3">
        <v>71617.11</v>
      </c>
      <c r="CM23" s="2">
        <v>0.16907449999999999</v>
      </c>
      <c r="CN23" s="3">
        <v>139.52070000000001</v>
      </c>
      <c r="CO23" s="3">
        <v>157.44</v>
      </c>
      <c r="CP23" s="3">
        <v>165.27</v>
      </c>
      <c r="CQ23" s="2">
        <v>18.032679999999999</v>
      </c>
      <c r="CR23" s="2">
        <v>4.5985579999999997</v>
      </c>
      <c r="CS23" s="2">
        <v>-0.35699009999999998</v>
      </c>
      <c r="CT23" s="2">
        <v>12.843500000000001</v>
      </c>
      <c r="CU23" s="2">
        <v>127.90130000000001</v>
      </c>
      <c r="CV23" s="3">
        <v>9.8028729999999994E-2</v>
      </c>
      <c r="CW23" s="2">
        <v>5.3860140000000003</v>
      </c>
      <c r="CX23" s="2">
        <v>1.1539379999999999</v>
      </c>
      <c r="CY23" s="2">
        <v>-2.0513409999999999</v>
      </c>
      <c r="CZ23" s="2">
        <v>23.0505</v>
      </c>
    </row>
    <row r="24" spans="1:104" ht="15" customHeight="1" x14ac:dyDescent="0.2">
      <c r="A24" s="1">
        <f t="shared" si="0"/>
        <v>18</v>
      </c>
      <c r="B24" s="1" t="s">
        <v>59</v>
      </c>
      <c r="C24" s="1" t="s">
        <v>58</v>
      </c>
      <c r="D24" s="1" t="s">
        <v>26</v>
      </c>
      <c r="E24" s="1" t="s">
        <v>27</v>
      </c>
      <c r="F24" s="1" t="s">
        <v>28</v>
      </c>
      <c r="G24" s="2">
        <v>66009.73</v>
      </c>
      <c r="H24" s="2">
        <v>48.322299999999998</v>
      </c>
      <c r="I24" s="2">
        <v>31897.42</v>
      </c>
      <c r="J24" s="3">
        <v>113.85</v>
      </c>
      <c r="K24" s="3">
        <v>0</v>
      </c>
      <c r="L24" s="2">
        <v>5.270092</v>
      </c>
      <c r="M24" s="2">
        <v>5.0109789999999998</v>
      </c>
      <c r="N24" s="2">
        <v>5.1228069999999999</v>
      </c>
      <c r="O24" s="2">
        <v>5.270092</v>
      </c>
      <c r="P24" s="2">
        <v>6.4431240000000001</v>
      </c>
      <c r="Q24" s="2">
        <v>6.7247490000000001</v>
      </c>
      <c r="R24" s="2">
        <v>6.8214499999999996</v>
      </c>
      <c r="S24" s="2">
        <v>6.6704470000000002</v>
      </c>
      <c r="T24" s="2">
        <v>1.811979</v>
      </c>
      <c r="U24" s="2">
        <v>2.1368809999999998</v>
      </c>
      <c r="V24" s="2">
        <v>2.066989</v>
      </c>
      <c r="W24" s="2">
        <v>1.8770439999999999</v>
      </c>
      <c r="X24" s="2">
        <v>0.80836410000000003</v>
      </c>
      <c r="Y24" s="2">
        <v>0.74058409999999997</v>
      </c>
      <c r="Z24" s="2">
        <v>0.69014640000000005</v>
      </c>
      <c r="AA24" s="2">
        <v>0.65267620000000004</v>
      </c>
      <c r="AB24" s="2">
        <v>4.1141719999999999</v>
      </c>
      <c r="AC24" s="2">
        <v>3.9446629999999998</v>
      </c>
      <c r="AD24" s="2">
        <v>3.8231120000000001</v>
      </c>
      <c r="AE24" s="2">
        <v>4.1949149999999999</v>
      </c>
      <c r="AF24" s="2">
        <v>13.82014</v>
      </c>
      <c r="AG24" s="2">
        <v>16.41855</v>
      </c>
      <c r="AH24" s="2">
        <v>17.18083</v>
      </c>
      <c r="AI24" s="2">
        <v>9.9600109999999997</v>
      </c>
      <c r="AJ24" s="2">
        <v>11.33502</v>
      </c>
      <c r="AK24" s="2">
        <v>10.978680000000001</v>
      </c>
      <c r="AL24" s="3" t="e">
        <v>#N/A</v>
      </c>
      <c r="AM24" s="3" t="e">
        <v>#N/A</v>
      </c>
      <c r="AN24" s="2">
        <v>17.656590000000001</v>
      </c>
      <c r="AO24" s="2">
        <v>16.02543</v>
      </c>
      <c r="AP24" s="2">
        <v>15.49818</v>
      </c>
      <c r="AQ24" s="2">
        <v>15.515309999999999</v>
      </c>
      <c r="AR24" s="2">
        <v>-0.50925120000000001</v>
      </c>
      <c r="AS24" s="2">
        <v>-0.73353060000000003</v>
      </c>
      <c r="AT24" s="2">
        <v>-0.81696440000000004</v>
      </c>
      <c r="AU24" s="2">
        <v>-0.9256856</v>
      </c>
      <c r="AV24" s="1" t="s">
        <v>40</v>
      </c>
      <c r="AW24" s="3">
        <v>1.6136360000000001</v>
      </c>
      <c r="AX24" s="3">
        <v>114</v>
      </c>
      <c r="AY24" s="2">
        <v>0.13175010000000001</v>
      </c>
      <c r="AZ24" s="2">
        <v>11.01281</v>
      </c>
      <c r="BA24" s="2">
        <v>-2.526783</v>
      </c>
      <c r="BB24" s="2">
        <v>15.443110000000001</v>
      </c>
      <c r="BC24" s="2">
        <v>12.96884</v>
      </c>
      <c r="BD24" s="3">
        <v>86.8</v>
      </c>
      <c r="BE24" s="2">
        <v>31.163589999999999</v>
      </c>
      <c r="BF24" s="3">
        <v>115.25</v>
      </c>
      <c r="BG24" s="2">
        <v>-1.214755</v>
      </c>
      <c r="BH24" s="2">
        <v>33.649120000000003</v>
      </c>
      <c r="BI24" s="2">
        <v>34.076779999999999</v>
      </c>
      <c r="BJ24" s="2">
        <v>34.668489999999998</v>
      </c>
      <c r="BK24" s="2">
        <v>34.570129999999999</v>
      </c>
      <c r="BL24" s="2">
        <v>19</v>
      </c>
      <c r="BM24" s="2">
        <v>20</v>
      </c>
      <c r="BN24" s="4">
        <v>22</v>
      </c>
      <c r="BO24" s="4">
        <v>1</v>
      </c>
      <c r="BP24" s="4">
        <v>0</v>
      </c>
      <c r="BQ24" s="4">
        <v>19</v>
      </c>
      <c r="BR24" s="2">
        <v>5</v>
      </c>
      <c r="BS24" s="4">
        <v>11</v>
      </c>
      <c r="BT24" s="4">
        <v>1</v>
      </c>
      <c r="BU24" s="4">
        <v>22</v>
      </c>
      <c r="BV24" s="2">
        <v>50</v>
      </c>
      <c r="BW24" s="2">
        <v>6.8306399999999998</v>
      </c>
      <c r="BX24" s="2">
        <v>579.79570000000001</v>
      </c>
      <c r="BY24" s="3">
        <v>0.95936589999999999</v>
      </c>
      <c r="BZ24" s="3">
        <v>0.16546620000000001</v>
      </c>
      <c r="CA24" s="2">
        <v>1.0890599999999999</v>
      </c>
      <c r="CB24" s="3">
        <v>0.16483700000000001</v>
      </c>
      <c r="CC24" s="3">
        <v>16.353840000000002</v>
      </c>
      <c r="CD24" s="3">
        <v>16.91489</v>
      </c>
      <c r="CE24" s="2">
        <v>3.430688</v>
      </c>
      <c r="CF24" s="3">
        <v>15164.21</v>
      </c>
      <c r="CG24" s="3">
        <v>15674.65</v>
      </c>
      <c r="CH24" s="2">
        <v>3.3661129999999999</v>
      </c>
      <c r="CI24" s="3">
        <v>107.30540000000001</v>
      </c>
      <c r="CJ24" s="2">
        <v>6.2388060000000003</v>
      </c>
      <c r="CK24" s="3">
        <v>153727.29999999999</v>
      </c>
      <c r="CL24" s="3">
        <v>156457.79999999999</v>
      </c>
      <c r="CM24" s="2">
        <v>1.776135</v>
      </c>
      <c r="CN24" s="3">
        <v>100.238</v>
      </c>
      <c r="CO24" s="3">
        <v>105.4639</v>
      </c>
      <c r="CP24" s="3">
        <v>108.06619999999999</v>
      </c>
      <c r="CQ24" s="2">
        <v>13.57963</v>
      </c>
      <c r="CR24" s="2">
        <v>7.9516049999999998</v>
      </c>
      <c r="CS24" s="2">
        <v>5.3521280000000004</v>
      </c>
      <c r="CT24" s="2">
        <v>5.2134749999999999</v>
      </c>
      <c r="CU24" s="2">
        <v>99.111559999999997</v>
      </c>
      <c r="CV24" s="3">
        <v>0.1501469</v>
      </c>
      <c r="CW24" s="2">
        <v>-6.5379810000000003</v>
      </c>
      <c r="CX24" s="2">
        <v>3.3620960000000002</v>
      </c>
      <c r="CY24" s="2">
        <v>6.9305839999999996</v>
      </c>
      <c r="CZ24" s="2">
        <v>23.171720000000001</v>
      </c>
    </row>
    <row r="25" spans="1:104" ht="15" customHeight="1" x14ac:dyDescent="0.2">
      <c r="A25" s="1">
        <f t="shared" si="0"/>
        <v>19</v>
      </c>
      <c r="B25" s="1" t="s">
        <v>61</v>
      </c>
      <c r="C25" s="1" t="s">
        <v>60</v>
      </c>
      <c r="D25" s="1" t="s">
        <v>9</v>
      </c>
      <c r="E25" s="1" t="s">
        <v>27</v>
      </c>
      <c r="F25" s="1" t="s">
        <v>28</v>
      </c>
      <c r="G25" s="2">
        <v>74757.52</v>
      </c>
      <c r="H25" s="2">
        <v>67.304699999999997</v>
      </c>
      <c r="I25" s="2">
        <v>50315.32</v>
      </c>
      <c r="J25" s="3">
        <v>385.5</v>
      </c>
      <c r="K25" s="3">
        <v>0</v>
      </c>
      <c r="L25" s="2">
        <v>0.58625159999999998</v>
      </c>
      <c r="M25" s="2">
        <v>0.66116940000000002</v>
      </c>
      <c r="N25" s="2">
        <v>0.7496758</v>
      </c>
      <c r="O25" s="2">
        <v>0.83787290000000003</v>
      </c>
      <c r="P25" s="2">
        <v>55.86956</v>
      </c>
      <c r="Q25" s="2">
        <v>50.425109999999997</v>
      </c>
      <c r="R25" s="2">
        <v>45.892859999999999</v>
      </c>
      <c r="S25" s="2">
        <v>41.581310000000002</v>
      </c>
      <c r="T25" s="2">
        <v>34.492620000000002</v>
      </c>
      <c r="U25" s="2">
        <v>39.534790000000001</v>
      </c>
      <c r="V25" s="2">
        <v>35.7654</v>
      </c>
      <c r="W25" s="2">
        <v>32.835500000000003</v>
      </c>
      <c r="X25" s="2">
        <v>22.839880000000001</v>
      </c>
      <c r="Y25" s="2">
        <v>18.798950000000001</v>
      </c>
      <c r="Z25" s="2">
        <v>15.38569</v>
      </c>
      <c r="AA25" s="2">
        <v>13.12787</v>
      </c>
      <c r="AB25" s="2">
        <v>39.204920000000001</v>
      </c>
      <c r="AC25" s="2">
        <v>34.083150000000003</v>
      </c>
      <c r="AD25" s="2">
        <v>30.65268</v>
      </c>
      <c r="AE25" s="2">
        <v>29.089559999999999</v>
      </c>
      <c r="AF25" s="2">
        <v>1.373054</v>
      </c>
      <c r="AG25" s="2">
        <v>1.717886</v>
      </c>
      <c r="AH25" s="2">
        <v>1.926274</v>
      </c>
      <c r="AI25" s="2">
        <v>1.372393</v>
      </c>
      <c r="AJ25" s="2">
        <v>1.7114290000000001</v>
      </c>
      <c r="AK25" s="2">
        <v>1.9150389999999999</v>
      </c>
      <c r="AL25" s="3">
        <v>4.9708629999999996</v>
      </c>
      <c r="AM25" s="3">
        <v>4.4688670000000004</v>
      </c>
      <c r="AN25" s="2">
        <v>38.174199999999999</v>
      </c>
      <c r="AO25" s="2">
        <v>38.81691</v>
      </c>
      <c r="AP25" s="2">
        <v>39.734459999999999</v>
      </c>
      <c r="AQ25" s="2">
        <v>40.151409999999998</v>
      </c>
      <c r="AR25" s="2">
        <v>4.3440100000000002E-2</v>
      </c>
      <c r="AS25" s="2">
        <v>-1.4356519999999999E-2</v>
      </c>
      <c r="AT25" s="2">
        <v>-0.1016275</v>
      </c>
      <c r="AU25" s="2">
        <v>-0.14499500000000001</v>
      </c>
      <c r="AV25" s="1" t="s">
        <v>62</v>
      </c>
      <c r="AW25" s="3">
        <v>1.75</v>
      </c>
      <c r="AX25" s="3">
        <v>372.65039999999999</v>
      </c>
      <c r="AY25" s="2">
        <v>-3.3332350000000002</v>
      </c>
      <c r="AZ25" s="2">
        <v>37.280929999999998</v>
      </c>
      <c r="BA25" s="2">
        <v>10.06424</v>
      </c>
      <c r="BB25" s="2">
        <v>54.881480000000003</v>
      </c>
      <c r="BC25" s="2">
        <v>26.31061</v>
      </c>
      <c r="BD25" s="3">
        <v>247.5</v>
      </c>
      <c r="BE25" s="2">
        <v>55.757570000000001</v>
      </c>
      <c r="BF25" s="3">
        <v>410.1</v>
      </c>
      <c r="BG25" s="2">
        <v>-5.9985400000000002</v>
      </c>
      <c r="BH25" s="2">
        <v>30.26979</v>
      </c>
      <c r="BI25" s="2">
        <v>30.973389999999998</v>
      </c>
      <c r="BJ25" s="2">
        <v>30.905439999999999</v>
      </c>
      <c r="BK25" s="2">
        <v>34.986020000000003</v>
      </c>
      <c r="BL25" s="2">
        <v>22</v>
      </c>
      <c r="BM25" s="2">
        <v>20</v>
      </c>
      <c r="BN25" s="4">
        <v>24</v>
      </c>
      <c r="BO25" s="4">
        <v>0</v>
      </c>
      <c r="BP25" s="4">
        <v>2</v>
      </c>
      <c r="BQ25" s="4">
        <v>20</v>
      </c>
      <c r="BR25" s="2">
        <v>0</v>
      </c>
      <c r="BS25" s="4">
        <v>9</v>
      </c>
      <c r="BT25" s="4">
        <v>2</v>
      </c>
      <c r="BU25" s="4">
        <v>24</v>
      </c>
      <c r="BV25" s="2">
        <v>37.5</v>
      </c>
      <c r="BW25" s="2">
        <v>7.7960799999999999</v>
      </c>
      <c r="BX25" s="2">
        <v>193.92349999999999</v>
      </c>
      <c r="BY25" s="3">
        <v>0.3072896</v>
      </c>
      <c r="BZ25" s="3">
        <v>0.15845919999999999</v>
      </c>
      <c r="CA25" s="2">
        <v>0.76064500000000002</v>
      </c>
      <c r="CB25" s="3">
        <v>0.15785669999999999</v>
      </c>
      <c r="CC25" s="3">
        <v>7.6156550000000003</v>
      </c>
      <c r="CD25" s="3">
        <v>7.7056899999999997</v>
      </c>
      <c r="CE25" s="2">
        <v>1.182234</v>
      </c>
      <c r="CF25" s="3">
        <v>1811.3330000000001</v>
      </c>
      <c r="CG25" s="3">
        <v>1819.6389999999999</v>
      </c>
      <c r="CH25" s="2">
        <v>0.45852660000000001</v>
      </c>
      <c r="CI25" s="3">
        <v>335.37200000000001</v>
      </c>
      <c r="CJ25" s="2">
        <v>11.11553</v>
      </c>
      <c r="CK25" s="3">
        <v>6449.1840000000002</v>
      </c>
      <c r="CL25" s="3">
        <v>6497.9080000000004</v>
      </c>
      <c r="CM25" s="2">
        <v>0.75550079999999997</v>
      </c>
      <c r="CN25" s="3">
        <v>320.01429999999999</v>
      </c>
      <c r="CO25" s="3">
        <v>378.72949999999997</v>
      </c>
      <c r="CP25" s="3">
        <v>392.84230000000002</v>
      </c>
      <c r="CQ25" s="2">
        <v>20.463360000000002</v>
      </c>
      <c r="CR25" s="2">
        <v>1.787698</v>
      </c>
      <c r="CS25" s="2">
        <v>-1.8690169999999999</v>
      </c>
      <c r="CT25" s="2">
        <v>18.347670000000001</v>
      </c>
      <c r="CU25" s="2">
        <v>115.6752</v>
      </c>
      <c r="CV25" s="3">
        <v>0.15473390000000001</v>
      </c>
      <c r="CW25" s="2">
        <v>9.7615130000000008</v>
      </c>
      <c r="CX25" s="2">
        <v>0.73928119999999997</v>
      </c>
      <c r="CY25" s="2">
        <v>2.589343</v>
      </c>
      <c r="CZ25" s="2">
        <v>23.484850000000002</v>
      </c>
    </row>
    <row r="26" spans="1:104" ht="15" customHeight="1" x14ac:dyDescent="0.2">
      <c r="A26" s="1">
        <f t="shared" si="0"/>
        <v>20</v>
      </c>
      <c r="B26" s="1" t="s">
        <v>64</v>
      </c>
      <c r="C26" s="1" t="s">
        <v>63</v>
      </c>
      <c r="D26" s="1" t="s">
        <v>26</v>
      </c>
      <c r="E26" s="1" t="s">
        <v>65</v>
      </c>
      <c r="F26" s="1" t="s">
        <v>66</v>
      </c>
      <c r="G26" s="2">
        <v>110749.2</v>
      </c>
      <c r="H26" s="2">
        <v>64.753500000000003</v>
      </c>
      <c r="I26" s="2">
        <v>71714.02</v>
      </c>
      <c r="J26" s="3">
        <v>22.21</v>
      </c>
      <c r="K26" s="3">
        <v>0</v>
      </c>
      <c r="L26" s="2">
        <v>3.466907</v>
      </c>
      <c r="M26" s="2">
        <v>3.8203520000000002</v>
      </c>
      <c r="N26" s="2">
        <v>4.1949569999999996</v>
      </c>
      <c r="O26" s="2">
        <v>4.6144530000000001</v>
      </c>
      <c r="P26" s="2">
        <v>13.88125</v>
      </c>
      <c r="Q26" s="2">
        <v>12.338889999999999</v>
      </c>
      <c r="R26" s="2">
        <v>10.927350000000001</v>
      </c>
      <c r="S26" s="2">
        <v>10.141550000000001</v>
      </c>
      <c r="T26" s="2">
        <v>5.9445009999999998</v>
      </c>
      <c r="U26" s="2">
        <v>5.303801</v>
      </c>
      <c r="V26" s="2">
        <v>4.9867530000000002</v>
      </c>
      <c r="W26" s="2">
        <v>4.9431510000000003</v>
      </c>
      <c r="X26" s="2">
        <v>1.9482459999999999</v>
      </c>
      <c r="Y26" s="2">
        <v>1.8573740000000001</v>
      </c>
      <c r="Z26" s="2">
        <v>1.761611</v>
      </c>
      <c r="AA26" s="2">
        <v>1.5592820000000001</v>
      </c>
      <c r="AB26" s="2">
        <v>3.5613299999999999</v>
      </c>
      <c r="AC26" s="2">
        <v>3.1229830000000001</v>
      </c>
      <c r="AD26" s="2">
        <v>3.003447</v>
      </c>
      <c r="AE26" s="2">
        <v>3.3050739999999998</v>
      </c>
      <c r="AF26" s="2">
        <v>7.2257360000000004</v>
      </c>
      <c r="AG26" s="2">
        <v>8.0220029999999998</v>
      </c>
      <c r="AH26" s="2">
        <v>8.7403779999999998</v>
      </c>
      <c r="AI26" s="2">
        <v>15.781330000000001</v>
      </c>
      <c r="AJ26" s="2">
        <v>17.348299999999998</v>
      </c>
      <c r="AK26" s="2">
        <v>18.669360000000001</v>
      </c>
      <c r="AL26" s="3">
        <v>2.3577490000000001</v>
      </c>
      <c r="AM26" s="3">
        <v>2.1073219999999999</v>
      </c>
      <c r="AN26" s="2">
        <v>36.162880000000001</v>
      </c>
      <c r="AO26" s="2">
        <v>39.92163</v>
      </c>
      <c r="AP26" s="2">
        <v>41.171030000000002</v>
      </c>
      <c r="AQ26" s="2">
        <v>40.062959999999997</v>
      </c>
      <c r="AR26" s="2">
        <v>3.2663899999999999</v>
      </c>
      <c r="AS26" s="2">
        <v>2.8753709999999999</v>
      </c>
      <c r="AT26" s="2">
        <v>2.6808350000000001</v>
      </c>
      <c r="AU26" s="2">
        <v>2.6289310000000001</v>
      </c>
      <c r="AV26" s="1" t="s">
        <v>6</v>
      </c>
      <c r="AW26" s="3">
        <v>1.2222219999999999</v>
      </c>
      <c r="AX26" s="3">
        <v>26.6</v>
      </c>
      <c r="AY26" s="2">
        <v>19.765879999999999</v>
      </c>
      <c r="AZ26" s="2">
        <v>15.05301</v>
      </c>
      <c r="BA26" s="2">
        <v>5.5123939999999996</v>
      </c>
      <c r="BB26" s="2">
        <v>-1.725668</v>
      </c>
      <c r="BC26" s="2">
        <v>2.1149399999999998</v>
      </c>
      <c r="BD26" s="3">
        <v>18.501999999999999</v>
      </c>
      <c r="BE26" s="2">
        <v>20.041070000000001</v>
      </c>
      <c r="BF26" s="3">
        <v>23.4</v>
      </c>
      <c r="BG26" s="2">
        <v>-5.0854739999999996</v>
      </c>
      <c r="BH26" s="2">
        <v>47.6875</v>
      </c>
      <c r="BI26" s="2">
        <v>48.458919999999999</v>
      </c>
      <c r="BJ26" s="2">
        <v>48.23706</v>
      </c>
      <c r="BK26" s="2">
        <v>49.55236</v>
      </c>
      <c r="BL26" s="2">
        <v>15</v>
      </c>
      <c r="BM26" s="2">
        <v>14</v>
      </c>
      <c r="BN26" s="4">
        <v>18</v>
      </c>
      <c r="BO26" s="4">
        <v>0</v>
      </c>
      <c r="BP26" s="4">
        <v>0</v>
      </c>
      <c r="BQ26" s="4">
        <v>18</v>
      </c>
      <c r="BR26" s="2">
        <v>0</v>
      </c>
      <c r="BS26" s="4">
        <v>15</v>
      </c>
      <c r="BT26" s="4">
        <v>0</v>
      </c>
      <c r="BU26" s="4">
        <v>18</v>
      </c>
      <c r="BV26" s="2">
        <v>83.333330000000004</v>
      </c>
      <c r="BW26" s="2">
        <v>4.7436299999999996</v>
      </c>
      <c r="BX26" s="2">
        <v>4986.4579999999996</v>
      </c>
      <c r="BY26" s="3">
        <v>6.4794280000000004</v>
      </c>
      <c r="BZ26" s="3">
        <v>0.12994049999999999</v>
      </c>
      <c r="CA26" s="2">
        <v>0.43361899999999998</v>
      </c>
      <c r="CB26" s="3">
        <v>0.12944639999999999</v>
      </c>
      <c r="CC26" s="3">
        <v>1.8388659999999999</v>
      </c>
      <c r="CD26" s="3">
        <v>1.7872129999999999</v>
      </c>
      <c r="CE26" s="2">
        <v>-2.8089279999999999</v>
      </c>
      <c r="CF26" s="3">
        <v>24896.23</v>
      </c>
      <c r="CG26" s="3">
        <v>24463.439999999999</v>
      </c>
      <c r="CH26" s="2">
        <v>-1.7383459999999999</v>
      </c>
      <c r="CI26" s="3">
        <v>26.73847</v>
      </c>
      <c r="CJ26" s="2">
        <v>-0.51785110000000001</v>
      </c>
      <c r="CK26" s="3">
        <v>113967.6</v>
      </c>
      <c r="CL26" s="3">
        <v>114578.3</v>
      </c>
      <c r="CM26" s="2">
        <v>0.53584580000000004</v>
      </c>
      <c r="CN26" s="3">
        <v>21.141590000000001</v>
      </c>
      <c r="CO26" s="3">
        <v>22.173919999999999</v>
      </c>
      <c r="CP26" s="3">
        <v>22.061920000000001</v>
      </c>
      <c r="CQ26" s="2">
        <v>5.0535680000000003</v>
      </c>
      <c r="CR26" s="2">
        <v>0.1626968</v>
      </c>
      <c r="CS26" s="2">
        <v>0.67118409999999995</v>
      </c>
      <c r="CT26" s="2">
        <v>4.8829200000000004</v>
      </c>
      <c r="CU26" s="2">
        <v>140.74420000000001</v>
      </c>
      <c r="CV26" s="3">
        <v>0.12708359999999999</v>
      </c>
      <c r="CW26" s="2">
        <v>-7.0296469999999998</v>
      </c>
      <c r="CX26" s="2">
        <v>2.12575</v>
      </c>
      <c r="CY26" s="2">
        <v>1.8685080000000001</v>
      </c>
      <c r="CZ26" s="2">
        <v>23.757580000000001</v>
      </c>
    </row>
    <row r="27" spans="1:104" ht="15" customHeight="1" x14ac:dyDescent="0.2">
      <c r="A27" s="1">
        <f t="shared" si="0"/>
        <v>21</v>
      </c>
      <c r="B27" s="1" t="s">
        <v>68</v>
      </c>
      <c r="C27" s="1" t="s">
        <v>67</v>
      </c>
      <c r="D27" s="1" t="s">
        <v>38</v>
      </c>
      <c r="E27" s="1" t="s">
        <v>46</v>
      </c>
      <c r="F27" s="1" t="s">
        <v>69</v>
      </c>
      <c r="G27" s="2">
        <v>118376.5</v>
      </c>
      <c r="H27" s="2">
        <v>93.637100000000004</v>
      </c>
      <c r="I27" s="2">
        <v>110844.4</v>
      </c>
      <c r="J27" s="3">
        <v>206.65</v>
      </c>
      <c r="K27" s="3">
        <v>0</v>
      </c>
      <c r="L27" s="2">
        <v>1.6936850000000001</v>
      </c>
      <c r="M27" s="2">
        <v>1.814662</v>
      </c>
      <c r="N27" s="2">
        <v>1.996129</v>
      </c>
      <c r="O27" s="2">
        <v>2.1461410000000001</v>
      </c>
      <c r="P27" s="2">
        <v>28.464189999999999</v>
      </c>
      <c r="Q27" s="2">
        <v>24.67014</v>
      </c>
      <c r="R27" s="2">
        <v>22.040199999999999</v>
      </c>
      <c r="S27" s="2">
        <v>19.912310000000002</v>
      </c>
      <c r="T27" s="2">
        <v>15.24879</v>
      </c>
      <c r="U27" s="2">
        <v>16.072220000000002</v>
      </c>
      <c r="V27" s="2">
        <v>14.33403</v>
      </c>
      <c r="W27" s="2">
        <v>12.86012</v>
      </c>
      <c r="X27" s="2">
        <v>4.3703070000000004</v>
      </c>
      <c r="Y27" s="2">
        <v>4.0400780000000003</v>
      </c>
      <c r="Z27" s="2">
        <v>3.6954579999999999</v>
      </c>
      <c r="AA27" s="2">
        <v>3.3476430000000001</v>
      </c>
      <c r="AB27" s="2">
        <v>20.96283</v>
      </c>
      <c r="AC27" s="2">
        <v>19.362220000000001</v>
      </c>
      <c r="AD27" s="2">
        <v>17.582989999999999</v>
      </c>
      <c r="AE27" s="2">
        <v>16.081009999999999</v>
      </c>
      <c r="AF27" s="2">
        <v>3.3580800000000002</v>
      </c>
      <c r="AG27" s="2">
        <v>3.8971290000000001</v>
      </c>
      <c r="AH27" s="2">
        <v>4.4871720000000002</v>
      </c>
      <c r="AI27" s="2">
        <v>3.5683790000000002</v>
      </c>
      <c r="AJ27" s="2">
        <v>4.0716650000000003</v>
      </c>
      <c r="AK27" s="2">
        <v>4.5946429999999996</v>
      </c>
      <c r="AL27" s="3">
        <v>2.418539</v>
      </c>
      <c r="AM27" s="3">
        <v>2.1601330000000001</v>
      </c>
      <c r="AN27" s="2">
        <v>20.70776</v>
      </c>
      <c r="AO27" s="2">
        <v>20.80988</v>
      </c>
      <c r="AP27" s="2">
        <v>21.290970000000002</v>
      </c>
      <c r="AQ27" s="2">
        <v>21.70289</v>
      </c>
      <c r="AR27" s="2">
        <v>1.242451</v>
      </c>
      <c r="AS27" s="2">
        <v>0.94720190000000004</v>
      </c>
      <c r="AT27" s="2">
        <v>0.61444279999999996</v>
      </c>
      <c r="AU27" s="2">
        <v>0.30080289999999998</v>
      </c>
      <c r="AV27" s="1" t="s">
        <v>40</v>
      </c>
      <c r="AW27" s="3">
        <v>1.65</v>
      </c>
      <c r="AX27" s="3">
        <v>210</v>
      </c>
      <c r="AY27" s="2">
        <v>1.621103</v>
      </c>
      <c r="AZ27" s="2">
        <v>16.376390000000001</v>
      </c>
      <c r="BA27" s="2">
        <v>11</v>
      </c>
      <c r="BB27" s="2">
        <v>44.875210000000003</v>
      </c>
      <c r="BC27" s="2">
        <v>13.681380000000001</v>
      </c>
      <c r="BD27" s="3">
        <v>134.38</v>
      </c>
      <c r="BE27" s="2">
        <v>53.780320000000003</v>
      </c>
      <c r="BF27" s="3">
        <v>218.5</v>
      </c>
      <c r="BG27" s="2">
        <v>-5.423343</v>
      </c>
      <c r="BH27" s="2">
        <v>48.20937</v>
      </c>
      <c r="BI27" s="2">
        <v>44.883459999999999</v>
      </c>
      <c r="BJ27" s="2">
        <v>43.946599999999997</v>
      </c>
      <c r="BK27" s="2">
        <v>43.257680000000001</v>
      </c>
      <c r="BL27" s="2">
        <v>19</v>
      </c>
      <c r="BM27" s="2">
        <v>19</v>
      </c>
      <c r="BN27" s="4">
        <v>20</v>
      </c>
      <c r="BO27" s="4">
        <v>2</v>
      </c>
      <c r="BP27" s="4">
        <v>5</v>
      </c>
      <c r="BQ27" s="4">
        <v>16</v>
      </c>
      <c r="BR27" s="2">
        <v>8.6956520000000008</v>
      </c>
      <c r="BS27" s="4">
        <v>10</v>
      </c>
      <c r="BT27" s="4">
        <v>3</v>
      </c>
      <c r="BU27" s="4">
        <v>20</v>
      </c>
      <c r="BV27" s="2">
        <v>50</v>
      </c>
      <c r="BW27" s="2">
        <v>8.0873399999999993</v>
      </c>
      <c r="BX27" s="2">
        <v>572.83590000000004</v>
      </c>
      <c r="BY27" s="3">
        <v>0.73775109999999999</v>
      </c>
      <c r="BZ27" s="3">
        <v>0.1287893</v>
      </c>
      <c r="CA27" s="2">
        <v>1.41527</v>
      </c>
      <c r="CB27" s="3">
        <v>0.12829960000000001</v>
      </c>
      <c r="CC27" s="3">
        <v>8.3935379999999995</v>
      </c>
      <c r="CD27" s="3">
        <v>8.3346260000000001</v>
      </c>
      <c r="CE27" s="2">
        <v>-0.7018626</v>
      </c>
      <c r="CF27" s="3">
        <v>6559.5590000000002</v>
      </c>
      <c r="CG27" s="3">
        <v>6527.3729999999996</v>
      </c>
      <c r="CH27" s="2">
        <v>-0.49067139999999998</v>
      </c>
      <c r="CI27" s="3">
        <v>181.92750000000001</v>
      </c>
      <c r="CJ27" s="2">
        <v>15.43059</v>
      </c>
      <c r="CK27" s="3">
        <v>37835.58</v>
      </c>
      <c r="CL27" s="3">
        <v>37689.96</v>
      </c>
      <c r="CM27" s="2">
        <v>-0.38485530000000001</v>
      </c>
      <c r="CN27" s="3">
        <v>173.54820000000001</v>
      </c>
      <c r="CO27" s="3">
        <v>205.1371</v>
      </c>
      <c r="CP27" s="3">
        <v>211.27500000000001</v>
      </c>
      <c r="CQ27" s="2">
        <v>19.073550000000001</v>
      </c>
      <c r="CR27" s="2">
        <v>0.73752399999999996</v>
      </c>
      <c r="CS27" s="2">
        <v>-2.189082</v>
      </c>
      <c r="CT27" s="2">
        <v>18.201779999999999</v>
      </c>
      <c r="CU27" s="2">
        <v>141.86189999999999</v>
      </c>
      <c r="CV27" s="3">
        <v>0.1198395</v>
      </c>
      <c r="CW27" s="2" t="e">
        <v>#N/A</v>
      </c>
      <c r="CX27" s="2">
        <v>-1.639678</v>
      </c>
      <c r="CY27" s="2" t="e">
        <v>#N/A</v>
      </c>
      <c r="CZ27" s="2">
        <v>24.010100000000001</v>
      </c>
    </row>
    <row r="28" spans="1:104" ht="15" customHeight="1" x14ac:dyDescent="0.2">
      <c r="A28" s="1">
        <f t="shared" si="0"/>
        <v>22</v>
      </c>
      <c r="B28" s="1" t="s">
        <v>71</v>
      </c>
      <c r="C28" s="1" t="s">
        <v>70</v>
      </c>
      <c r="D28" s="1" t="s">
        <v>38</v>
      </c>
      <c r="E28" s="1" t="s">
        <v>72</v>
      </c>
      <c r="F28" s="1" t="s">
        <v>73</v>
      </c>
      <c r="G28" s="2">
        <v>240909.4</v>
      </c>
      <c r="H28" s="2">
        <v>24.4194</v>
      </c>
      <c r="I28" s="2">
        <v>58828.62</v>
      </c>
      <c r="J28" s="3">
        <v>2282</v>
      </c>
      <c r="K28" s="3">
        <v>0</v>
      </c>
      <c r="L28" s="2">
        <v>0.65731819999999996</v>
      </c>
      <c r="M28" s="2">
        <v>0.78330409999999995</v>
      </c>
      <c r="N28" s="2">
        <v>0.82975460000000001</v>
      </c>
      <c r="O28" s="2">
        <v>1.0027360000000001</v>
      </c>
      <c r="P28" s="2">
        <v>55.496110000000002</v>
      </c>
      <c r="Q28" s="2">
        <v>50.528530000000003</v>
      </c>
      <c r="R28" s="2">
        <v>44.934530000000002</v>
      </c>
      <c r="S28" s="2">
        <v>40.250459999999997</v>
      </c>
      <c r="T28" s="2">
        <v>30.495000000000001</v>
      </c>
      <c r="U28" s="2">
        <v>32.997750000000003</v>
      </c>
      <c r="V28" s="2">
        <v>29.017099999999999</v>
      </c>
      <c r="W28" s="2">
        <v>25.27777</v>
      </c>
      <c r="X28" s="2">
        <v>15.73685</v>
      </c>
      <c r="Y28" s="2">
        <v>13.82193</v>
      </c>
      <c r="Z28" s="2">
        <v>11.548</v>
      </c>
      <c r="AA28" s="2">
        <v>9.7506000000000004</v>
      </c>
      <c r="AB28" s="2">
        <v>55.148159999999997</v>
      </c>
      <c r="AC28" s="2">
        <v>46.862490000000001</v>
      </c>
      <c r="AD28" s="2">
        <v>42.34572</v>
      </c>
      <c r="AE28" s="2">
        <v>38.520530000000001</v>
      </c>
      <c r="AF28" s="2">
        <v>1.9079219999999999</v>
      </c>
      <c r="AG28" s="2">
        <v>2.138674</v>
      </c>
      <c r="AH28" s="2">
        <v>2.532667</v>
      </c>
      <c r="AI28" s="2">
        <v>1.811809</v>
      </c>
      <c r="AJ28" s="2">
        <v>2.0061110000000002</v>
      </c>
      <c r="AK28" s="2">
        <v>2.3508719999999999</v>
      </c>
      <c r="AL28" s="3">
        <v>4.8950069999999997</v>
      </c>
      <c r="AM28" s="3">
        <v>4.387054</v>
      </c>
      <c r="AN28" s="2">
        <v>46.889629999999997</v>
      </c>
      <c r="AO28" s="2">
        <v>45.96566</v>
      </c>
      <c r="AP28" s="2">
        <v>46.665500000000002</v>
      </c>
      <c r="AQ28" s="2">
        <v>48.141559999999998</v>
      </c>
      <c r="AR28" s="2">
        <v>-1.679514</v>
      </c>
      <c r="AS28" s="2">
        <v>-1.7504690000000001</v>
      </c>
      <c r="AT28" s="2">
        <v>-1.9174500000000001</v>
      </c>
      <c r="AU28" s="2">
        <v>-1.954753</v>
      </c>
      <c r="AV28" s="1" t="s">
        <v>62</v>
      </c>
      <c r="AW28" s="3">
        <v>1.795455</v>
      </c>
      <c r="AX28" s="3">
        <v>2247.5</v>
      </c>
      <c r="AY28" s="2">
        <v>-1.51183</v>
      </c>
      <c r="AZ28" s="2">
        <v>27.354700000000001</v>
      </c>
      <c r="BA28" s="2">
        <v>10.55026</v>
      </c>
      <c r="BB28" s="2">
        <v>21.901710000000001</v>
      </c>
      <c r="BC28" s="2">
        <v>18.92849</v>
      </c>
      <c r="BD28" s="3">
        <v>1641</v>
      </c>
      <c r="BE28" s="2">
        <v>39.061549999999997</v>
      </c>
      <c r="BF28" s="3">
        <v>2436</v>
      </c>
      <c r="BG28" s="2">
        <v>-6.321841</v>
      </c>
      <c r="BH28" s="2">
        <v>34.57985</v>
      </c>
      <c r="BI28" s="2">
        <v>41.314019999999999</v>
      </c>
      <c r="BJ28" s="2">
        <v>40.262169999999998</v>
      </c>
      <c r="BK28" s="2">
        <v>40.444290000000002</v>
      </c>
      <c r="BL28" s="2">
        <v>20</v>
      </c>
      <c r="BM28" s="2">
        <v>19</v>
      </c>
      <c r="BN28" s="4">
        <v>22</v>
      </c>
      <c r="BO28" s="4">
        <v>2</v>
      </c>
      <c r="BP28" s="4">
        <v>0</v>
      </c>
      <c r="BQ28" s="4">
        <v>21</v>
      </c>
      <c r="BR28" s="2">
        <v>8.6956520000000008</v>
      </c>
      <c r="BS28" s="4">
        <v>7</v>
      </c>
      <c r="BT28" s="4">
        <v>2</v>
      </c>
      <c r="BU28" s="4">
        <v>22</v>
      </c>
      <c r="BV28" s="2">
        <v>31.818180000000002</v>
      </c>
      <c r="BW28" s="2">
        <v>9.4651700000000005</v>
      </c>
      <c r="BX28" s="2">
        <v>105.5694</v>
      </c>
      <c r="BY28" s="3">
        <v>5.238698E-2</v>
      </c>
      <c r="BZ28" s="3">
        <v>4.9623269999999997E-2</v>
      </c>
      <c r="CA28" s="2">
        <v>1.38114</v>
      </c>
      <c r="CB28" s="3">
        <v>4.9434579999999999E-2</v>
      </c>
      <c r="CC28" s="3">
        <v>42.004480000000001</v>
      </c>
      <c r="CD28" s="3">
        <v>44.187480000000001</v>
      </c>
      <c r="CE28" s="2">
        <v>5.1970720000000004</v>
      </c>
      <c r="CF28" s="3">
        <v>6036.2030000000004</v>
      </c>
      <c r="CG28" s="3">
        <v>6208.5630000000001</v>
      </c>
      <c r="CH28" s="2">
        <v>2.855432</v>
      </c>
      <c r="CI28" s="3">
        <v>2010.105</v>
      </c>
      <c r="CJ28" s="2">
        <v>11.81006</v>
      </c>
      <c r="CK28" s="3">
        <v>14766.21</v>
      </c>
      <c r="CL28" s="3">
        <v>15015.65</v>
      </c>
      <c r="CM28" s="2">
        <v>1.6892670000000001</v>
      </c>
      <c r="CN28" s="3">
        <v>1969.2059999999999</v>
      </c>
      <c r="CO28" s="3">
        <v>2264.2820000000002</v>
      </c>
      <c r="CP28" s="3">
        <v>2357.9810000000002</v>
      </c>
      <c r="CQ28" s="2">
        <v>15.884270000000001</v>
      </c>
      <c r="CR28" s="2">
        <v>0.78248980000000001</v>
      </c>
      <c r="CS28" s="2">
        <v>-3.2222810000000002</v>
      </c>
      <c r="CT28" s="2">
        <v>14.98452</v>
      </c>
      <c r="CU28" s="2">
        <v>104.19970000000001</v>
      </c>
      <c r="CV28" s="3">
        <v>4.3252640000000002E-2</v>
      </c>
      <c r="CW28" s="2" t="e">
        <v>#N/A</v>
      </c>
      <c r="CX28" s="2">
        <v>2.6313780000000002</v>
      </c>
      <c r="CY28" s="2" t="e">
        <v>#N/A</v>
      </c>
      <c r="CZ28" s="2">
        <v>24.47475</v>
      </c>
    </row>
    <row r="29" spans="1:104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26</v>
      </c>
      <c r="E29" s="1" t="s">
        <v>46</v>
      </c>
      <c r="F29" s="1" t="s">
        <v>76</v>
      </c>
      <c r="G29" s="2">
        <v>138512</v>
      </c>
      <c r="H29" s="2">
        <v>85.961200000000005</v>
      </c>
      <c r="I29" s="2">
        <v>119066.6</v>
      </c>
      <c r="J29" s="3">
        <v>173.14</v>
      </c>
      <c r="K29" s="3">
        <v>0</v>
      </c>
      <c r="L29" s="2">
        <v>2.714566</v>
      </c>
      <c r="M29" s="2">
        <v>2.8733970000000002</v>
      </c>
      <c r="N29" s="2">
        <v>3.0033500000000002</v>
      </c>
      <c r="O29" s="2">
        <v>3.2343769999999998</v>
      </c>
      <c r="P29" s="2">
        <v>17.488890000000001</v>
      </c>
      <c r="Q29" s="2">
        <v>16.69624</v>
      </c>
      <c r="R29" s="2">
        <v>14.6791</v>
      </c>
      <c r="S29" s="2">
        <v>13.23775</v>
      </c>
      <c r="T29" s="2">
        <v>12.61</v>
      </c>
      <c r="U29" s="2">
        <v>11.963480000000001</v>
      </c>
      <c r="V29" s="2">
        <v>10.622439999999999</v>
      </c>
      <c r="W29" s="2">
        <v>9.4598530000000007</v>
      </c>
      <c r="X29" s="2">
        <v>2.867718</v>
      </c>
      <c r="Y29" s="2">
        <v>2.6781130000000002</v>
      </c>
      <c r="Z29" s="2">
        <v>2.5220690000000001</v>
      </c>
      <c r="AA29" s="2">
        <v>2.3623959999999999</v>
      </c>
      <c r="AB29" s="2">
        <v>12.23692</v>
      </c>
      <c r="AC29" s="2">
        <v>11.57044</v>
      </c>
      <c r="AD29" s="2">
        <v>11.327540000000001</v>
      </c>
      <c r="AE29" s="2">
        <v>9.9932580000000009</v>
      </c>
      <c r="AF29" s="2">
        <v>5.0334459999999996</v>
      </c>
      <c r="AG29" s="2">
        <v>5.5248629999999999</v>
      </c>
      <c r="AH29" s="2">
        <v>6.3262929999999997</v>
      </c>
      <c r="AI29" s="2">
        <v>6.3267139999999999</v>
      </c>
      <c r="AJ29" s="2">
        <v>6.8181050000000001</v>
      </c>
      <c r="AK29" s="2">
        <v>7.6624080000000001</v>
      </c>
      <c r="AL29" s="3">
        <v>1.658371</v>
      </c>
      <c r="AM29" s="3">
        <v>1.5143040000000001</v>
      </c>
      <c r="AN29" s="2">
        <v>17.584769999999999</v>
      </c>
      <c r="AO29" s="2">
        <v>18.08502</v>
      </c>
      <c r="AP29" s="2">
        <v>18.938469999999999</v>
      </c>
      <c r="AQ29" s="2">
        <v>19.809989999999999</v>
      </c>
      <c r="AR29" s="2">
        <v>2.6698840000000001</v>
      </c>
      <c r="AS29" s="2">
        <v>2.4455010000000001</v>
      </c>
      <c r="AT29" s="2">
        <v>2.014837</v>
      </c>
      <c r="AU29" s="2">
        <v>1.64954</v>
      </c>
      <c r="AV29" s="1" t="s">
        <v>6</v>
      </c>
      <c r="AW29" s="3">
        <v>1.3095239999999999</v>
      </c>
      <c r="AX29" s="3">
        <v>196</v>
      </c>
      <c r="AY29" s="2">
        <v>13.203189999999999</v>
      </c>
      <c r="AZ29" s="2">
        <v>16.040220000000001</v>
      </c>
      <c r="BA29" s="2">
        <v>10</v>
      </c>
      <c r="BB29" s="2">
        <v>22.689910000000001</v>
      </c>
      <c r="BC29" s="2">
        <v>1.8950100000000001</v>
      </c>
      <c r="BD29" s="3">
        <v>119.48</v>
      </c>
      <c r="BE29" s="2">
        <v>44.911279999999998</v>
      </c>
      <c r="BF29" s="3">
        <v>186.98</v>
      </c>
      <c r="BG29" s="2">
        <v>-7.4018600000000001</v>
      </c>
      <c r="BH29" s="2">
        <v>47.36103</v>
      </c>
      <c r="BI29" s="2">
        <v>46.865079999999999</v>
      </c>
      <c r="BJ29" s="2">
        <v>45.348689999999998</v>
      </c>
      <c r="BK29" s="2">
        <v>44.203969999999998</v>
      </c>
      <c r="BL29" s="2">
        <v>19</v>
      </c>
      <c r="BM29" s="2">
        <v>18</v>
      </c>
      <c r="BN29" s="4">
        <v>21</v>
      </c>
      <c r="BO29" s="4">
        <v>0</v>
      </c>
      <c r="BP29" s="4">
        <v>2</v>
      </c>
      <c r="BQ29" s="4">
        <v>20</v>
      </c>
      <c r="BR29" s="2">
        <v>0</v>
      </c>
      <c r="BS29" s="4">
        <v>17</v>
      </c>
      <c r="BT29" s="4">
        <v>2</v>
      </c>
      <c r="BU29" s="4">
        <v>21</v>
      </c>
      <c r="BV29" s="2">
        <v>80.952380000000005</v>
      </c>
      <c r="BW29" s="2">
        <v>8.3128299999999999</v>
      </c>
      <c r="BX29" s="2">
        <v>800</v>
      </c>
      <c r="BY29" s="3">
        <v>1.27942</v>
      </c>
      <c r="BZ29" s="3">
        <v>0.1599275</v>
      </c>
      <c r="CA29" s="2">
        <v>1.4735100000000001</v>
      </c>
      <c r="CB29" s="3">
        <v>0.1593194</v>
      </c>
      <c r="CC29" s="3">
        <v>10.53739</v>
      </c>
      <c r="CD29" s="3">
        <v>10.562200000000001</v>
      </c>
      <c r="CE29" s="2">
        <v>0.2354503</v>
      </c>
      <c r="CF29" s="3">
        <v>11722.92</v>
      </c>
      <c r="CG29" s="3">
        <v>11289.26</v>
      </c>
      <c r="CH29" s="2">
        <v>-3.6992910000000001</v>
      </c>
      <c r="CI29" s="3">
        <v>187.1</v>
      </c>
      <c r="CJ29" s="2">
        <v>4.7568080000000004</v>
      </c>
      <c r="CK29" s="3">
        <v>81169.13</v>
      </c>
      <c r="CL29" s="3">
        <v>80417.58</v>
      </c>
      <c r="CM29" s="2">
        <v>-0.92591049999999997</v>
      </c>
      <c r="CN29" s="3">
        <v>153.30760000000001</v>
      </c>
      <c r="CO29" s="3">
        <v>174.3655</v>
      </c>
      <c r="CP29" s="3">
        <v>177.92609999999999</v>
      </c>
      <c r="CQ29" s="2">
        <v>12.93637</v>
      </c>
      <c r="CR29" s="2">
        <v>-0.7028162</v>
      </c>
      <c r="CS29" s="2">
        <v>-2.6899579999999998</v>
      </c>
      <c r="CT29" s="2">
        <v>13.735709999999999</v>
      </c>
      <c r="CU29" s="2">
        <v>214.15389999999999</v>
      </c>
      <c r="CV29" s="3">
        <v>0.15461030000000001</v>
      </c>
      <c r="CW29" s="2">
        <v>28.432120000000001</v>
      </c>
      <c r="CX29" s="2">
        <v>-1.788052</v>
      </c>
      <c r="CY29" s="2">
        <v>-1.24566</v>
      </c>
      <c r="CZ29" s="2">
        <v>24.494949999999999</v>
      </c>
    </row>
    <row r="30" spans="1:104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16</v>
      </c>
      <c r="E30" s="1" t="s">
        <v>79</v>
      </c>
      <c r="F30" s="1" t="s">
        <v>80</v>
      </c>
      <c r="G30" s="2">
        <v>137756</v>
      </c>
      <c r="H30" s="2">
        <v>40.584499999999998</v>
      </c>
      <c r="I30" s="2">
        <v>55907.59</v>
      </c>
      <c r="J30" s="3">
        <v>44.2</v>
      </c>
      <c r="K30" s="3">
        <v>0</v>
      </c>
      <c r="L30" s="2">
        <v>3.4841630000000001</v>
      </c>
      <c r="M30" s="2">
        <v>3.8307630000000001</v>
      </c>
      <c r="N30" s="2">
        <v>4.1742080000000001</v>
      </c>
      <c r="O30" s="2">
        <v>4.5701359999999998</v>
      </c>
      <c r="P30" s="2">
        <v>25.56391</v>
      </c>
      <c r="Q30" s="2">
        <v>23.263159999999999</v>
      </c>
      <c r="R30" s="2">
        <v>21.62321</v>
      </c>
      <c r="S30" s="2">
        <v>19.644449999999999</v>
      </c>
      <c r="T30" s="2">
        <v>11.31813</v>
      </c>
      <c r="U30" s="2">
        <v>11.80965</v>
      </c>
      <c r="V30" s="2">
        <v>10.977830000000001</v>
      </c>
      <c r="W30" s="2">
        <v>10.197620000000001</v>
      </c>
      <c r="X30" s="2">
        <v>7.378965</v>
      </c>
      <c r="Y30" s="2">
        <v>6.9606300000000001</v>
      </c>
      <c r="Z30" s="2">
        <v>6.5763490000000004</v>
      </c>
      <c r="AA30" s="2">
        <v>6.2921969999999998</v>
      </c>
      <c r="AB30" s="2">
        <v>19.481739999999999</v>
      </c>
      <c r="AC30" s="2">
        <v>15.50877</v>
      </c>
      <c r="AD30" s="2">
        <v>16.492540000000002</v>
      </c>
      <c r="AE30" s="2">
        <v>15.085319999999999</v>
      </c>
      <c r="AF30" s="2">
        <v>4.4699980000000004</v>
      </c>
      <c r="AG30" s="2">
        <v>4.9620860000000002</v>
      </c>
      <c r="AH30" s="2">
        <v>5.5454129999999999</v>
      </c>
      <c r="AI30" s="2">
        <v>4.09232</v>
      </c>
      <c r="AJ30" s="2">
        <v>4.5300529999999997</v>
      </c>
      <c r="AK30" s="2">
        <v>5.0728759999999999</v>
      </c>
      <c r="AL30" s="3">
        <v>2.5651130000000002</v>
      </c>
      <c r="AM30" s="3">
        <v>2.37582</v>
      </c>
      <c r="AN30" s="2">
        <v>27.437329999999999</v>
      </c>
      <c r="AO30" s="2">
        <v>27.648949999999999</v>
      </c>
      <c r="AP30" s="2">
        <v>27.59919</v>
      </c>
      <c r="AQ30" s="2">
        <v>27.641870000000001</v>
      </c>
      <c r="AR30" s="2">
        <v>-1.1579699999999999</v>
      </c>
      <c r="AS30" s="2">
        <v>-1.089906</v>
      </c>
      <c r="AT30" s="2">
        <v>-1.0469619999999999</v>
      </c>
      <c r="AU30" s="2">
        <v>-0.94990520000000001</v>
      </c>
      <c r="AV30" s="1" t="s">
        <v>81</v>
      </c>
      <c r="AW30" s="3">
        <v>1.519231</v>
      </c>
      <c r="AX30" s="3">
        <v>45</v>
      </c>
      <c r="AY30" s="2">
        <v>1.809955</v>
      </c>
      <c r="AZ30" s="2">
        <v>29.92126</v>
      </c>
      <c r="BA30" s="2">
        <v>9.2968119999999992</v>
      </c>
      <c r="BB30" s="2">
        <v>45.155990000000003</v>
      </c>
      <c r="BC30" s="2">
        <v>12.097390000000001</v>
      </c>
      <c r="BD30" s="3">
        <v>30.3</v>
      </c>
      <c r="BE30" s="2">
        <v>45.874600000000001</v>
      </c>
      <c r="BF30" s="3">
        <v>47.02</v>
      </c>
      <c r="BG30" s="2">
        <v>-5.9974489999999996</v>
      </c>
      <c r="BH30" s="2">
        <v>89.6541</v>
      </c>
      <c r="BI30" s="2">
        <v>91.900310000000005</v>
      </c>
      <c r="BJ30" s="2">
        <v>89.755160000000004</v>
      </c>
      <c r="BK30" s="2">
        <v>84.629540000000006</v>
      </c>
      <c r="BL30" s="2">
        <v>24</v>
      </c>
      <c r="BM30" s="2">
        <v>23</v>
      </c>
      <c r="BN30" s="4">
        <v>26</v>
      </c>
      <c r="BO30" s="4">
        <v>1</v>
      </c>
      <c r="BP30" s="4">
        <v>1</v>
      </c>
      <c r="BQ30" s="4">
        <v>24</v>
      </c>
      <c r="BR30" s="2">
        <v>3.8461539999999999</v>
      </c>
      <c r="BS30" s="4">
        <v>16</v>
      </c>
      <c r="BT30" s="4">
        <v>2</v>
      </c>
      <c r="BU30" s="4">
        <v>26</v>
      </c>
      <c r="BV30" s="2">
        <v>61.538460000000001</v>
      </c>
      <c r="BW30" s="2">
        <v>7.86707</v>
      </c>
      <c r="BX30" s="2">
        <v>3116.652</v>
      </c>
      <c r="BY30" s="3">
        <v>2.7519429999999998</v>
      </c>
      <c r="BZ30" s="3">
        <v>8.8298059999999998E-2</v>
      </c>
      <c r="CA30" s="2">
        <v>1.21862</v>
      </c>
      <c r="CB30" s="3">
        <v>8.7962319999999997E-2</v>
      </c>
      <c r="CC30" s="3">
        <v>1.8767130000000001</v>
      </c>
      <c r="CD30" s="3">
        <v>1.8534539999999999</v>
      </c>
      <c r="CE30" s="2">
        <v>-1.239347</v>
      </c>
      <c r="CF30" s="3">
        <v>7373.0429999999997</v>
      </c>
      <c r="CG30" s="3">
        <v>7427.9160000000002</v>
      </c>
      <c r="CH30" s="2">
        <v>0.74422359999999999</v>
      </c>
      <c r="CI30" s="3">
        <v>40.627630000000003</v>
      </c>
      <c r="CJ30" s="2">
        <v>10.76206</v>
      </c>
      <c r="CK30" s="3">
        <v>38528.6</v>
      </c>
      <c r="CL30" s="3">
        <v>38623.43</v>
      </c>
      <c r="CM30" s="2">
        <v>0.2461314</v>
      </c>
      <c r="CN30" s="3">
        <v>37.475610000000003</v>
      </c>
      <c r="CO30" s="3">
        <v>42.329210000000003</v>
      </c>
      <c r="CP30" s="3">
        <v>44.590760000000003</v>
      </c>
      <c r="CQ30" s="2">
        <v>17.943380000000001</v>
      </c>
      <c r="CR30" s="2">
        <v>4.419613</v>
      </c>
      <c r="CS30" s="2">
        <v>-0.87633130000000004</v>
      </c>
      <c r="CT30" s="2">
        <v>12.951359999999999</v>
      </c>
      <c r="CU30" s="2">
        <v>74.817350000000005</v>
      </c>
      <c r="CV30" s="3">
        <v>5.4311499999999999E-2</v>
      </c>
      <c r="CW30" s="2">
        <v>-0.37169259999999998</v>
      </c>
      <c r="CX30" s="2">
        <v>-0.1114047</v>
      </c>
      <c r="CY30" s="2">
        <v>1.5999209999999999</v>
      </c>
      <c r="CZ30" s="2">
        <v>24.505050000000001</v>
      </c>
    </row>
    <row r="31" spans="1:104" ht="15" customHeight="1" x14ac:dyDescent="0.2">
      <c r="A31" s="1">
        <f t="shared" si="0"/>
        <v>25</v>
      </c>
      <c r="B31" s="1" t="s">
        <v>83</v>
      </c>
      <c r="C31" s="1" t="s">
        <v>82</v>
      </c>
      <c r="D31" s="1" t="s">
        <v>3</v>
      </c>
      <c r="E31" s="1" t="s">
        <v>4</v>
      </c>
      <c r="F31" s="1" t="s">
        <v>84</v>
      </c>
      <c r="G31" s="2">
        <v>34829.54</v>
      </c>
      <c r="H31" s="2">
        <v>96.735900000000001</v>
      </c>
      <c r="I31" s="2">
        <v>33692.660000000003</v>
      </c>
      <c r="J31" s="3">
        <v>140.15</v>
      </c>
      <c r="K31" s="3">
        <v>0</v>
      </c>
      <c r="L31" s="2">
        <v>1.484124</v>
      </c>
      <c r="M31" s="2">
        <v>1.591153</v>
      </c>
      <c r="N31" s="2">
        <v>1.710456</v>
      </c>
      <c r="O31" s="2">
        <v>1.969319</v>
      </c>
      <c r="P31" s="2">
        <v>30.80219</v>
      </c>
      <c r="Q31" s="2">
        <v>28.631260000000001</v>
      </c>
      <c r="R31" s="2">
        <v>25.796060000000001</v>
      </c>
      <c r="S31" s="2">
        <v>23.22287</v>
      </c>
      <c r="T31" s="2">
        <v>19.4541</v>
      </c>
      <c r="U31" s="2">
        <v>19.625450000000001</v>
      </c>
      <c r="V31" s="2">
        <v>18.4163</v>
      </c>
      <c r="W31" s="2">
        <v>16.9925</v>
      </c>
      <c r="X31" s="2">
        <v>19.6463</v>
      </c>
      <c r="Y31" s="2">
        <v>24.937719999999999</v>
      </c>
      <c r="Z31" s="2">
        <v>28.568829999999998</v>
      </c>
      <c r="AA31" s="2">
        <v>34.591560000000001</v>
      </c>
      <c r="AB31" s="2">
        <v>22.677610000000001</v>
      </c>
      <c r="AC31" s="2">
        <v>21.328769999999999</v>
      </c>
      <c r="AD31" s="2">
        <v>19.569559999999999</v>
      </c>
      <c r="AE31" s="2">
        <v>17.755130000000001</v>
      </c>
      <c r="AF31" s="2">
        <v>3.4064179999999999</v>
      </c>
      <c r="AG31" s="2">
        <v>3.627265</v>
      </c>
      <c r="AH31" s="2">
        <v>3.8582169999999998</v>
      </c>
      <c r="AI31" s="2">
        <v>3.6912349999999998</v>
      </c>
      <c r="AJ31" s="2">
        <v>3.9511289999999999</v>
      </c>
      <c r="AK31" s="2">
        <v>4.2213599999999998</v>
      </c>
      <c r="AL31" s="3">
        <v>3.253317</v>
      </c>
      <c r="AM31" s="3">
        <v>2.9506429999999999</v>
      </c>
      <c r="AN31" s="2">
        <v>31.78725</v>
      </c>
      <c r="AO31" s="2">
        <v>32.468339999999998</v>
      </c>
      <c r="AP31" s="2">
        <v>32.689549999999997</v>
      </c>
      <c r="AQ31" s="2">
        <v>33.457000000000001</v>
      </c>
      <c r="AR31" s="2">
        <v>1.43493</v>
      </c>
      <c r="AS31" s="2">
        <v>1.5143070000000001</v>
      </c>
      <c r="AT31" s="2">
        <v>1.509538</v>
      </c>
      <c r="AU31" s="2">
        <v>1.461784</v>
      </c>
      <c r="AV31" s="1" t="s">
        <v>81</v>
      </c>
      <c r="AW31" s="3">
        <v>1.535714</v>
      </c>
      <c r="AX31" s="3">
        <v>153</v>
      </c>
      <c r="AY31" s="2">
        <v>9.1687560000000001</v>
      </c>
      <c r="AZ31" s="2">
        <v>87.099649999999997</v>
      </c>
      <c r="BA31" s="2">
        <v>9.3936410000000006</v>
      </c>
      <c r="BB31" s="2">
        <v>17.182269999999999</v>
      </c>
      <c r="BC31" s="2">
        <v>8.8966609999999999</v>
      </c>
      <c r="BD31" s="3">
        <v>105.15</v>
      </c>
      <c r="BE31" s="2">
        <v>33.285769999999999</v>
      </c>
      <c r="BF31" s="3">
        <v>149.15</v>
      </c>
      <c r="BG31" s="2">
        <v>-6.0341950000000004</v>
      </c>
      <c r="BH31" s="2">
        <v>45.714280000000002</v>
      </c>
      <c r="BI31" s="2">
        <v>45.700749999999999</v>
      </c>
      <c r="BJ31" s="2">
        <v>45.707210000000003</v>
      </c>
      <c r="BK31" s="2">
        <v>46.191049999999997</v>
      </c>
      <c r="BL31" s="2">
        <v>12</v>
      </c>
      <c r="BM31" s="2">
        <v>10</v>
      </c>
      <c r="BN31" s="4">
        <v>14</v>
      </c>
      <c r="BO31" s="4">
        <v>0</v>
      </c>
      <c r="BP31" s="4">
        <v>1</v>
      </c>
      <c r="BQ31" s="4">
        <v>14</v>
      </c>
      <c r="BR31" s="2">
        <v>0</v>
      </c>
      <c r="BS31" s="4">
        <v>8</v>
      </c>
      <c r="BT31" s="4">
        <v>1</v>
      </c>
      <c r="BU31" s="4">
        <v>14</v>
      </c>
      <c r="BV31" s="2">
        <v>57.142859999999999</v>
      </c>
      <c r="BW31" s="2">
        <v>6.2811199999999996</v>
      </c>
      <c r="BX31" s="2">
        <v>248.5162</v>
      </c>
      <c r="BY31" s="3">
        <v>0.48439529999999997</v>
      </c>
      <c r="BZ31" s="3">
        <v>0.194915</v>
      </c>
      <c r="CA31" s="2">
        <v>0.65581299999999998</v>
      </c>
      <c r="CB31" s="3">
        <v>0.19417390000000001</v>
      </c>
      <c r="CC31" s="3">
        <v>4.8242960000000004</v>
      </c>
      <c r="CD31" s="3">
        <v>4.8274540000000004</v>
      </c>
      <c r="CE31" s="2">
        <v>6.5445900000000001E-2</v>
      </c>
      <c r="CF31" s="3">
        <v>1643.3209999999999</v>
      </c>
      <c r="CG31" s="3">
        <v>1629.8109999999999</v>
      </c>
      <c r="CH31" s="2">
        <v>-0.82214469999999995</v>
      </c>
      <c r="CI31" s="3">
        <v>129.86359999999999</v>
      </c>
      <c r="CJ31" s="2">
        <v>17.815899999999999</v>
      </c>
      <c r="CK31" s="3">
        <v>5930.1940000000004</v>
      </c>
      <c r="CL31" s="3">
        <v>5917.3010000000004</v>
      </c>
      <c r="CM31" s="2">
        <v>-0.2174199</v>
      </c>
      <c r="CN31" s="3">
        <v>126.27209999999999</v>
      </c>
      <c r="CO31" s="3">
        <v>143.4863</v>
      </c>
      <c r="CP31" s="3">
        <v>144.09229999999999</v>
      </c>
      <c r="CQ31" s="2">
        <v>10.99048</v>
      </c>
      <c r="CR31" s="2">
        <v>-2.3251529999999998</v>
      </c>
      <c r="CS31" s="2">
        <v>-2.7359599999999999</v>
      </c>
      <c r="CT31" s="2">
        <v>13.63261</v>
      </c>
      <c r="CU31" s="2">
        <v>64.247879999999995</v>
      </c>
      <c r="CV31" s="3">
        <v>0.18446380000000001</v>
      </c>
      <c r="CW31" s="2" t="e">
        <v>#N/A</v>
      </c>
      <c r="CX31" s="2" t="e">
        <v>#N/A</v>
      </c>
      <c r="CY31" s="2" t="e">
        <v>#N/A</v>
      </c>
      <c r="CZ31" s="2">
        <v>24.535350000000001</v>
      </c>
    </row>
    <row r="32" spans="1:104" ht="15" customHeight="1" x14ac:dyDescent="0.2">
      <c r="A32" s="1">
        <f t="shared" si="0"/>
        <v>26</v>
      </c>
      <c r="B32" s="1" t="s">
        <v>86</v>
      </c>
      <c r="C32" s="1" t="s">
        <v>85</v>
      </c>
      <c r="D32" s="1" t="s">
        <v>38</v>
      </c>
      <c r="E32" s="1" t="s">
        <v>72</v>
      </c>
      <c r="F32" s="1" t="s">
        <v>87</v>
      </c>
      <c r="G32" s="2">
        <v>39012.620000000003</v>
      </c>
      <c r="H32" s="2">
        <v>92.489900000000006</v>
      </c>
      <c r="I32" s="2">
        <v>36082.74</v>
      </c>
      <c r="J32" s="3">
        <v>57.56</v>
      </c>
      <c r="K32" s="3">
        <v>0</v>
      </c>
      <c r="L32" s="2">
        <v>3.6483669999999999</v>
      </c>
      <c r="M32" s="2">
        <v>3.735233</v>
      </c>
      <c r="N32" s="2">
        <v>3.9336340000000001</v>
      </c>
      <c r="O32" s="2">
        <v>4.1863169999999998</v>
      </c>
      <c r="P32" s="2">
        <v>16.259889999999999</v>
      </c>
      <c r="Q32" s="2">
        <v>16.124310000000001</v>
      </c>
      <c r="R32" s="2">
        <v>15.005369999999999</v>
      </c>
      <c r="S32" s="2">
        <v>13.801</v>
      </c>
      <c r="T32" s="2">
        <v>10.98983</v>
      </c>
      <c r="U32" s="2">
        <v>10.28885</v>
      </c>
      <c r="V32" s="2">
        <v>9.6077619999999992</v>
      </c>
      <c r="W32" s="2">
        <v>8.9425969999999992</v>
      </c>
      <c r="X32" s="2">
        <v>2.1121699999999999</v>
      </c>
      <c r="Y32" s="2">
        <v>2.0027810000000001</v>
      </c>
      <c r="Z32" s="2">
        <v>1.8813690000000001</v>
      </c>
      <c r="AA32" s="2">
        <v>1.8567739999999999</v>
      </c>
      <c r="AB32" s="2">
        <v>11.862120000000001</v>
      </c>
      <c r="AC32" s="2">
        <v>10.86176</v>
      </c>
      <c r="AD32" s="2">
        <v>10.009510000000001</v>
      </c>
      <c r="AE32" s="2">
        <v>8.8681789999999996</v>
      </c>
      <c r="AF32" s="2">
        <v>5.1810429999999998</v>
      </c>
      <c r="AG32" s="2">
        <v>5.6806450000000002</v>
      </c>
      <c r="AH32" s="2">
        <v>5.265504</v>
      </c>
      <c r="AI32" s="2">
        <v>6.39452</v>
      </c>
      <c r="AJ32" s="2">
        <v>6.8986999999999998</v>
      </c>
      <c r="AK32" s="2">
        <v>6.2999859999999996</v>
      </c>
      <c r="AL32" s="3">
        <v>5.2837019999999999</v>
      </c>
      <c r="AM32" s="3">
        <v>4.9049100000000001</v>
      </c>
      <c r="AN32" s="2">
        <v>16.47054</v>
      </c>
      <c r="AO32" s="2">
        <v>16.990639999999999</v>
      </c>
      <c r="AP32" s="2">
        <v>17.281839999999999</v>
      </c>
      <c r="AQ32" s="2">
        <v>17.673570000000002</v>
      </c>
      <c r="AR32" s="2">
        <v>2.2468669999999999</v>
      </c>
      <c r="AS32" s="2">
        <v>1.9524969999999999</v>
      </c>
      <c r="AT32" s="2">
        <v>1.6963760000000001</v>
      </c>
      <c r="AU32" s="2">
        <v>1.4684090000000001</v>
      </c>
      <c r="AV32" s="1" t="s">
        <v>17</v>
      </c>
      <c r="AW32" s="3">
        <v>1.521739</v>
      </c>
      <c r="AX32" s="3">
        <v>66</v>
      </c>
      <c r="AY32" s="2">
        <v>14.66296</v>
      </c>
      <c r="AZ32" s="2">
        <v>12.42088</v>
      </c>
      <c r="BA32" s="2">
        <v>3.4162210000000002</v>
      </c>
      <c r="BB32" s="2">
        <v>-3.30925</v>
      </c>
      <c r="BC32" s="2">
        <v>-1.9086540000000001</v>
      </c>
      <c r="BD32" s="3">
        <v>50.59</v>
      </c>
      <c r="BE32" s="2">
        <v>13.777419999999999</v>
      </c>
      <c r="BF32" s="3">
        <v>63.8</v>
      </c>
      <c r="BG32" s="2">
        <v>-9.7805610000000005</v>
      </c>
      <c r="BH32" s="2">
        <v>58.647559999999999</v>
      </c>
      <c r="BI32" s="2">
        <v>60.188000000000002</v>
      </c>
      <c r="BJ32" s="2">
        <v>59.046759999999999</v>
      </c>
      <c r="BK32" s="2">
        <v>59.056130000000003</v>
      </c>
      <c r="BL32" s="2">
        <v>21</v>
      </c>
      <c r="BM32" s="2">
        <v>20</v>
      </c>
      <c r="BN32" s="4">
        <v>23</v>
      </c>
      <c r="BO32" s="4">
        <v>2</v>
      </c>
      <c r="BP32" s="4">
        <v>0</v>
      </c>
      <c r="BQ32" s="4">
        <v>23</v>
      </c>
      <c r="BR32" s="2">
        <v>8</v>
      </c>
      <c r="BS32" s="4">
        <v>13</v>
      </c>
      <c r="BT32" s="4">
        <v>2</v>
      </c>
      <c r="BU32" s="4">
        <v>23</v>
      </c>
      <c r="BV32" s="2">
        <v>56.521740000000001</v>
      </c>
      <c r="BW32" s="2">
        <v>5.0386100000000003</v>
      </c>
      <c r="BX32" s="2">
        <v>677.7731</v>
      </c>
      <c r="BY32" s="3">
        <v>1.079053</v>
      </c>
      <c r="BZ32" s="3">
        <v>0.15920570000000001</v>
      </c>
      <c r="CA32" s="2">
        <v>0.35760999999999998</v>
      </c>
      <c r="CB32" s="3">
        <v>0.1586003</v>
      </c>
      <c r="CC32" s="3">
        <v>3.5708899999999999</v>
      </c>
      <c r="CD32" s="3">
        <v>3.56229</v>
      </c>
      <c r="CE32" s="2">
        <v>-0.2408266</v>
      </c>
      <c r="CF32" s="3">
        <v>3605.248</v>
      </c>
      <c r="CG32" s="3">
        <v>3575.81</v>
      </c>
      <c r="CH32" s="2">
        <v>-0.81652400000000003</v>
      </c>
      <c r="CI32" s="3">
        <v>60.071269999999998</v>
      </c>
      <c r="CJ32" s="2">
        <v>9.8694919999999993</v>
      </c>
      <c r="CK32" s="3">
        <v>27997.34</v>
      </c>
      <c r="CL32" s="3">
        <v>27692.98</v>
      </c>
      <c r="CM32" s="2">
        <v>-1.0870930000000001</v>
      </c>
      <c r="CN32" s="3">
        <v>57.237650000000002</v>
      </c>
      <c r="CO32" s="3">
        <v>59.999400000000001</v>
      </c>
      <c r="CP32" s="3">
        <v>59.093470000000003</v>
      </c>
      <c r="CQ32" s="2">
        <v>0.56318040000000003</v>
      </c>
      <c r="CR32" s="2">
        <v>-4.0657040000000002</v>
      </c>
      <c r="CS32" s="2">
        <v>-2.5949840000000002</v>
      </c>
      <c r="CT32" s="2">
        <v>4.8250679999999999</v>
      </c>
      <c r="CU32" s="2">
        <v>60.093150000000001</v>
      </c>
      <c r="CV32" s="3">
        <v>0.15403510000000001</v>
      </c>
      <c r="CW32" s="2" t="e">
        <v>#N/A</v>
      </c>
      <c r="CX32" s="2">
        <v>-0.95841900000000002</v>
      </c>
      <c r="CY32" s="2" t="e">
        <v>#N/A</v>
      </c>
      <c r="CZ32" s="2">
        <v>24.575759999999999</v>
      </c>
    </row>
    <row r="33" spans="1:104" ht="15" customHeight="1" x14ac:dyDescent="0.2">
      <c r="A33" s="1">
        <f t="shared" si="0"/>
        <v>27</v>
      </c>
      <c r="B33" s="1" t="s">
        <v>89</v>
      </c>
      <c r="C33" s="1" t="s">
        <v>88</v>
      </c>
      <c r="D33" s="1" t="s">
        <v>38</v>
      </c>
      <c r="E33" s="1" t="s">
        <v>90</v>
      </c>
      <c r="F33" s="1" t="s">
        <v>91</v>
      </c>
      <c r="G33" s="2">
        <v>110315.6</v>
      </c>
      <c r="H33" s="2">
        <v>89.367800000000003</v>
      </c>
      <c r="I33" s="2">
        <v>98586.67</v>
      </c>
      <c r="J33" s="3">
        <v>87.22</v>
      </c>
      <c r="K33" s="3">
        <v>0</v>
      </c>
      <c r="L33" s="2">
        <v>4.2575099999999999</v>
      </c>
      <c r="M33" s="2">
        <v>4.3747720000000001</v>
      </c>
      <c r="N33" s="2">
        <v>4.7122219999999997</v>
      </c>
      <c r="O33" s="2">
        <v>4.9873880000000002</v>
      </c>
      <c r="P33" s="2">
        <v>10.754619999999999</v>
      </c>
      <c r="Q33" s="2">
        <v>11.34137</v>
      </c>
      <c r="R33" s="2">
        <v>9.9452680000000004</v>
      </c>
      <c r="S33" s="2">
        <v>9.0477179999999997</v>
      </c>
      <c r="T33" s="2">
        <v>8.6153220000000008</v>
      </c>
      <c r="U33" s="2">
        <v>8.3758590000000002</v>
      </c>
      <c r="V33" s="2">
        <v>7.0999819999999998</v>
      </c>
      <c r="W33" s="2">
        <v>6.5088470000000003</v>
      </c>
      <c r="X33" s="2">
        <v>1.474556</v>
      </c>
      <c r="Y33" s="2">
        <v>1.4347749999999999</v>
      </c>
      <c r="Z33" s="2">
        <v>1.361961</v>
      </c>
      <c r="AA33" s="2">
        <v>1.2865260000000001</v>
      </c>
      <c r="AB33" s="2">
        <v>10.47791</v>
      </c>
      <c r="AC33" s="2">
        <v>11.70819</v>
      </c>
      <c r="AD33" s="2">
        <v>9.1518300000000004</v>
      </c>
      <c r="AE33" s="2">
        <v>8.5009750000000004</v>
      </c>
      <c r="AF33" s="2">
        <v>6.0368209999999998</v>
      </c>
      <c r="AG33" s="2">
        <v>8.2467269999999999</v>
      </c>
      <c r="AH33" s="2">
        <v>9.3406310000000001</v>
      </c>
      <c r="AI33" s="2">
        <v>6.398377</v>
      </c>
      <c r="AJ33" s="2">
        <v>8.4081720000000004</v>
      </c>
      <c r="AK33" s="2">
        <v>9.2123570000000008</v>
      </c>
      <c r="AL33" s="3">
        <v>1.424196</v>
      </c>
      <c r="AM33" s="3">
        <v>1.2488889999999999</v>
      </c>
      <c r="AN33" s="2">
        <v>32.666629999999998</v>
      </c>
      <c r="AO33" s="2">
        <v>29.268190000000001</v>
      </c>
      <c r="AP33" s="2">
        <v>31.115110000000001</v>
      </c>
      <c r="AQ33" s="2">
        <v>30.957519999999999</v>
      </c>
      <c r="AR33" s="2">
        <v>0.54632289999999994</v>
      </c>
      <c r="AS33" s="2">
        <v>0.47329830000000001</v>
      </c>
      <c r="AT33" s="2">
        <v>0.13632620000000001</v>
      </c>
      <c r="AU33" s="2">
        <v>-9.063061E-2</v>
      </c>
      <c r="AV33" s="1" t="s">
        <v>6</v>
      </c>
      <c r="AW33" s="3">
        <v>1.3541669999999999</v>
      </c>
      <c r="AX33" s="3">
        <v>107</v>
      </c>
      <c r="AY33" s="2">
        <v>22.678280000000001</v>
      </c>
      <c r="AZ33" s="2">
        <v>12.65081</v>
      </c>
      <c r="BA33" s="2">
        <v>8.0453930000000007</v>
      </c>
      <c r="BB33" s="2">
        <v>-14.857480000000001</v>
      </c>
      <c r="BC33" s="2">
        <v>-2.8297659999999998</v>
      </c>
      <c r="BD33" s="3">
        <v>80.599999999999994</v>
      </c>
      <c r="BE33" s="2">
        <v>8.2134009999999993</v>
      </c>
      <c r="BF33" s="3">
        <v>105.18</v>
      </c>
      <c r="BG33" s="2">
        <v>-17.075489999999999</v>
      </c>
      <c r="BH33" s="2">
        <v>45.224170000000001</v>
      </c>
      <c r="BI33" s="2">
        <v>49.979550000000003</v>
      </c>
      <c r="BJ33" s="2">
        <v>46.724350000000001</v>
      </c>
      <c r="BK33" s="2">
        <v>45.658479999999997</v>
      </c>
      <c r="BL33" s="2">
        <v>20</v>
      </c>
      <c r="BM33" s="2">
        <v>18</v>
      </c>
      <c r="BN33" s="4">
        <v>24</v>
      </c>
      <c r="BO33" s="4">
        <v>2</v>
      </c>
      <c r="BP33" s="4">
        <v>0</v>
      </c>
      <c r="BQ33" s="4">
        <v>23</v>
      </c>
      <c r="BR33" s="2">
        <v>8</v>
      </c>
      <c r="BS33" s="4">
        <v>19</v>
      </c>
      <c r="BT33" s="4">
        <v>1</v>
      </c>
      <c r="BU33" s="4">
        <v>24</v>
      </c>
      <c r="BV33" s="2">
        <v>79.166669999999996</v>
      </c>
      <c r="BW33" s="2">
        <v>5.7789000000000001</v>
      </c>
      <c r="BX33" s="2">
        <v>1264.798</v>
      </c>
      <c r="BY33" s="3">
        <v>1.4167650000000001</v>
      </c>
      <c r="BZ33" s="3">
        <v>0.1120152</v>
      </c>
      <c r="CA33" s="2">
        <v>0.50625900000000001</v>
      </c>
      <c r="CB33" s="3">
        <v>0.1115892</v>
      </c>
      <c r="CC33" s="3">
        <v>8.0157080000000001</v>
      </c>
      <c r="CD33" s="3">
        <v>7.6407429999999996</v>
      </c>
      <c r="CE33" s="2">
        <v>-4.6778740000000001</v>
      </c>
      <c r="CF33" s="3">
        <v>12581.89</v>
      </c>
      <c r="CG33" s="3">
        <v>12284.19</v>
      </c>
      <c r="CH33" s="2">
        <v>-2.3660899999999998</v>
      </c>
      <c r="CI33" s="3">
        <v>104.1326</v>
      </c>
      <c r="CJ33" s="2">
        <v>2.7536149999999999</v>
      </c>
      <c r="CK33" s="3">
        <v>47230.57</v>
      </c>
      <c r="CL33" s="3">
        <v>47057.19</v>
      </c>
      <c r="CM33" s="2">
        <v>-0.3670812</v>
      </c>
      <c r="CN33" s="3">
        <v>92.814409999999995</v>
      </c>
      <c r="CO33" s="3">
        <v>88.242549999999994</v>
      </c>
      <c r="CP33" s="3">
        <v>88.636539999999997</v>
      </c>
      <c r="CQ33" s="2">
        <v>-6.02752</v>
      </c>
      <c r="CR33" s="2">
        <v>-1.158798</v>
      </c>
      <c r="CS33" s="2">
        <v>-1.59815</v>
      </c>
      <c r="CT33" s="2">
        <v>-4.9257989999999996</v>
      </c>
      <c r="CU33" s="2">
        <v>117.60250000000001</v>
      </c>
      <c r="CV33" s="3">
        <v>0.10660550000000001</v>
      </c>
      <c r="CW33" s="2">
        <v>-3.9146420000000002</v>
      </c>
      <c r="CX33" s="2">
        <v>-6.2638920000000002</v>
      </c>
      <c r="CY33" s="2">
        <v>-7.1877110000000002</v>
      </c>
      <c r="CZ33" s="2">
        <v>25.121210000000001</v>
      </c>
    </row>
    <row r="34" spans="1:104" ht="15" customHeight="1" x14ac:dyDescent="0.2">
      <c r="A34" s="1">
        <f t="shared" si="0"/>
        <v>28</v>
      </c>
      <c r="B34" s="1" t="s">
        <v>93</v>
      </c>
      <c r="C34" s="1" t="s">
        <v>92</v>
      </c>
      <c r="D34" s="1" t="s">
        <v>16</v>
      </c>
      <c r="E34" s="1" t="s">
        <v>94</v>
      </c>
      <c r="F34" s="1" t="s">
        <v>95</v>
      </c>
      <c r="G34" s="2">
        <v>71459.199999999997</v>
      </c>
      <c r="H34" s="2">
        <v>98.39</v>
      </c>
      <c r="I34" s="2">
        <v>70308.710000000006</v>
      </c>
      <c r="J34" s="3">
        <v>11.125</v>
      </c>
      <c r="K34" s="3">
        <v>0</v>
      </c>
      <c r="L34" s="2">
        <v>4.9438199999999997</v>
      </c>
      <c r="M34" s="2">
        <v>5.1442430000000003</v>
      </c>
      <c r="N34" s="2">
        <v>5.3932589999999996</v>
      </c>
      <c r="O34" s="2">
        <v>5.6629209999999999</v>
      </c>
      <c r="P34" s="2">
        <v>14.709519999999999</v>
      </c>
      <c r="Q34" s="2">
        <v>14.082280000000001</v>
      </c>
      <c r="R34" s="2">
        <v>13.51887</v>
      </c>
      <c r="S34" s="2">
        <v>12.84869</v>
      </c>
      <c r="T34" s="2">
        <v>8.5460060000000002</v>
      </c>
      <c r="U34" s="2">
        <v>7.93675</v>
      </c>
      <c r="V34" s="2">
        <v>7.7694539999999996</v>
      </c>
      <c r="W34" s="2">
        <v>7.611205</v>
      </c>
      <c r="X34" s="2">
        <v>1.4872989999999999</v>
      </c>
      <c r="Y34" s="2">
        <v>1.483333</v>
      </c>
      <c r="Z34" s="2">
        <v>1.3788320000000001</v>
      </c>
      <c r="AA34" s="2">
        <v>1.308824</v>
      </c>
      <c r="AB34" s="2">
        <v>6.6616770000000001</v>
      </c>
      <c r="AC34" s="2">
        <v>6.2341150000000001</v>
      </c>
      <c r="AD34" s="2">
        <v>5.9609540000000001</v>
      </c>
      <c r="AE34" s="2">
        <v>5.651262</v>
      </c>
      <c r="AF34" s="2">
        <v>0.41793829999999998</v>
      </c>
      <c r="AG34" s="2">
        <v>-0.27797929999999998</v>
      </c>
      <c r="AH34" s="2">
        <v>0.460034</v>
      </c>
      <c r="AI34" s="2">
        <v>0.69173739999999995</v>
      </c>
      <c r="AJ34" s="2">
        <v>-0.47291319999999998</v>
      </c>
      <c r="AK34" s="2">
        <v>0.80642170000000002</v>
      </c>
      <c r="AL34" s="3">
        <v>2.3713799999999998</v>
      </c>
      <c r="AM34" s="3">
        <v>2.2640729999999998</v>
      </c>
      <c r="AN34" s="2">
        <v>29.223199999999999</v>
      </c>
      <c r="AO34" s="2">
        <v>30.818079999999998</v>
      </c>
      <c r="AP34" s="2">
        <v>31.66168</v>
      </c>
      <c r="AQ34" s="2">
        <v>31.871880000000001</v>
      </c>
      <c r="AR34" s="2">
        <v>3.3176950000000001</v>
      </c>
      <c r="AS34" s="2">
        <v>3.1414740000000001</v>
      </c>
      <c r="AT34" s="2">
        <v>3.2025540000000001</v>
      </c>
      <c r="AU34" s="2">
        <v>3.2692920000000001</v>
      </c>
      <c r="AV34" s="1" t="s">
        <v>6</v>
      </c>
      <c r="AW34" s="3">
        <v>1.5</v>
      </c>
      <c r="AX34" s="3">
        <v>12.8</v>
      </c>
      <c r="AY34" s="2">
        <v>15.056179999999999</v>
      </c>
      <c r="AZ34" s="2">
        <v>10.533329999999999</v>
      </c>
      <c r="BA34" s="2">
        <v>5.9623600000000003</v>
      </c>
      <c r="BB34" s="2">
        <v>-5.3996620000000002</v>
      </c>
      <c r="BC34" s="2">
        <v>-6.2763270000000002</v>
      </c>
      <c r="BD34" s="3">
        <v>9.8819999999999997</v>
      </c>
      <c r="BE34" s="2">
        <v>12.578430000000001</v>
      </c>
      <c r="BF34" s="3">
        <v>12.244999999999999</v>
      </c>
      <c r="BG34" s="2">
        <v>-9.1465890000000005</v>
      </c>
      <c r="BH34" s="2">
        <v>72.225390000000004</v>
      </c>
      <c r="BI34" s="2">
        <v>72.473439999999997</v>
      </c>
      <c r="BJ34" s="2">
        <v>71.683440000000004</v>
      </c>
      <c r="BK34" s="2">
        <v>72.205860000000001</v>
      </c>
      <c r="BL34" s="2">
        <v>19</v>
      </c>
      <c r="BM34" s="2">
        <v>18</v>
      </c>
      <c r="BN34" s="4">
        <v>23</v>
      </c>
      <c r="BO34" s="4">
        <v>2</v>
      </c>
      <c r="BP34" s="4">
        <v>3</v>
      </c>
      <c r="BQ34" s="4">
        <v>21</v>
      </c>
      <c r="BR34" s="2">
        <v>7.6923079999999997</v>
      </c>
      <c r="BS34" s="4">
        <v>13</v>
      </c>
      <c r="BT34" s="4">
        <v>1</v>
      </c>
      <c r="BU34" s="4">
        <v>23</v>
      </c>
      <c r="BV34" s="2">
        <v>56.521740000000001</v>
      </c>
      <c r="BW34" s="2">
        <v>6.5155900000000004</v>
      </c>
      <c r="BX34" s="2">
        <v>6423.299</v>
      </c>
      <c r="BY34" s="3">
        <v>10.62983</v>
      </c>
      <c r="BZ34" s="3">
        <v>0.16548860000000001</v>
      </c>
      <c r="CA34" s="2">
        <v>0.77772300000000005</v>
      </c>
      <c r="CB34" s="3">
        <v>0.16485939999999999</v>
      </c>
      <c r="CC34" s="3">
        <v>0.77353590000000005</v>
      </c>
      <c r="CD34" s="3">
        <v>0.78682980000000002</v>
      </c>
      <c r="CE34" s="2">
        <v>1.7185809999999999</v>
      </c>
      <c r="CF34" s="3">
        <v>9515.9030000000002</v>
      </c>
      <c r="CG34" s="3">
        <v>9372.2350000000006</v>
      </c>
      <c r="CH34" s="2">
        <v>-1.509768</v>
      </c>
      <c r="CI34" s="3">
        <v>12.42727</v>
      </c>
      <c r="CJ34" s="2">
        <v>2.9993300000000001</v>
      </c>
      <c r="CK34" s="3">
        <v>55135.56</v>
      </c>
      <c r="CL34" s="3">
        <v>48097.66</v>
      </c>
      <c r="CM34" s="2">
        <v>-12.76473</v>
      </c>
      <c r="CN34" s="3">
        <v>11.055389999999999</v>
      </c>
      <c r="CO34" s="3">
        <v>10.9802</v>
      </c>
      <c r="CP34" s="3">
        <v>11.174609999999999</v>
      </c>
      <c r="CQ34" s="2">
        <v>0.62968729999999995</v>
      </c>
      <c r="CR34" s="2">
        <v>1.318789</v>
      </c>
      <c r="CS34" s="2">
        <v>-0.44399499999999997</v>
      </c>
      <c r="CT34" s="2">
        <v>-0.68012479999999997</v>
      </c>
      <c r="CU34" s="2">
        <v>120.18340000000001</v>
      </c>
      <c r="CV34" s="3">
        <v>0.16818469999999999</v>
      </c>
      <c r="CW34" s="2">
        <v>2.1147930000000001</v>
      </c>
      <c r="CX34" s="2">
        <v>-53.890599999999999</v>
      </c>
      <c r="CY34" s="2">
        <v>0.60549600000000003</v>
      </c>
      <c r="CZ34" s="2">
        <v>25.787880000000001</v>
      </c>
    </row>
    <row r="35" spans="1:104" ht="15" customHeight="1" x14ac:dyDescent="0.2">
      <c r="A35" s="1">
        <f t="shared" si="0"/>
        <v>29</v>
      </c>
      <c r="B35" s="1" t="s">
        <v>97</v>
      </c>
      <c r="C35" s="1" t="s">
        <v>96</v>
      </c>
      <c r="D35" s="1" t="s">
        <v>38</v>
      </c>
      <c r="E35" s="1" t="s">
        <v>98</v>
      </c>
      <c r="F35" s="1" t="s">
        <v>99</v>
      </c>
      <c r="G35" s="2">
        <v>98310.34</v>
      </c>
      <c r="H35" s="2">
        <v>99.725099999999998</v>
      </c>
      <c r="I35" s="2">
        <v>98040.08</v>
      </c>
      <c r="J35" s="3">
        <v>187.34</v>
      </c>
      <c r="K35" s="3">
        <v>0</v>
      </c>
      <c r="L35" s="2">
        <v>1.708124</v>
      </c>
      <c r="M35" s="2">
        <v>1.8148820000000001</v>
      </c>
      <c r="N35" s="2">
        <v>1.937654</v>
      </c>
      <c r="O35" s="2">
        <v>2.060425</v>
      </c>
      <c r="P35" s="2">
        <v>29.461480000000002</v>
      </c>
      <c r="Q35" s="2">
        <v>26.711269999999999</v>
      </c>
      <c r="R35" s="2">
        <v>24.107890000000001</v>
      </c>
      <c r="S35" s="2">
        <v>22.32273</v>
      </c>
      <c r="T35" s="2">
        <v>13.500730000000001</v>
      </c>
      <c r="U35" s="2">
        <v>13.4031</v>
      </c>
      <c r="V35" s="2">
        <v>12.398910000000001</v>
      </c>
      <c r="W35" s="2">
        <v>11.30682</v>
      </c>
      <c r="X35" s="2">
        <v>4.0213330000000003</v>
      </c>
      <c r="Y35" s="2">
        <v>3.7393209999999999</v>
      </c>
      <c r="Z35" s="2">
        <v>3.462847</v>
      </c>
      <c r="AA35" s="2">
        <v>3.2078769999999999</v>
      </c>
      <c r="AB35" s="2">
        <v>15.833349999999999</v>
      </c>
      <c r="AC35" s="2">
        <v>14.945119999999999</v>
      </c>
      <c r="AD35" s="2">
        <v>14.3413</v>
      </c>
      <c r="AE35" s="2">
        <v>13.01938</v>
      </c>
      <c r="AF35" s="2">
        <v>2.4625949999999999</v>
      </c>
      <c r="AG35" s="2">
        <v>2.6248870000000002</v>
      </c>
      <c r="AH35" s="2">
        <v>3.0092050000000001</v>
      </c>
      <c r="AI35" s="2">
        <v>2.6899320000000002</v>
      </c>
      <c r="AJ35" s="2">
        <v>2.8423240000000001</v>
      </c>
      <c r="AK35" s="2">
        <v>3.2255889999999998</v>
      </c>
      <c r="AL35" s="3">
        <v>3.641505</v>
      </c>
      <c r="AM35" s="3">
        <v>3.2940860000000001</v>
      </c>
      <c r="AN35" s="2">
        <v>27.347539999999999</v>
      </c>
      <c r="AO35" s="2">
        <v>28.4938</v>
      </c>
      <c r="AP35" s="2">
        <v>28.944130000000001</v>
      </c>
      <c r="AQ35" s="2">
        <v>29.817889999999998</v>
      </c>
      <c r="AR35" s="2">
        <v>1.282958</v>
      </c>
      <c r="AS35" s="2">
        <v>1.1327529999999999</v>
      </c>
      <c r="AT35" s="2">
        <v>0.94851680000000005</v>
      </c>
      <c r="AU35" s="2">
        <v>0.75850240000000002</v>
      </c>
      <c r="AV35" s="1" t="s">
        <v>6</v>
      </c>
      <c r="AW35" s="3">
        <v>1.428571</v>
      </c>
      <c r="AX35" s="3">
        <v>194</v>
      </c>
      <c r="AY35" s="2">
        <v>3.5550359999999999</v>
      </c>
      <c r="AZ35" s="2">
        <v>13.999040000000001</v>
      </c>
      <c r="BA35" s="2">
        <v>7.3</v>
      </c>
      <c r="BB35" s="2">
        <v>18.53961</v>
      </c>
      <c r="BC35" s="2">
        <v>6.3706519999999998</v>
      </c>
      <c r="BD35" s="3">
        <v>151.36000000000001</v>
      </c>
      <c r="BE35" s="2">
        <v>23.771139999999999</v>
      </c>
      <c r="BF35" s="3">
        <v>197.42</v>
      </c>
      <c r="BG35" s="2">
        <v>-5.1058649999999997</v>
      </c>
      <c r="BH35" s="2">
        <v>50.298609999999996</v>
      </c>
      <c r="BI35" s="2">
        <v>48.657649999999997</v>
      </c>
      <c r="BJ35" s="2">
        <v>47.051349999999999</v>
      </c>
      <c r="BK35" s="2">
        <v>45.587780000000002</v>
      </c>
      <c r="BL35" s="2">
        <v>19</v>
      </c>
      <c r="BM35" s="2">
        <v>18</v>
      </c>
      <c r="BN35" s="4">
        <v>21</v>
      </c>
      <c r="BO35" s="4">
        <v>0</v>
      </c>
      <c r="BP35" s="4">
        <v>1</v>
      </c>
      <c r="BQ35" s="4">
        <v>20</v>
      </c>
      <c r="BR35" s="2">
        <v>0</v>
      </c>
      <c r="BS35" s="4">
        <v>14</v>
      </c>
      <c r="BT35" s="4">
        <v>1</v>
      </c>
      <c r="BU35" s="4">
        <v>21</v>
      </c>
      <c r="BV35" s="2">
        <v>66.666669999999996</v>
      </c>
      <c r="BW35" s="2">
        <v>5.3672500000000003</v>
      </c>
      <c r="BX35" s="2">
        <v>524.76969999999994</v>
      </c>
      <c r="BY35" s="3">
        <v>0.5769668</v>
      </c>
      <c r="BZ35" s="3">
        <v>0.10994669999999999</v>
      </c>
      <c r="CA35" s="2">
        <v>0.94962899999999995</v>
      </c>
      <c r="CB35" s="3">
        <v>0.1095286</v>
      </c>
      <c r="CC35" s="3">
        <v>6.9585270000000001</v>
      </c>
      <c r="CD35" s="3">
        <v>6.9305599999999998</v>
      </c>
      <c r="CE35" s="2">
        <v>-0.40190819999999999</v>
      </c>
      <c r="CF35" s="3">
        <v>5439.3919999999998</v>
      </c>
      <c r="CG35" s="3">
        <v>5411.8119999999999</v>
      </c>
      <c r="CH35" s="2">
        <v>-0.50702689999999995</v>
      </c>
      <c r="CI35" s="3">
        <v>182.8571</v>
      </c>
      <c r="CJ35" s="2">
        <v>6.0937520000000003</v>
      </c>
      <c r="CK35" s="3">
        <v>28863.93</v>
      </c>
      <c r="CL35" s="3">
        <v>28157.43</v>
      </c>
      <c r="CM35" s="2">
        <v>-2.447689</v>
      </c>
      <c r="CN35" s="3">
        <v>170.6764</v>
      </c>
      <c r="CO35" s="3">
        <v>184.96190000000001</v>
      </c>
      <c r="CP35" s="3">
        <v>192.27770000000001</v>
      </c>
      <c r="CQ35" s="2">
        <v>9.7632410000000007</v>
      </c>
      <c r="CR35" s="2">
        <v>1.2857080000000001</v>
      </c>
      <c r="CS35" s="2">
        <v>-2.5679949999999998</v>
      </c>
      <c r="CT35" s="2">
        <v>8.369923</v>
      </c>
      <c r="CU35" s="2">
        <v>99.852130000000002</v>
      </c>
      <c r="CV35" s="3">
        <v>0.1015683</v>
      </c>
      <c r="CW35" s="2">
        <v>6.7491409999999998</v>
      </c>
      <c r="CX35" s="2">
        <v>1.282373</v>
      </c>
      <c r="CY35" s="2">
        <v>-19.664459999999998</v>
      </c>
      <c r="CZ35" s="2">
        <v>26.090910000000001</v>
      </c>
    </row>
    <row r="36" spans="1:104" ht="15" customHeight="1" x14ac:dyDescent="0.2">
      <c r="A36" s="1">
        <f t="shared" si="0"/>
        <v>30</v>
      </c>
      <c r="B36" s="1" t="s">
        <v>101</v>
      </c>
      <c r="C36" s="1" t="s">
        <v>100</v>
      </c>
      <c r="D36" s="1" t="s">
        <v>38</v>
      </c>
      <c r="E36" s="1" t="s">
        <v>10</v>
      </c>
      <c r="F36" s="1" t="s">
        <v>11</v>
      </c>
      <c r="G36" s="2">
        <v>76467.89</v>
      </c>
      <c r="H36" s="2">
        <v>89.696899999999999</v>
      </c>
      <c r="I36" s="2">
        <v>68589.33</v>
      </c>
      <c r="J36" s="3">
        <v>66.64</v>
      </c>
      <c r="K36" s="3">
        <v>0</v>
      </c>
      <c r="L36" s="2">
        <v>6.9027609999999999</v>
      </c>
      <c r="M36" s="2">
        <v>6.9027609999999999</v>
      </c>
      <c r="N36" s="2">
        <v>7.442977</v>
      </c>
      <c r="O36" s="2">
        <v>8.1762130000000006</v>
      </c>
      <c r="P36" s="2">
        <v>8.6554110000000009</v>
      </c>
      <c r="Q36" s="2">
        <v>7.5469989999999996</v>
      </c>
      <c r="R36" s="2">
        <v>6.6209639999999998</v>
      </c>
      <c r="S36" s="2">
        <v>6.1476009999999999</v>
      </c>
      <c r="T36" s="2" t="e">
        <v>#N/A</v>
      </c>
      <c r="U36" s="2" t="e">
        <v>#N/A</v>
      </c>
      <c r="V36" s="2" t="e">
        <v>#N/A</v>
      </c>
      <c r="W36" s="2" t="e">
        <v>#N/A</v>
      </c>
      <c r="X36" s="2">
        <v>0.69330820000000004</v>
      </c>
      <c r="Y36" s="2">
        <v>0.66727809999999999</v>
      </c>
      <c r="Z36" s="2">
        <v>0.63638729999999999</v>
      </c>
      <c r="AA36" s="2">
        <v>0.59494080000000005</v>
      </c>
      <c r="AB36" s="2" t="e">
        <v>#N/A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2" t="e">
        <v>#N/A</v>
      </c>
      <c r="AL36" s="3">
        <v>0.3402868</v>
      </c>
      <c r="AM36" s="3">
        <v>0.30170089999999999</v>
      </c>
      <c r="AN36" s="2" t="e">
        <v>#N/A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2" t="e">
        <v>#N/A</v>
      </c>
      <c r="AV36" s="1" t="s">
        <v>6</v>
      </c>
      <c r="AW36" s="3">
        <v>1.357143</v>
      </c>
      <c r="AX36" s="3">
        <v>77.5</v>
      </c>
      <c r="AY36" s="2">
        <v>16.296520000000001</v>
      </c>
      <c r="AZ36" s="2">
        <v>8.8416359999999994</v>
      </c>
      <c r="BA36" s="2">
        <v>22.096160000000001</v>
      </c>
      <c r="BB36" s="2">
        <v>16.442430000000002</v>
      </c>
      <c r="BC36" s="2">
        <v>6.4706799999999998</v>
      </c>
      <c r="BD36" s="3">
        <v>52.82</v>
      </c>
      <c r="BE36" s="2">
        <v>26.16433</v>
      </c>
      <c r="BF36" s="3">
        <v>67.599999999999994</v>
      </c>
      <c r="BG36" s="2">
        <v>-1.4201159999999999</v>
      </c>
      <c r="BH36" s="2">
        <v>62.554839999999999</v>
      </c>
      <c r="BI36" s="2">
        <v>51.307899999999997</v>
      </c>
      <c r="BJ36" s="2">
        <v>50.069450000000003</v>
      </c>
      <c r="BK36" s="2">
        <v>49.984229999999997</v>
      </c>
      <c r="BL36" s="2">
        <v>18</v>
      </c>
      <c r="BM36" s="2">
        <v>8</v>
      </c>
      <c r="BN36" s="4">
        <v>21</v>
      </c>
      <c r="BO36" s="4">
        <v>1</v>
      </c>
      <c r="BP36" s="4">
        <v>3</v>
      </c>
      <c r="BQ36" s="4">
        <v>16</v>
      </c>
      <c r="BR36" s="2">
        <v>5</v>
      </c>
      <c r="BS36" s="4">
        <v>15</v>
      </c>
      <c r="BT36" s="4">
        <v>1</v>
      </c>
      <c r="BU36" s="4">
        <v>21</v>
      </c>
      <c r="BV36" s="2">
        <v>71.428569999999993</v>
      </c>
      <c r="BW36" s="2">
        <v>8.5767299999999995</v>
      </c>
      <c r="BX36" s="2">
        <v>1147.4770000000001</v>
      </c>
      <c r="BY36" s="3">
        <v>2.757765</v>
      </c>
      <c r="BZ36" s="3">
        <v>0.24033280000000001</v>
      </c>
      <c r="CA36" s="2">
        <v>1.24759</v>
      </c>
      <c r="CB36" s="3">
        <v>0.23941899999999999</v>
      </c>
      <c r="CC36" s="3">
        <v>9.3269070000000003</v>
      </c>
      <c r="CD36" s="3">
        <v>8.8628429999999998</v>
      </c>
      <c r="CE36" s="2">
        <v>-4.9755450000000003</v>
      </c>
      <c r="CF36" s="3">
        <v>18606.75</v>
      </c>
      <c r="CG36" s="3">
        <v>17870.91</v>
      </c>
      <c r="CH36" s="2">
        <v>-3.954685</v>
      </c>
      <c r="CI36" s="3">
        <v>77.948099999999997</v>
      </c>
      <c r="CJ36" s="2">
        <v>-0.57486890000000002</v>
      </c>
      <c r="CK36" s="3">
        <v>48787.16</v>
      </c>
      <c r="CL36" s="3">
        <v>47757.48</v>
      </c>
      <c r="CM36" s="2">
        <v>-2.1105529999999999</v>
      </c>
      <c r="CN36" s="3">
        <v>59.165660000000003</v>
      </c>
      <c r="CO36" s="3">
        <v>59.37079</v>
      </c>
      <c r="CP36" s="3">
        <v>62.771929999999998</v>
      </c>
      <c r="CQ36" s="2">
        <v>12.63289</v>
      </c>
      <c r="CR36" s="2">
        <v>12.24375</v>
      </c>
      <c r="CS36" s="2">
        <v>6.1621069999999998</v>
      </c>
      <c r="CT36" s="2">
        <v>0.34669640000000002</v>
      </c>
      <c r="CU36" s="2">
        <v>167.01300000000001</v>
      </c>
      <c r="CV36" s="3">
        <v>0.2184093</v>
      </c>
      <c r="CW36" s="2">
        <v>-16.653759999999998</v>
      </c>
      <c r="CX36" s="2">
        <v>-4.7349069999999998</v>
      </c>
      <c r="CY36" s="2">
        <v>-12.042920000000001</v>
      </c>
      <c r="CZ36" s="2">
        <v>26.121210000000001</v>
      </c>
    </row>
    <row r="37" spans="1:104" ht="15" customHeight="1" x14ac:dyDescent="0.2">
      <c r="A37" s="1">
        <f t="shared" si="0"/>
        <v>31</v>
      </c>
      <c r="B37" s="1" t="s">
        <v>103</v>
      </c>
      <c r="C37" s="1" t="s">
        <v>102</v>
      </c>
      <c r="D37" s="1" t="s">
        <v>26</v>
      </c>
      <c r="E37" s="1" t="s">
        <v>10</v>
      </c>
      <c r="F37" s="1" t="s">
        <v>104</v>
      </c>
      <c r="G37" s="2">
        <v>35435</v>
      </c>
      <c r="H37" s="2">
        <v>96.704700000000003</v>
      </c>
      <c r="I37" s="2">
        <v>34267.31</v>
      </c>
      <c r="J37" s="3">
        <v>186.5</v>
      </c>
      <c r="K37" s="3">
        <v>0</v>
      </c>
      <c r="L37" s="2">
        <v>2.037534</v>
      </c>
      <c r="M37" s="2">
        <v>2.1447720000000001</v>
      </c>
      <c r="N37" s="2">
        <v>2.2252010000000002</v>
      </c>
      <c r="O37" s="2">
        <v>2.3592490000000002</v>
      </c>
      <c r="P37" s="2">
        <v>18.687380000000001</v>
      </c>
      <c r="Q37" s="2">
        <v>18.724900000000002</v>
      </c>
      <c r="R37" s="2">
        <v>17.65597</v>
      </c>
      <c r="S37" s="2">
        <v>16.607299999999999</v>
      </c>
      <c r="T37" s="2">
        <v>14.08372</v>
      </c>
      <c r="U37" s="2">
        <v>12.650919999999999</v>
      </c>
      <c r="V37" s="2">
        <v>11.702909999999999</v>
      </c>
      <c r="W37" s="2">
        <v>10.52319</v>
      </c>
      <c r="X37" s="2">
        <v>3.6203910000000001</v>
      </c>
      <c r="Y37" s="2">
        <v>3.2468659999999998</v>
      </c>
      <c r="Z37" s="2">
        <v>2.9300860000000002</v>
      </c>
      <c r="AA37" s="2">
        <v>2.4652780000000001</v>
      </c>
      <c r="AB37" s="2">
        <v>16.396229999999999</v>
      </c>
      <c r="AC37" s="2">
        <v>14.64227</v>
      </c>
      <c r="AD37" s="2">
        <v>13.844580000000001</v>
      </c>
      <c r="AE37" s="2">
        <v>13.09273</v>
      </c>
      <c r="AF37" s="2">
        <v>4.4452049999999996</v>
      </c>
      <c r="AG37" s="2">
        <v>4.5724780000000003</v>
      </c>
      <c r="AH37" s="2">
        <v>5.6369179999999997</v>
      </c>
      <c r="AI37" s="2">
        <v>5.1395520000000001</v>
      </c>
      <c r="AJ37" s="2">
        <v>5.176507</v>
      </c>
      <c r="AK37" s="2">
        <v>6.0414849999999998</v>
      </c>
      <c r="AL37" s="3">
        <v>2.646852</v>
      </c>
      <c r="AM37" s="3">
        <v>2.4965229999999998</v>
      </c>
      <c r="AN37" s="2">
        <v>57.997480000000003</v>
      </c>
      <c r="AO37" s="2">
        <v>56.835129999999999</v>
      </c>
      <c r="AP37" s="2">
        <v>57.65211</v>
      </c>
      <c r="AQ37" s="2">
        <v>57.605739999999997</v>
      </c>
      <c r="AR37" s="2">
        <v>2.0486019999999998</v>
      </c>
      <c r="AS37" s="2">
        <v>1.709125</v>
      </c>
      <c r="AT37" s="2">
        <v>1.3655729999999999</v>
      </c>
      <c r="AU37" s="2">
        <v>0.70468379999999997</v>
      </c>
      <c r="AV37" s="1" t="s">
        <v>62</v>
      </c>
      <c r="AW37" s="3">
        <v>1.6363639999999999</v>
      </c>
      <c r="AX37" s="3">
        <v>204</v>
      </c>
      <c r="AY37" s="2">
        <v>9.383381</v>
      </c>
      <c r="AZ37" s="2">
        <v>17.339829999999999</v>
      </c>
      <c r="BA37" s="2">
        <v>5.7306140000000001</v>
      </c>
      <c r="BB37" s="2">
        <v>2.33196</v>
      </c>
      <c r="BC37" s="2">
        <v>0</v>
      </c>
      <c r="BD37" s="3">
        <v>152.6</v>
      </c>
      <c r="BE37" s="2">
        <v>22.214939999999999</v>
      </c>
      <c r="BF37" s="3">
        <v>194.55</v>
      </c>
      <c r="BG37" s="2">
        <v>-4.1377540000000002</v>
      </c>
      <c r="BH37" s="2">
        <v>38.11233</v>
      </c>
      <c r="BI37" s="2">
        <v>38.953060000000001</v>
      </c>
      <c r="BJ37" s="2">
        <v>38.355589999999999</v>
      </c>
      <c r="BK37" s="2">
        <v>38.207140000000003</v>
      </c>
      <c r="BL37" s="2">
        <v>20</v>
      </c>
      <c r="BM37" s="2">
        <v>16</v>
      </c>
      <c r="BN37" s="4">
        <v>22</v>
      </c>
      <c r="BO37" s="4">
        <v>0</v>
      </c>
      <c r="BP37" s="4">
        <v>0</v>
      </c>
      <c r="BQ37" s="4">
        <v>22</v>
      </c>
      <c r="BR37" s="2">
        <v>0</v>
      </c>
      <c r="BS37" s="4">
        <v>9</v>
      </c>
      <c r="BT37" s="4">
        <v>1</v>
      </c>
      <c r="BU37" s="4">
        <v>22</v>
      </c>
      <c r="BV37" s="2">
        <v>40.909089999999999</v>
      </c>
      <c r="BW37" s="2">
        <v>5.29026</v>
      </c>
      <c r="BX37" s="2">
        <v>190</v>
      </c>
      <c r="BY37" s="3">
        <v>0.3351769</v>
      </c>
      <c r="BZ37" s="3">
        <v>0.17640890000000001</v>
      </c>
      <c r="CA37" s="2">
        <v>0.44622899999999999</v>
      </c>
      <c r="CB37" s="3">
        <v>0.17573820000000001</v>
      </c>
      <c r="CC37" s="3">
        <v>10.2362</v>
      </c>
      <c r="CD37" s="3">
        <v>10.13054</v>
      </c>
      <c r="CE37" s="2">
        <v>-1.032168</v>
      </c>
      <c r="CF37" s="3">
        <v>2738.779</v>
      </c>
      <c r="CG37" s="3">
        <v>2721.0079999999998</v>
      </c>
      <c r="CH37" s="2">
        <v>-0.64886809999999995</v>
      </c>
      <c r="CI37" s="3">
        <v>198.90479999999999</v>
      </c>
      <c r="CJ37" s="2">
        <v>2.5616530000000002</v>
      </c>
      <c r="CK37" s="3">
        <v>5696.4849999999997</v>
      </c>
      <c r="CL37" s="3">
        <v>5720.5690000000004</v>
      </c>
      <c r="CM37" s="2">
        <v>0.4227996</v>
      </c>
      <c r="CN37" s="3">
        <v>174.53809999999999</v>
      </c>
      <c r="CO37" s="3">
        <v>188.0206</v>
      </c>
      <c r="CP37" s="3">
        <v>187.73269999999999</v>
      </c>
      <c r="CQ37" s="2">
        <v>6.8534730000000001</v>
      </c>
      <c r="CR37" s="2">
        <v>-0.80873969999999995</v>
      </c>
      <c r="CS37" s="2">
        <v>-0.65661670000000005</v>
      </c>
      <c r="CT37" s="2">
        <v>7.7246899999999998</v>
      </c>
      <c r="CU37" s="2">
        <v>63.881790000000002</v>
      </c>
      <c r="CV37" s="3">
        <v>0.18027879999999999</v>
      </c>
      <c r="CW37" s="2">
        <v>5.2307110000000003</v>
      </c>
      <c r="CX37" s="2">
        <v>0.19709209999999999</v>
      </c>
      <c r="CY37" s="2">
        <v>-1.9937560000000001</v>
      </c>
      <c r="CZ37" s="2">
        <v>26.757580000000001</v>
      </c>
    </row>
    <row r="38" spans="1:104" ht="15" customHeight="1" x14ac:dyDescent="0.2">
      <c r="A38" s="1">
        <f t="shared" si="0"/>
        <v>32</v>
      </c>
      <c r="B38" s="1" t="s">
        <v>106</v>
      </c>
      <c r="C38" s="1" t="s">
        <v>105</v>
      </c>
      <c r="D38" s="1" t="s">
        <v>3</v>
      </c>
      <c r="E38" s="1" t="s">
        <v>10</v>
      </c>
      <c r="F38" s="1" t="s">
        <v>11</v>
      </c>
      <c r="G38" s="2">
        <v>54299.24</v>
      </c>
      <c r="H38" s="2">
        <v>94.942300000000003</v>
      </c>
      <c r="I38" s="2">
        <v>51552.95</v>
      </c>
      <c r="J38" s="3">
        <v>15.644</v>
      </c>
      <c r="K38" s="3">
        <v>0</v>
      </c>
      <c r="L38" s="2">
        <v>7.0953720000000002</v>
      </c>
      <c r="M38" s="2">
        <v>6.1365379999999998</v>
      </c>
      <c r="N38" s="2">
        <v>6.4561500000000001</v>
      </c>
      <c r="O38" s="2">
        <v>7.1067150000000003</v>
      </c>
      <c r="P38" s="2">
        <v>7.6312199999999999</v>
      </c>
      <c r="Q38" s="2">
        <v>8.3931539999999991</v>
      </c>
      <c r="R38" s="2">
        <v>7.7485819999999999</v>
      </c>
      <c r="S38" s="2">
        <v>7.1109090000000004</v>
      </c>
      <c r="T38" s="2" t="e">
        <v>#N/A</v>
      </c>
      <c r="U38" s="2" t="e">
        <v>#N/A</v>
      </c>
      <c r="V38" s="2" t="e">
        <v>#N/A</v>
      </c>
      <c r="W38" s="2" t="e">
        <v>#N/A</v>
      </c>
      <c r="X38" s="2">
        <v>1.034656</v>
      </c>
      <c r="Y38" s="2">
        <v>0.95975460000000001</v>
      </c>
      <c r="Z38" s="2">
        <v>0.89804819999999996</v>
      </c>
      <c r="AA38" s="2">
        <v>0.85114259999999997</v>
      </c>
      <c r="AB38" s="2" t="e">
        <v>#N/A</v>
      </c>
      <c r="AC38" s="2" t="e">
        <v>#N/A</v>
      </c>
      <c r="AD38" s="2" t="e">
        <v>#N/A</v>
      </c>
      <c r="AE38" s="2" t="e">
        <v>#N/A</v>
      </c>
      <c r="AF38" s="2" t="e">
        <v>#N/A</v>
      </c>
      <c r="AG38" s="2" t="e">
        <v>#N/A</v>
      </c>
      <c r="AH38" s="2" t="e">
        <v>#N/A</v>
      </c>
      <c r="AI38" s="2" t="e">
        <v>#N/A</v>
      </c>
      <c r="AJ38" s="2" t="e">
        <v>#N/A</v>
      </c>
      <c r="AK38" s="2" t="e">
        <v>#N/A</v>
      </c>
      <c r="AL38" s="3">
        <v>14.48128</v>
      </c>
      <c r="AM38" s="3">
        <v>13.158759999999999</v>
      </c>
      <c r="AN38" s="2" t="e">
        <v>#N/A</v>
      </c>
      <c r="AO38" s="2" t="e">
        <v>#N/A</v>
      </c>
      <c r="AP38" s="2" t="e">
        <v>#N/A</v>
      </c>
      <c r="AQ38" s="2" t="e">
        <v>#N/A</v>
      </c>
      <c r="AR38" s="2" t="e">
        <v>#N/A</v>
      </c>
      <c r="AS38" s="2" t="e">
        <v>#N/A</v>
      </c>
      <c r="AT38" s="2" t="e">
        <v>#N/A</v>
      </c>
      <c r="AU38" s="2" t="e">
        <v>#N/A</v>
      </c>
      <c r="AV38" s="1" t="s">
        <v>6</v>
      </c>
      <c r="AW38" s="3">
        <v>1.4090910000000001</v>
      </c>
      <c r="AX38" s="3">
        <v>16.3</v>
      </c>
      <c r="AY38" s="2">
        <v>4.1932939999999999</v>
      </c>
      <c r="AZ38" s="2">
        <v>11.43497</v>
      </c>
      <c r="BA38" s="2">
        <v>0.58085549999999997</v>
      </c>
      <c r="BB38" s="2">
        <v>36.963760000000001</v>
      </c>
      <c r="BC38" s="2">
        <v>15.65874</v>
      </c>
      <c r="BD38" s="3">
        <v>10.722</v>
      </c>
      <c r="BE38" s="2">
        <v>45.905610000000003</v>
      </c>
      <c r="BF38" s="3">
        <v>15.843999999999999</v>
      </c>
      <c r="BG38" s="2">
        <v>-1.2623070000000001</v>
      </c>
      <c r="BH38" s="2">
        <v>53.806849999999997</v>
      </c>
      <c r="BI38" s="2">
        <v>51.668979999999998</v>
      </c>
      <c r="BJ38" s="2">
        <v>50.975149999999999</v>
      </c>
      <c r="BK38" s="2">
        <v>50.539760000000001</v>
      </c>
      <c r="BL38" s="2">
        <v>20</v>
      </c>
      <c r="BM38" s="2">
        <v>11</v>
      </c>
      <c r="BN38" s="4">
        <v>22</v>
      </c>
      <c r="BO38" s="4">
        <v>0</v>
      </c>
      <c r="BP38" s="4">
        <v>2</v>
      </c>
      <c r="BQ38" s="4">
        <v>21</v>
      </c>
      <c r="BR38" s="2">
        <v>0</v>
      </c>
      <c r="BS38" s="4">
        <v>15</v>
      </c>
      <c r="BT38" s="4">
        <v>2</v>
      </c>
      <c r="BU38" s="4">
        <v>22</v>
      </c>
      <c r="BV38" s="2">
        <v>68.181820000000002</v>
      </c>
      <c r="BW38" s="2">
        <v>8.9388299999999994</v>
      </c>
      <c r="BX38" s="2">
        <v>3470.931</v>
      </c>
      <c r="BY38" s="3">
        <v>11.006690000000001</v>
      </c>
      <c r="BZ38" s="3">
        <v>0.31711050000000002</v>
      </c>
      <c r="CA38" s="2">
        <v>1.0116700000000001</v>
      </c>
      <c r="CB38" s="3">
        <v>0.31590469999999998</v>
      </c>
      <c r="CC38" s="3">
        <v>1.9356709999999999</v>
      </c>
      <c r="CD38" s="3">
        <v>1.859828</v>
      </c>
      <c r="CE38" s="2">
        <v>-3.9181710000000001</v>
      </c>
      <c r="CF38" s="3">
        <v>10745.76</v>
      </c>
      <c r="CG38" s="3">
        <v>9759.8780000000006</v>
      </c>
      <c r="CH38" s="2">
        <v>-9.1746219999999994</v>
      </c>
      <c r="CI38" s="3">
        <v>16.181799999999999</v>
      </c>
      <c r="CJ38" s="2">
        <v>0.73045490000000002</v>
      </c>
      <c r="CK38" s="3">
        <v>22431.96</v>
      </c>
      <c r="CL38" s="3">
        <v>21853.85</v>
      </c>
      <c r="CM38" s="2">
        <v>-2.577162</v>
      </c>
      <c r="CN38" s="3">
        <v>13.052020000000001</v>
      </c>
      <c r="CO38" s="3">
        <v>13.559369999999999</v>
      </c>
      <c r="CP38" s="3">
        <v>14.586309999999999</v>
      </c>
      <c r="CQ38" s="2">
        <v>19.858840000000001</v>
      </c>
      <c r="CR38" s="2">
        <v>15.374079999999999</v>
      </c>
      <c r="CS38" s="2">
        <v>7.2512749999999997</v>
      </c>
      <c r="CT38" s="2">
        <v>3.8871410000000002</v>
      </c>
      <c r="CU38" s="2">
        <v>148.2482</v>
      </c>
      <c r="CV38" s="3">
        <v>0.27302080000000001</v>
      </c>
      <c r="CW38" s="2">
        <v>2.348436</v>
      </c>
      <c r="CX38" s="2">
        <v>-2.7835109999999998</v>
      </c>
      <c r="CY38" s="2">
        <v>-9.5473490000000005</v>
      </c>
      <c r="CZ38" s="2">
        <v>26.898990000000001</v>
      </c>
    </row>
    <row r="39" spans="1:104" ht="15" customHeight="1" x14ac:dyDescent="0.2">
      <c r="A39" s="1">
        <f t="shared" si="0"/>
        <v>33</v>
      </c>
      <c r="B39" s="1" t="s">
        <v>108</v>
      </c>
      <c r="C39" s="1" t="s">
        <v>107</v>
      </c>
      <c r="D39" s="1" t="s">
        <v>3</v>
      </c>
      <c r="E39" s="1" t="s">
        <v>109</v>
      </c>
      <c r="F39" s="1" t="s">
        <v>110</v>
      </c>
      <c r="G39" s="2">
        <v>77924.929999999993</v>
      </c>
      <c r="H39" s="2">
        <v>54.654800000000002</v>
      </c>
      <c r="I39" s="2">
        <v>42589.71</v>
      </c>
      <c r="J39" s="3">
        <v>29.3</v>
      </c>
      <c r="K39" s="3">
        <v>0</v>
      </c>
      <c r="L39" s="2">
        <v>0.23040669999999999</v>
      </c>
      <c r="M39" s="2">
        <v>3.3549109999999999E-3</v>
      </c>
      <c r="N39" s="2">
        <v>4.2975599999999997E-3</v>
      </c>
      <c r="O39" s="2">
        <v>1.9765609999999999E-2</v>
      </c>
      <c r="P39" s="2">
        <v>37.79956</v>
      </c>
      <c r="Q39" s="2">
        <v>15.510529999999999</v>
      </c>
      <c r="R39" s="2">
        <v>12.378399999999999</v>
      </c>
      <c r="S39" s="2">
        <v>10.04522</v>
      </c>
      <c r="T39" s="2" t="e">
        <v>#N/A</v>
      </c>
      <c r="U39" s="2" t="e">
        <v>#N/A</v>
      </c>
      <c r="V39" s="2">
        <v>424.6558</v>
      </c>
      <c r="W39" s="2">
        <v>180.876</v>
      </c>
      <c r="X39" s="2">
        <v>1.824308</v>
      </c>
      <c r="Y39" s="2">
        <v>1.5843719999999999</v>
      </c>
      <c r="Z39" s="2">
        <v>1.3891910000000001</v>
      </c>
      <c r="AA39" s="2">
        <v>1.2142170000000001</v>
      </c>
      <c r="AB39" s="2" t="e">
        <v>#N/A</v>
      </c>
      <c r="AC39" s="2">
        <v>99.984679999999997</v>
      </c>
      <c r="AD39" s="2">
        <v>76.193730000000002</v>
      </c>
      <c r="AE39" s="2">
        <v>44.602069999999998</v>
      </c>
      <c r="AF39" s="2">
        <v>0.63172649999999997</v>
      </c>
      <c r="AG39" s="2">
        <v>0.88747319999999996</v>
      </c>
      <c r="AH39" s="2">
        <v>2.7614130000000001</v>
      </c>
      <c r="AI39" s="2">
        <v>0.63205540000000004</v>
      </c>
      <c r="AJ39" s="2">
        <v>0.88768080000000005</v>
      </c>
      <c r="AK39" s="2">
        <v>2.7465299999999999</v>
      </c>
      <c r="AL39" s="3" t="e">
        <v>#N/A</v>
      </c>
      <c r="AM39" s="3" t="e">
        <v>#N/A</v>
      </c>
      <c r="AN39" s="2">
        <v>-8.2063880000000005</v>
      </c>
      <c r="AO39" s="2">
        <v>-1.0461130000000001</v>
      </c>
      <c r="AP39" s="2">
        <v>3.1039310000000002</v>
      </c>
      <c r="AQ39" s="2">
        <v>6.5457109999999998</v>
      </c>
      <c r="AR39" s="2">
        <v>4.1916170000000003E-2</v>
      </c>
      <c r="AS39" s="2">
        <v>-0.74915589999999999</v>
      </c>
      <c r="AT39" s="2">
        <v>9.9306430000000001E-2</v>
      </c>
      <c r="AU39" s="2">
        <v>-0.97979519999999998</v>
      </c>
      <c r="AV39" s="1" t="s">
        <v>6</v>
      </c>
      <c r="AW39" s="3">
        <v>1.125</v>
      </c>
      <c r="AX39" s="3">
        <v>42.030769999999997</v>
      </c>
      <c r="AY39" s="2">
        <v>43.449710000000003</v>
      </c>
      <c r="AZ39" s="2">
        <v>10.21482</v>
      </c>
      <c r="BA39" s="2" t="e">
        <v>#N/A</v>
      </c>
      <c r="BB39" s="2">
        <v>-9.1833709999999993</v>
      </c>
      <c r="BC39" s="2">
        <v>8.5788360000000008</v>
      </c>
      <c r="BD39" s="3">
        <v>23.754999999999999</v>
      </c>
      <c r="BE39" s="2">
        <v>23.342449999999999</v>
      </c>
      <c r="BF39" s="3">
        <v>33.414409999999997</v>
      </c>
      <c r="BG39" s="2">
        <v>-12.313269999999999</v>
      </c>
      <c r="BH39" s="2">
        <v>6.2042520000000003</v>
      </c>
      <c r="BI39" s="2">
        <v>2.9367740000000002</v>
      </c>
      <c r="BJ39" s="2">
        <v>2.2020979999999999</v>
      </c>
      <c r="BK39" s="2">
        <v>1.851164</v>
      </c>
      <c r="BL39" s="2">
        <v>12</v>
      </c>
      <c r="BM39" s="2">
        <v>12</v>
      </c>
      <c r="BN39" s="4">
        <v>16</v>
      </c>
      <c r="BO39" s="4">
        <v>0</v>
      </c>
      <c r="BP39" s="4">
        <v>0</v>
      </c>
      <c r="BQ39" s="4">
        <v>16</v>
      </c>
      <c r="BR39" s="2">
        <v>0</v>
      </c>
      <c r="BS39" s="4">
        <v>15</v>
      </c>
      <c r="BT39" s="4">
        <v>0</v>
      </c>
      <c r="BU39" s="4">
        <v>16</v>
      </c>
      <c r="BV39" s="2">
        <v>93.75</v>
      </c>
      <c r="BW39" s="2">
        <v>12.497400000000001</v>
      </c>
      <c r="BX39" s="2">
        <v>2659.5540000000001</v>
      </c>
      <c r="BY39" s="3">
        <v>3.2307600000000001</v>
      </c>
      <c r="BZ39" s="3">
        <v>0.1214775</v>
      </c>
      <c r="CA39" s="2">
        <v>0.92764999999999997</v>
      </c>
      <c r="CB39" s="3">
        <v>0.1210156</v>
      </c>
      <c r="CC39" s="3">
        <v>1.7994380000000001</v>
      </c>
      <c r="CD39" s="3">
        <v>1.896271</v>
      </c>
      <c r="CE39" s="2">
        <v>5.3812620000000004</v>
      </c>
      <c r="CF39" s="3">
        <v>-297.02330000000001</v>
      </c>
      <c r="CG39" s="3">
        <v>-227.04939999999999</v>
      </c>
      <c r="CH39" s="2">
        <v>-23.558399999999999</v>
      </c>
      <c r="CI39" s="3">
        <v>40.87115</v>
      </c>
      <c r="CJ39" s="2">
        <v>2.837253</v>
      </c>
      <c r="CK39" s="3">
        <v>5626.6779999999999</v>
      </c>
      <c r="CL39" s="3">
        <v>5391.0550000000003</v>
      </c>
      <c r="CM39" s="2">
        <v>-4.1875960000000001</v>
      </c>
      <c r="CN39" s="3">
        <v>28.720330000000001</v>
      </c>
      <c r="CO39" s="3">
        <v>28.15814</v>
      </c>
      <c r="CP39" s="3">
        <v>27.991540000000001</v>
      </c>
      <c r="CQ39" s="2">
        <v>2.0183209999999998</v>
      </c>
      <c r="CR39" s="2">
        <v>4.0551659999999998</v>
      </c>
      <c r="CS39" s="2">
        <v>4.6744940000000001</v>
      </c>
      <c r="CT39" s="2">
        <v>-1.9574579999999999</v>
      </c>
      <c r="CU39" s="2">
        <v>79.833179999999999</v>
      </c>
      <c r="CV39" s="3">
        <v>0.10244880000000001</v>
      </c>
      <c r="CW39" s="2" t="e">
        <v>#N/A</v>
      </c>
      <c r="CX39" s="2" t="e">
        <v>#N/A</v>
      </c>
      <c r="CY39" s="2" t="e">
        <v>#N/A</v>
      </c>
      <c r="CZ39" s="2">
        <v>27.434339999999999</v>
      </c>
    </row>
    <row r="40" spans="1:104" ht="15" customHeight="1" x14ac:dyDescent="0.2">
      <c r="A40" s="1">
        <f t="shared" si="0"/>
        <v>34</v>
      </c>
      <c r="B40" s="1" t="s">
        <v>112</v>
      </c>
      <c r="C40" s="1" t="s">
        <v>111</v>
      </c>
      <c r="D40" s="1" t="s">
        <v>26</v>
      </c>
      <c r="E40" s="1" t="s">
        <v>98</v>
      </c>
      <c r="F40" s="1" t="s">
        <v>113</v>
      </c>
      <c r="G40" s="2">
        <v>47910.62</v>
      </c>
      <c r="H40" s="2">
        <v>100</v>
      </c>
      <c r="I40" s="2">
        <v>47910.62</v>
      </c>
      <c r="J40" s="3">
        <v>53.6</v>
      </c>
      <c r="K40" s="3">
        <v>0</v>
      </c>
      <c r="L40" s="2">
        <v>6.3432839999999997</v>
      </c>
      <c r="M40" s="2">
        <v>6.3432839999999997</v>
      </c>
      <c r="N40" s="2">
        <v>6.3432839999999997</v>
      </c>
      <c r="O40" s="2">
        <v>6.3432839999999997</v>
      </c>
      <c r="P40" s="2">
        <v>19.280570000000001</v>
      </c>
      <c r="Q40" s="2">
        <v>15.25648</v>
      </c>
      <c r="R40" s="2">
        <v>12.746729999999999</v>
      </c>
      <c r="S40" s="2">
        <v>11.50215</v>
      </c>
      <c r="T40" s="2">
        <v>7.8467260000000003</v>
      </c>
      <c r="U40" s="2">
        <v>8.1097640000000002</v>
      </c>
      <c r="V40" s="2">
        <v>7.2056690000000003</v>
      </c>
      <c r="W40" s="2">
        <v>6.9399220000000001</v>
      </c>
      <c r="X40" s="2">
        <v>1.3562749999999999</v>
      </c>
      <c r="Y40" s="2">
        <v>1.3638680000000001</v>
      </c>
      <c r="Z40" s="2">
        <v>1.3501259999999999</v>
      </c>
      <c r="AA40" s="2">
        <v>1.3025519999999999</v>
      </c>
      <c r="AB40" s="2">
        <v>6.0488569999999999</v>
      </c>
      <c r="AC40" s="2">
        <v>7.2845269999999998</v>
      </c>
      <c r="AD40" s="2">
        <v>7.0850289999999996</v>
      </c>
      <c r="AE40" s="2">
        <v>6.358244</v>
      </c>
      <c r="AF40" s="2">
        <v>1.21593</v>
      </c>
      <c r="AG40" s="2">
        <v>2.8069310000000001</v>
      </c>
      <c r="AH40" s="2">
        <v>5.016133</v>
      </c>
      <c r="AI40" s="2">
        <v>1.7056210000000001</v>
      </c>
      <c r="AJ40" s="2">
        <v>3.9741550000000001</v>
      </c>
      <c r="AK40" s="2">
        <v>7.1308179999999997</v>
      </c>
      <c r="AL40" s="3">
        <v>1.435368</v>
      </c>
      <c r="AM40" s="3">
        <v>1.191138</v>
      </c>
      <c r="AN40" s="2">
        <v>11.1332</v>
      </c>
      <c r="AO40" s="2">
        <v>11.796659999999999</v>
      </c>
      <c r="AP40" s="2">
        <v>12.85853</v>
      </c>
      <c r="AQ40" s="2">
        <v>13.105309999999999</v>
      </c>
      <c r="AR40" s="2">
        <v>2.1626910000000001</v>
      </c>
      <c r="AS40" s="2">
        <v>2.3283459999999998</v>
      </c>
      <c r="AT40" s="2">
        <v>2.1163319999999999</v>
      </c>
      <c r="AU40" s="2">
        <v>2.058074</v>
      </c>
      <c r="AV40" s="1" t="s">
        <v>40</v>
      </c>
      <c r="AW40" s="3">
        <v>1.6363639999999999</v>
      </c>
      <c r="AX40" s="3">
        <v>53</v>
      </c>
      <c r="AY40" s="2">
        <v>-1.119399</v>
      </c>
      <c r="AZ40" s="2">
        <v>8.9395980000000002</v>
      </c>
      <c r="BA40" s="2">
        <v>14.1</v>
      </c>
      <c r="BB40" s="2">
        <v>10.72092</v>
      </c>
      <c r="BC40" s="2">
        <v>9.8811040000000006</v>
      </c>
      <c r="BD40" s="3">
        <v>40.25</v>
      </c>
      <c r="BE40" s="2">
        <v>33.16769</v>
      </c>
      <c r="BF40" s="3">
        <v>54.93</v>
      </c>
      <c r="BG40" s="2">
        <v>-2.4212660000000001</v>
      </c>
      <c r="BH40" s="2">
        <v>122.3022</v>
      </c>
      <c r="BI40" s="2">
        <v>92.521919999999994</v>
      </c>
      <c r="BJ40" s="2">
        <v>77.425510000000003</v>
      </c>
      <c r="BK40" s="2">
        <v>70.869460000000004</v>
      </c>
      <c r="BL40" s="2">
        <v>22</v>
      </c>
      <c r="BM40" s="2">
        <v>20</v>
      </c>
      <c r="BN40" s="4">
        <v>22</v>
      </c>
      <c r="BO40" s="4">
        <v>2</v>
      </c>
      <c r="BP40" s="4">
        <v>1</v>
      </c>
      <c r="BQ40" s="4">
        <v>17</v>
      </c>
      <c r="BR40" s="2">
        <v>10</v>
      </c>
      <c r="BS40" s="4">
        <v>11</v>
      </c>
      <c r="BT40" s="4">
        <v>3</v>
      </c>
      <c r="BU40" s="4">
        <v>22</v>
      </c>
      <c r="BV40" s="2">
        <v>50</v>
      </c>
      <c r="BW40" s="2">
        <v>7.8872400000000003</v>
      </c>
      <c r="BX40" s="2">
        <v>893.85490000000004</v>
      </c>
      <c r="BY40" s="3">
        <v>2.2954129999999999</v>
      </c>
      <c r="BZ40" s="3">
        <v>0.25679930000000001</v>
      </c>
      <c r="CA40" s="2">
        <v>1.1316299999999999</v>
      </c>
      <c r="CB40" s="3">
        <v>0.25582290000000002</v>
      </c>
      <c r="CC40" s="3">
        <v>4.0161179999999996</v>
      </c>
      <c r="CD40" s="3">
        <v>3.6207639999999999</v>
      </c>
      <c r="CE40" s="2">
        <v>-9.8441840000000003</v>
      </c>
      <c r="CF40" s="3">
        <v>4644.4309999999996</v>
      </c>
      <c r="CG40" s="3">
        <v>4274.7380000000003</v>
      </c>
      <c r="CH40" s="2">
        <v>-7.9599080000000004</v>
      </c>
      <c r="CI40" s="3">
        <v>49.473680000000002</v>
      </c>
      <c r="CJ40" s="2">
        <v>7.1276659999999996</v>
      </c>
      <c r="CK40" s="3">
        <v>72175.81</v>
      </c>
      <c r="CL40" s="3">
        <v>70018.05</v>
      </c>
      <c r="CM40" s="2">
        <v>-2.9895960000000001</v>
      </c>
      <c r="CN40" s="3">
        <v>45.914760000000001</v>
      </c>
      <c r="CO40" s="3">
        <v>48.679409999999997</v>
      </c>
      <c r="CP40" s="3">
        <v>51.497109999999999</v>
      </c>
      <c r="CQ40" s="2">
        <v>16.738060000000001</v>
      </c>
      <c r="CR40" s="2">
        <v>10.10815</v>
      </c>
      <c r="CS40" s="2">
        <v>4.0835020000000002</v>
      </c>
      <c r="CT40" s="2">
        <v>6.0212729999999999</v>
      </c>
      <c r="CU40" s="2">
        <v>106.46250000000001</v>
      </c>
      <c r="CV40" s="3">
        <v>0.22221060000000001</v>
      </c>
      <c r="CW40" s="2">
        <v>-129.50819999999999</v>
      </c>
      <c r="CX40" s="2">
        <v>-3.8790610000000001</v>
      </c>
      <c r="CY40" s="2">
        <v>-30.591830000000002</v>
      </c>
      <c r="CZ40" s="2">
        <v>27.454550000000001</v>
      </c>
    </row>
    <row r="41" spans="1:104" ht="15" customHeight="1" x14ac:dyDescent="0.2">
      <c r="A41" s="1">
        <f t="shared" si="0"/>
        <v>35</v>
      </c>
      <c r="B41" s="1" t="s">
        <v>115</v>
      </c>
      <c r="C41" s="1" t="s">
        <v>114</v>
      </c>
      <c r="D41" s="1" t="s">
        <v>38</v>
      </c>
      <c r="E41" s="1" t="s">
        <v>116</v>
      </c>
      <c r="F41" s="1" t="s">
        <v>117</v>
      </c>
      <c r="G41" s="2">
        <v>160873.5</v>
      </c>
      <c r="H41" s="2">
        <v>89.329700000000003</v>
      </c>
      <c r="I41" s="2">
        <v>143707.79999999999</v>
      </c>
      <c r="J41" s="3">
        <v>67.400000000000006</v>
      </c>
      <c r="K41" s="3">
        <v>0</v>
      </c>
      <c r="L41" s="2">
        <v>4.4686240000000002</v>
      </c>
      <c r="M41" s="2">
        <v>4.6746670000000003</v>
      </c>
      <c r="N41" s="2">
        <v>4.878412</v>
      </c>
      <c r="O41" s="2">
        <v>5.2629460000000003</v>
      </c>
      <c r="P41" s="2">
        <v>7.7133560000000001</v>
      </c>
      <c r="Q41" s="2">
        <v>8.2090449999999997</v>
      </c>
      <c r="R41" s="2">
        <v>8.0212179999999993</v>
      </c>
      <c r="S41" s="2">
        <v>8.0505549999999992</v>
      </c>
      <c r="T41" s="2">
        <v>3.6521650000000001</v>
      </c>
      <c r="U41" s="2">
        <v>4.1604409999999996</v>
      </c>
      <c r="V41" s="2">
        <v>4.3071250000000001</v>
      </c>
      <c r="W41" s="2">
        <v>4.4110139999999998</v>
      </c>
      <c r="X41" s="2">
        <v>1.498048</v>
      </c>
      <c r="Y41" s="2">
        <v>1.3825210000000001</v>
      </c>
      <c r="Z41" s="2">
        <v>1.282068</v>
      </c>
      <c r="AA41" s="2">
        <v>1.200944</v>
      </c>
      <c r="AB41" s="2">
        <v>4.9089749999999999</v>
      </c>
      <c r="AC41" s="2">
        <v>4.8851500000000003</v>
      </c>
      <c r="AD41" s="2">
        <v>4.5993899999999996</v>
      </c>
      <c r="AE41" s="2">
        <v>4.6492719999999998</v>
      </c>
      <c r="AF41" s="2">
        <v>9.8013250000000003</v>
      </c>
      <c r="AG41" s="2">
        <v>10.036239999999999</v>
      </c>
      <c r="AH41" s="2">
        <v>9.7478510000000007</v>
      </c>
      <c r="AI41" s="2">
        <v>10.713649999999999</v>
      </c>
      <c r="AJ41" s="2">
        <v>10.86225</v>
      </c>
      <c r="AK41" s="2">
        <v>10.62982</v>
      </c>
      <c r="AL41" s="3">
        <v>2.7675000000000001</v>
      </c>
      <c r="AM41" s="3">
        <v>2.7343860000000002</v>
      </c>
      <c r="AN41" s="2">
        <v>21.96031</v>
      </c>
      <c r="AO41" s="2">
        <v>20.279409999999999</v>
      </c>
      <c r="AP41" s="2">
        <v>19.952349999999999</v>
      </c>
      <c r="AQ41" s="2">
        <v>20.290489999999998</v>
      </c>
      <c r="AR41" s="2">
        <v>0.32755139999999999</v>
      </c>
      <c r="AS41" s="2">
        <v>0.35428520000000002</v>
      </c>
      <c r="AT41" s="2">
        <v>0.32753169999999998</v>
      </c>
      <c r="AU41" s="2">
        <v>0.36598649999999999</v>
      </c>
      <c r="AV41" s="1" t="s">
        <v>17</v>
      </c>
      <c r="AW41" s="3">
        <v>1.462963</v>
      </c>
      <c r="AX41" s="3">
        <v>70.375500000000002</v>
      </c>
      <c r="AY41" s="2">
        <v>4.4146900000000002</v>
      </c>
      <c r="AZ41" s="2">
        <v>16.841429999999999</v>
      </c>
      <c r="BA41" s="2">
        <v>2.953217</v>
      </c>
      <c r="BB41" s="2">
        <v>17.217400000000001</v>
      </c>
      <c r="BC41" s="2">
        <v>9.4155899999999999</v>
      </c>
      <c r="BD41" s="3">
        <v>50.55</v>
      </c>
      <c r="BE41" s="2">
        <v>33.33334</v>
      </c>
      <c r="BF41" s="3">
        <v>68.11</v>
      </c>
      <c r="BG41" s="2">
        <v>-1.042432</v>
      </c>
      <c r="BH41" s="2">
        <v>33.886899999999997</v>
      </c>
      <c r="BI41" s="2">
        <v>37.943680000000001</v>
      </c>
      <c r="BJ41" s="2">
        <v>39.765140000000002</v>
      </c>
      <c r="BK41" s="2">
        <v>41.270699999999998</v>
      </c>
      <c r="BL41" s="2">
        <v>24</v>
      </c>
      <c r="BM41" s="2">
        <v>19</v>
      </c>
      <c r="BN41" s="4">
        <v>27</v>
      </c>
      <c r="BO41" s="4">
        <v>1</v>
      </c>
      <c r="BP41" s="4">
        <v>0</v>
      </c>
      <c r="BQ41" s="4">
        <v>26</v>
      </c>
      <c r="BR41" s="2">
        <v>3.7037040000000001</v>
      </c>
      <c r="BS41" s="4">
        <v>16</v>
      </c>
      <c r="BT41" s="4">
        <v>0</v>
      </c>
      <c r="BU41" s="4">
        <v>27</v>
      </c>
      <c r="BV41" s="2">
        <v>59.259259999999998</v>
      </c>
      <c r="BW41" s="2">
        <v>6.7930599999999997</v>
      </c>
      <c r="BX41" s="2">
        <v>2386.846</v>
      </c>
      <c r="BY41" s="3">
        <v>4.1416219999999999</v>
      </c>
      <c r="BZ41" s="3">
        <v>0.1735186</v>
      </c>
      <c r="CA41" s="2">
        <v>0.42038500000000001</v>
      </c>
      <c r="CB41" s="3">
        <v>0.17285880000000001</v>
      </c>
      <c r="CC41" s="3">
        <v>8.8054509999999997</v>
      </c>
      <c r="CD41" s="3">
        <v>8.2466380000000008</v>
      </c>
      <c r="CE41" s="2">
        <v>-6.3462199999999998</v>
      </c>
      <c r="CF41" s="3">
        <v>31747.49</v>
      </c>
      <c r="CG41" s="3">
        <v>29913.97</v>
      </c>
      <c r="CH41" s="2">
        <v>-5.7753030000000001</v>
      </c>
      <c r="CI41" s="3">
        <v>70.879379999999998</v>
      </c>
      <c r="CJ41" s="2">
        <v>-0.71089270000000004</v>
      </c>
      <c r="CK41" s="3">
        <v>214542.3</v>
      </c>
      <c r="CL41" s="3">
        <v>208263</v>
      </c>
      <c r="CM41" s="2">
        <v>-2.9268260000000001</v>
      </c>
      <c r="CN41" s="3">
        <v>60.088900000000002</v>
      </c>
      <c r="CO41" s="3">
        <v>61.45823</v>
      </c>
      <c r="CP41" s="3">
        <v>63.238460000000003</v>
      </c>
      <c r="CQ41" s="2">
        <v>12.16714</v>
      </c>
      <c r="CR41" s="2">
        <v>9.66798</v>
      </c>
      <c r="CS41" s="2">
        <v>6.5807099999999998</v>
      </c>
      <c r="CT41" s="2">
        <v>2.2788409999999999</v>
      </c>
      <c r="CU41" s="2">
        <v>229.6498</v>
      </c>
      <c r="CV41" s="3">
        <v>0.14275189999999999</v>
      </c>
      <c r="CW41" s="2">
        <v>-3.5825529999999999</v>
      </c>
      <c r="CX41" s="2">
        <v>-3.2150569999999998</v>
      </c>
      <c r="CY41" s="2">
        <v>6.2041380000000004</v>
      </c>
      <c r="CZ41" s="2">
        <v>27.595960000000002</v>
      </c>
    </row>
    <row r="42" spans="1:104" ht="15" customHeight="1" x14ac:dyDescent="0.2">
      <c r="A42" s="1">
        <f t="shared" si="0"/>
        <v>36</v>
      </c>
      <c r="B42" s="1" t="s">
        <v>119</v>
      </c>
      <c r="C42" s="1" t="s">
        <v>118</v>
      </c>
      <c r="D42" s="1" t="s">
        <v>120</v>
      </c>
      <c r="E42" s="1" t="s">
        <v>10</v>
      </c>
      <c r="F42" s="1" t="s">
        <v>11</v>
      </c>
      <c r="G42" s="2">
        <v>38368.660000000003</v>
      </c>
      <c r="H42" s="2" t="e">
        <v>#N/A</v>
      </c>
      <c r="I42" s="2" t="e">
        <v>#N/A</v>
      </c>
      <c r="J42" s="3">
        <v>10.945</v>
      </c>
      <c r="K42" s="3">
        <v>0</v>
      </c>
      <c r="L42" s="2">
        <v>8.4056650000000008</v>
      </c>
      <c r="M42" s="2">
        <v>8.6340800000000009</v>
      </c>
      <c r="N42" s="2">
        <v>8.7254459999999998</v>
      </c>
      <c r="O42" s="2">
        <v>8.8207740000000001</v>
      </c>
      <c r="P42" s="2">
        <v>7.9890509999999999</v>
      </c>
      <c r="Q42" s="2">
        <v>7.8178570000000001</v>
      </c>
      <c r="R42" s="2">
        <v>7.8178570000000001</v>
      </c>
      <c r="S42" s="2">
        <v>7.8458779999999999</v>
      </c>
      <c r="T42" s="2" t="e">
        <v>#N/A</v>
      </c>
      <c r="U42" s="2" t="e">
        <v>#N/A</v>
      </c>
      <c r="V42" s="2" t="e">
        <v>#N/A</v>
      </c>
      <c r="W42" s="2" t="e">
        <v>#N/A</v>
      </c>
      <c r="X42" s="2">
        <v>1.2638020000000001</v>
      </c>
      <c r="Y42" s="2">
        <v>1.202747</v>
      </c>
      <c r="Z42" s="2">
        <v>1.146819</v>
      </c>
      <c r="AA42" s="2">
        <v>1.105556</v>
      </c>
      <c r="AB42" s="2" t="e">
        <v>#N/A</v>
      </c>
      <c r="AC42" s="2" t="e">
        <v>#N/A</v>
      </c>
      <c r="AD42" s="2" t="e">
        <v>#N/A</v>
      </c>
      <c r="AE42" s="2" t="e">
        <v>#N/A</v>
      </c>
      <c r="AF42" s="2" t="e">
        <v>#N/A</v>
      </c>
      <c r="AG42" s="2" t="e">
        <v>#N/A</v>
      </c>
      <c r="AH42" s="2" t="e">
        <v>#N/A</v>
      </c>
      <c r="AI42" s="2" t="e">
        <v>#N/A</v>
      </c>
      <c r="AJ42" s="2" t="e">
        <v>#N/A</v>
      </c>
      <c r="AK42" s="2" t="e">
        <v>#N/A</v>
      </c>
      <c r="AL42" s="3">
        <v>1.061782</v>
      </c>
      <c r="AM42" s="3">
        <v>1.073825</v>
      </c>
      <c r="AN42" s="2" t="e">
        <v>#N/A</v>
      </c>
      <c r="AO42" s="2" t="e">
        <v>#N/A</v>
      </c>
      <c r="AP42" s="2" t="e">
        <v>#N/A</v>
      </c>
      <c r="AQ42" s="2" t="e">
        <v>#N/A</v>
      </c>
      <c r="AR42" s="2" t="e">
        <v>#N/A</v>
      </c>
      <c r="AS42" s="2" t="e">
        <v>#N/A</v>
      </c>
      <c r="AT42" s="2" t="e">
        <v>#N/A</v>
      </c>
      <c r="AU42" s="2" t="e">
        <v>#N/A</v>
      </c>
      <c r="AV42" s="1" t="s">
        <v>17</v>
      </c>
      <c r="AW42" s="3">
        <v>1.521739</v>
      </c>
      <c r="AX42" s="3">
        <v>12.72227</v>
      </c>
      <c r="AY42" s="2">
        <v>16.238189999999999</v>
      </c>
      <c r="AZ42" s="2">
        <v>15.38461</v>
      </c>
      <c r="BA42" s="2">
        <v>7.3313740000000003</v>
      </c>
      <c r="BB42" s="2">
        <v>10.824210000000001</v>
      </c>
      <c r="BC42" s="2">
        <v>-2.5031210000000002</v>
      </c>
      <c r="BD42" s="3">
        <v>9.157</v>
      </c>
      <c r="BE42" s="2">
        <v>19.526050000000001</v>
      </c>
      <c r="BF42" s="3">
        <v>11.754</v>
      </c>
      <c r="BG42" s="2">
        <v>-6.8827629999999997</v>
      </c>
      <c r="BH42" s="2">
        <v>67.72954</v>
      </c>
      <c r="BI42" s="2">
        <v>67.191450000000003</v>
      </c>
      <c r="BJ42" s="2">
        <v>69.046260000000004</v>
      </c>
      <c r="BK42" s="2">
        <v>68.648219999999995</v>
      </c>
      <c r="BL42" s="2">
        <v>23</v>
      </c>
      <c r="BM42" s="2">
        <v>16</v>
      </c>
      <c r="BN42" s="4">
        <v>23</v>
      </c>
      <c r="BO42" s="4">
        <v>1</v>
      </c>
      <c r="BP42" s="4">
        <v>2</v>
      </c>
      <c r="BQ42" s="4">
        <v>22</v>
      </c>
      <c r="BR42" s="2">
        <v>4</v>
      </c>
      <c r="BS42" s="4">
        <v>13</v>
      </c>
      <c r="BT42" s="4">
        <v>1</v>
      </c>
      <c r="BU42" s="4">
        <v>23</v>
      </c>
      <c r="BV42" s="2">
        <v>56.521740000000001</v>
      </c>
      <c r="BW42" s="2">
        <v>6.9188700000000001</v>
      </c>
      <c r="BX42" s="2">
        <v>3505.587</v>
      </c>
      <c r="BY42" s="3">
        <v>5.111167</v>
      </c>
      <c r="BZ42" s="3">
        <v>0.1458006</v>
      </c>
      <c r="CA42" s="2">
        <v>1.0672699999999999</v>
      </c>
      <c r="CB42" s="3">
        <v>0.14524619999999999</v>
      </c>
      <c r="CC42" s="3">
        <v>1.420852</v>
      </c>
      <c r="CD42" s="3">
        <v>1.4060319999999999</v>
      </c>
      <c r="CE42" s="2">
        <v>-1.0430569999999999</v>
      </c>
      <c r="CF42" s="3">
        <v>6685.3630000000003</v>
      </c>
      <c r="CG42" s="3">
        <v>6767.1040000000003</v>
      </c>
      <c r="CH42" s="2">
        <v>1.2226939999999999</v>
      </c>
      <c r="CI42" s="3">
        <v>12.95828</v>
      </c>
      <c r="CJ42" s="2">
        <v>-1.82128</v>
      </c>
      <c r="CK42" s="3">
        <v>12078.93</v>
      </c>
      <c r="CL42" s="3">
        <v>12013.19</v>
      </c>
      <c r="CM42" s="2">
        <v>-0.54430959999999995</v>
      </c>
      <c r="CN42" s="3">
        <v>10.59592</v>
      </c>
      <c r="CO42" s="3">
        <v>10.992240000000001</v>
      </c>
      <c r="CP42" s="3">
        <v>10.934150000000001</v>
      </c>
      <c r="CQ42" s="2">
        <v>3.294492</v>
      </c>
      <c r="CR42" s="2">
        <v>-0.42971969999999998</v>
      </c>
      <c r="CS42" s="2">
        <v>9.9182129999999993E-2</v>
      </c>
      <c r="CT42" s="2">
        <v>3.7402869999999999</v>
      </c>
      <c r="CU42" s="2">
        <v>63.778280000000002</v>
      </c>
      <c r="CV42" s="3">
        <v>0.16622500000000001</v>
      </c>
      <c r="CW42" s="2">
        <v>-11.999079999999999</v>
      </c>
      <c r="CX42" s="2">
        <v>-3.998853</v>
      </c>
      <c r="CY42" s="2">
        <v>-7.9156420000000001</v>
      </c>
      <c r="CZ42" s="2">
        <v>27.663160000000001</v>
      </c>
    </row>
    <row r="43" spans="1:104" ht="15" customHeight="1" x14ac:dyDescent="0.2">
      <c r="A43" s="1">
        <f t="shared" si="0"/>
        <v>37</v>
      </c>
      <c r="B43" s="1" t="s">
        <v>122</v>
      </c>
      <c r="C43" s="1" t="s">
        <v>121</v>
      </c>
      <c r="D43" s="1" t="s">
        <v>9</v>
      </c>
      <c r="E43" s="1" t="s">
        <v>94</v>
      </c>
      <c r="F43" s="1" t="s">
        <v>95</v>
      </c>
      <c r="G43" s="2">
        <v>59220.91</v>
      </c>
      <c r="H43" s="2">
        <v>75.152699999999996</v>
      </c>
      <c r="I43" s="2">
        <v>44506.11</v>
      </c>
      <c r="J43" s="3">
        <v>5.8250000000000002</v>
      </c>
      <c r="K43" s="3">
        <v>0</v>
      </c>
      <c r="L43" s="2">
        <v>7.3819749999999997</v>
      </c>
      <c r="M43" s="2">
        <v>7.8111600000000001</v>
      </c>
      <c r="N43" s="2">
        <v>8.0686689999999999</v>
      </c>
      <c r="O43" s="2">
        <v>8.2403440000000003</v>
      </c>
      <c r="P43" s="2">
        <v>16.18055</v>
      </c>
      <c r="Q43" s="2">
        <v>8.8018059999999991</v>
      </c>
      <c r="R43" s="2">
        <v>8.6940299999999997</v>
      </c>
      <c r="S43" s="2">
        <v>8.4727270000000008</v>
      </c>
      <c r="T43" s="2">
        <v>5.8530090000000001</v>
      </c>
      <c r="U43" s="2">
        <v>5.0489040000000003</v>
      </c>
      <c r="V43" s="2">
        <v>5.0009829999999997</v>
      </c>
      <c r="W43" s="2">
        <v>4.8972020000000001</v>
      </c>
      <c r="X43" s="2">
        <v>1.866987</v>
      </c>
      <c r="Y43" s="2">
        <v>1.7440119999999999</v>
      </c>
      <c r="Z43" s="2">
        <v>1.631653</v>
      </c>
      <c r="AA43" s="2">
        <v>1.5430459999999999</v>
      </c>
      <c r="AB43" s="2">
        <v>4.0508040000000003</v>
      </c>
      <c r="AC43" s="2">
        <v>3.967543</v>
      </c>
      <c r="AD43" s="2">
        <v>3.8491439999999999</v>
      </c>
      <c r="AE43" s="2">
        <v>3.5409410000000001</v>
      </c>
      <c r="AF43" s="2">
        <v>5.6525090000000002</v>
      </c>
      <c r="AG43" s="2">
        <v>4.3744339999999999</v>
      </c>
      <c r="AH43" s="2">
        <v>4.8854009999999999</v>
      </c>
      <c r="AI43" s="2">
        <v>10.818809999999999</v>
      </c>
      <c r="AJ43" s="2">
        <v>8.3623940000000001</v>
      </c>
      <c r="AK43" s="2">
        <v>9.3686509999999998</v>
      </c>
      <c r="AL43" s="3">
        <v>1.7751939999999999</v>
      </c>
      <c r="AM43" s="3">
        <v>1.761171</v>
      </c>
      <c r="AN43" s="2">
        <v>23.65259</v>
      </c>
      <c r="AO43" s="2">
        <v>23.265740000000001</v>
      </c>
      <c r="AP43" s="2">
        <v>24.00902</v>
      </c>
      <c r="AQ43" s="2">
        <v>23.57217</v>
      </c>
      <c r="AR43" s="2">
        <v>2.7385410000000001</v>
      </c>
      <c r="AS43" s="2">
        <v>2.4110019999999999</v>
      </c>
      <c r="AT43" s="2">
        <v>2.3849300000000002</v>
      </c>
      <c r="AU43" s="2">
        <v>2.3434949999999999</v>
      </c>
      <c r="AV43" s="1" t="s">
        <v>6</v>
      </c>
      <c r="AW43" s="3">
        <v>1.2749999999999999</v>
      </c>
      <c r="AX43" s="3">
        <v>7.55</v>
      </c>
      <c r="AY43" s="2">
        <v>29.61374</v>
      </c>
      <c r="AZ43" s="2">
        <v>19.814250000000001</v>
      </c>
      <c r="BA43" s="2">
        <v>4.9292230000000004</v>
      </c>
      <c r="BB43" s="2">
        <v>-0.41033029999999998</v>
      </c>
      <c r="BC43" s="2">
        <v>-13.44726</v>
      </c>
      <c r="BD43" s="3">
        <v>5.468</v>
      </c>
      <c r="BE43" s="2">
        <v>6.5288899999999996</v>
      </c>
      <c r="BF43" s="3">
        <v>6.8239999999999998</v>
      </c>
      <c r="BG43" s="2">
        <v>-14.63951</v>
      </c>
      <c r="BH43" s="2">
        <v>119.4444</v>
      </c>
      <c r="BI43" s="2">
        <v>68.206540000000004</v>
      </c>
      <c r="BJ43" s="2">
        <v>69.861090000000004</v>
      </c>
      <c r="BK43" s="2">
        <v>69.825230000000005</v>
      </c>
      <c r="BL43" s="2">
        <v>18</v>
      </c>
      <c r="BM43" s="2">
        <v>16</v>
      </c>
      <c r="BN43" s="4">
        <v>20</v>
      </c>
      <c r="BO43" s="4">
        <v>0</v>
      </c>
      <c r="BP43" s="4">
        <v>3</v>
      </c>
      <c r="BQ43" s="4">
        <v>17</v>
      </c>
      <c r="BR43" s="2">
        <v>0</v>
      </c>
      <c r="BS43" s="4">
        <v>16</v>
      </c>
      <c r="BT43" s="4">
        <v>0</v>
      </c>
      <c r="BU43" s="4">
        <v>20</v>
      </c>
      <c r="BV43" s="2">
        <v>80</v>
      </c>
      <c r="BW43" s="2">
        <v>6.5892999999999997</v>
      </c>
      <c r="BX43" s="2">
        <v>10166.68</v>
      </c>
      <c r="BY43" s="3">
        <v>22.944040000000001</v>
      </c>
      <c r="BZ43" s="3">
        <v>0.22567880000000001</v>
      </c>
      <c r="CA43" s="2">
        <v>0.81263399999999997</v>
      </c>
      <c r="CB43" s="3">
        <v>0.22482070000000001</v>
      </c>
      <c r="CC43" s="3">
        <v>0.67049300000000001</v>
      </c>
      <c r="CD43" s="3">
        <v>0.66568930000000004</v>
      </c>
      <c r="CE43" s="2">
        <v>-0.71644779999999997</v>
      </c>
      <c r="CF43" s="3">
        <v>14534.51</v>
      </c>
      <c r="CG43" s="3">
        <v>14613.25</v>
      </c>
      <c r="CH43" s="2">
        <v>0.54174659999999997</v>
      </c>
      <c r="CI43" s="3">
        <v>7.62</v>
      </c>
      <c r="CJ43" s="2">
        <v>-0.91863269999999997</v>
      </c>
      <c r="CK43" s="3">
        <v>107455.8</v>
      </c>
      <c r="CL43" s="3">
        <v>98514.240000000005</v>
      </c>
      <c r="CM43" s="2">
        <v>-8.3211359999999992</v>
      </c>
      <c r="CN43" s="3">
        <v>6.1734489999999997</v>
      </c>
      <c r="CO43" s="3">
        <v>6.0281180000000001</v>
      </c>
      <c r="CP43" s="3">
        <v>6.0738089999999998</v>
      </c>
      <c r="CQ43" s="2">
        <v>-5.6443159999999999</v>
      </c>
      <c r="CR43" s="2">
        <v>-3.3695040000000001</v>
      </c>
      <c r="CS43" s="2">
        <v>-4.096425</v>
      </c>
      <c r="CT43" s="2">
        <v>-2.3541270000000001</v>
      </c>
      <c r="CU43" s="2">
        <v>147.28100000000001</v>
      </c>
      <c r="CV43" s="3">
        <v>0.24869769999999999</v>
      </c>
      <c r="CW43" s="2">
        <v>0.1223718</v>
      </c>
      <c r="CX43" s="2">
        <v>-70.08587</v>
      </c>
      <c r="CY43" s="2">
        <v>-25.590769999999999</v>
      </c>
      <c r="CZ43" s="2">
        <v>27.707070000000002</v>
      </c>
    </row>
    <row r="44" spans="1:104" ht="15" customHeight="1" x14ac:dyDescent="0.2">
      <c r="A44" s="1">
        <f t="shared" si="0"/>
        <v>38</v>
      </c>
      <c r="B44" s="1" t="s">
        <v>124</v>
      </c>
      <c r="C44" s="1" t="s">
        <v>123</v>
      </c>
      <c r="D44" s="1" t="s">
        <v>38</v>
      </c>
      <c r="E44" s="1" t="s">
        <v>90</v>
      </c>
      <c r="F44" s="1" t="s">
        <v>125</v>
      </c>
      <c r="G44" s="2">
        <v>92448.67</v>
      </c>
      <c r="H44" s="2">
        <v>66.590400000000002</v>
      </c>
      <c r="I44" s="2">
        <v>61561.94</v>
      </c>
      <c r="J44" s="3">
        <v>203.7</v>
      </c>
      <c r="K44" s="3">
        <v>0</v>
      </c>
      <c r="L44" s="2">
        <v>1.9391259999999999</v>
      </c>
      <c r="M44" s="2">
        <v>1.9268529999999999</v>
      </c>
      <c r="N44" s="2">
        <v>2.1207660000000002</v>
      </c>
      <c r="O44" s="2">
        <v>2.4644080000000002</v>
      </c>
      <c r="P44" s="2">
        <v>40.09843</v>
      </c>
      <c r="Q44" s="2">
        <v>28.540610000000001</v>
      </c>
      <c r="R44" s="2">
        <v>25.49437</v>
      </c>
      <c r="S44" s="2">
        <v>22.993230000000001</v>
      </c>
      <c r="T44" s="2">
        <v>13.87097</v>
      </c>
      <c r="U44" s="2">
        <v>14.248340000000001</v>
      </c>
      <c r="V44" s="2">
        <v>13.14499</v>
      </c>
      <c r="W44" s="2">
        <v>11.861800000000001</v>
      </c>
      <c r="X44" s="2">
        <v>2.3874819999999999</v>
      </c>
      <c r="Y44" s="2">
        <v>2.325342</v>
      </c>
      <c r="Z44" s="2">
        <v>2.2286649999999999</v>
      </c>
      <c r="AA44" s="2">
        <v>2.1307529999999999</v>
      </c>
      <c r="AB44" s="2">
        <v>18.476240000000001</v>
      </c>
      <c r="AC44" s="2">
        <v>16.223130000000001</v>
      </c>
      <c r="AD44" s="2">
        <v>14.82719</v>
      </c>
      <c r="AE44" s="2">
        <v>13.601660000000001</v>
      </c>
      <c r="AF44" s="2">
        <v>3.8870960000000001</v>
      </c>
      <c r="AG44" s="2">
        <v>4.287725</v>
      </c>
      <c r="AH44" s="2">
        <v>4.6985169999999998</v>
      </c>
      <c r="AI44" s="2">
        <v>4.1010629999999999</v>
      </c>
      <c r="AJ44" s="2">
        <v>4.5046460000000002</v>
      </c>
      <c r="AK44" s="2">
        <v>4.8642729999999998</v>
      </c>
      <c r="AL44" s="3">
        <v>2.9468610000000002</v>
      </c>
      <c r="AM44" s="3">
        <v>2.6324160000000001</v>
      </c>
      <c r="AN44" s="2">
        <v>25.06016</v>
      </c>
      <c r="AO44" s="2">
        <v>25.66583</v>
      </c>
      <c r="AP44" s="2">
        <v>26.243770000000001</v>
      </c>
      <c r="AQ44" s="2">
        <v>27.027170000000002</v>
      </c>
      <c r="AR44" s="2">
        <v>0.92064360000000001</v>
      </c>
      <c r="AS44" s="2">
        <v>0.74338740000000003</v>
      </c>
      <c r="AT44" s="2">
        <v>0.6329977</v>
      </c>
      <c r="AU44" s="2">
        <v>0.40420460000000002</v>
      </c>
      <c r="AV44" s="1" t="s">
        <v>6</v>
      </c>
      <c r="AW44" s="3">
        <v>1.428571</v>
      </c>
      <c r="AX44" s="3">
        <v>207.5</v>
      </c>
      <c r="AY44" s="2">
        <v>1.865494</v>
      </c>
      <c r="AZ44" s="2">
        <v>8.1474869999999999</v>
      </c>
      <c r="BA44" s="2">
        <v>9.7091659999999997</v>
      </c>
      <c r="BB44" s="2">
        <v>21.553889999999999</v>
      </c>
      <c r="BC44" s="2">
        <v>12.169600000000001</v>
      </c>
      <c r="BD44" s="3">
        <v>159.68</v>
      </c>
      <c r="BE44" s="2">
        <v>27.567640000000001</v>
      </c>
      <c r="BF44" s="3">
        <v>212.4</v>
      </c>
      <c r="BG44" s="2">
        <v>-4.0960429999999999</v>
      </c>
      <c r="BH44" s="2">
        <v>73.734539999999996</v>
      </c>
      <c r="BI44" s="2">
        <v>55.059379999999997</v>
      </c>
      <c r="BJ44" s="2">
        <v>55.271999999999998</v>
      </c>
      <c r="BK44" s="2">
        <v>56.58746</v>
      </c>
      <c r="BL44" s="2">
        <v>19</v>
      </c>
      <c r="BM44" s="2">
        <v>17</v>
      </c>
      <c r="BN44" s="4">
        <v>21</v>
      </c>
      <c r="BO44" s="4">
        <v>1</v>
      </c>
      <c r="BP44" s="4">
        <v>1</v>
      </c>
      <c r="BQ44" s="4">
        <v>17</v>
      </c>
      <c r="BR44" s="2">
        <v>5.2631579999999998</v>
      </c>
      <c r="BS44" s="4">
        <v>13</v>
      </c>
      <c r="BT44" s="4">
        <v>0</v>
      </c>
      <c r="BU44" s="4">
        <v>21</v>
      </c>
      <c r="BV44" s="2">
        <v>61.904760000000003</v>
      </c>
      <c r="BW44" s="2">
        <v>5.85982</v>
      </c>
      <c r="BX44" s="2">
        <v>453.84719999999999</v>
      </c>
      <c r="BY44" s="3">
        <v>0.41442509999999999</v>
      </c>
      <c r="BZ44" s="3">
        <v>9.1313790000000006E-2</v>
      </c>
      <c r="CA44" s="2">
        <v>0.89992799999999995</v>
      </c>
      <c r="CB44" s="3">
        <v>9.0966599999999995E-2</v>
      </c>
      <c r="CC44" s="3">
        <v>7.4904640000000002</v>
      </c>
      <c r="CD44" s="3">
        <v>7.1194990000000002</v>
      </c>
      <c r="CE44" s="2">
        <v>-4.9524970000000001</v>
      </c>
      <c r="CF44" s="3">
        <v>4803.0730000000003</v>
      </c>
      <c r="CG44" s="3">
        <v>4584.5320000000002</v>
      </c>
      <c r="CH44" s="2">
        <v>-4.5500160000000003</v>
      </c>
      <c r="CI44" s="3">
        <v>193.74</v>
      </c>
      <c r="CJ44" s="2">
        <v>7.1022990000000004</v>
      </c>
      <c r="CK44" s="3">
        <v>26854.02</v>
      </c>
      <c r="CL44" s="3">
        <v>26703.63</v>
      </c>
      <c r="CM44" s="2">
        <v>-0.55999160000000003</v>
      </c>
      <c r="CN44" s="3">
        <v>180.93549999999999</v>
      </c>
      <c r="CO44" s="3">
        <v>198.5069</v>
      </c>
      <c r="CP44" s="3">
        <v>207.30189999999999</v>
      </c>
      <c r="CQ44" s="2">
        <v>12.58154</v>
      </c>
      <c r="CR44" s="2">
        <v>2.6160839999999999</v>
      </c>
      <c r="CS44" s="2">
        <v>-1.7375290000000001</v>
      </c>
      <c r="CT44" s="2">
        <v>9.7113969999999998</v>
      </c>
      <c r="CU44" s="2">
        <v>76.374049999999997</v>
      </c>
      <c r="CV44" s="3">
        <v>8.2612389999999994E-2</v>
      </c>
      <c r="CW44" s="2" t="e">
        <v>#N/A</v>
      </c>
      <c r="CX44" s="2">
        <v>0.84304789999999996</v>
      </c>
      <c r="CY44" s="2" t="e">
        <v>#N/A</v>
      </c>
      <c r="CZ44" s="2">
        <v>27.9697</v>
      </c>
    </row>
    <row r="45" spans="1:104" ht="15" customHeight="1" x14ac:dyDescent="0.2">
      <c r="A45" s="1">
        <f t="shared" si="0"/>
        <v>39</v>
      </c>
      <c r="B45" s="1" t="s">
        <v>127</v>
      </c>
      <c r="C45" s="1" t="s">
        <v>126</v>
      </c>
      <c r="D45" s="1" t="s">
        <v>38</v>
      </c>
      <c r="E45" s="1" t="s">
        <v>72</v>
      </c>
      <c r="F45" s="1" t="s">
        <v>73</v>
      </c>
      <c r="G45" s="2">
        <v>398713.9</v>
      </c>
      <c r="H45" s="2">
        <v>51.249400000000001</v>
      </c>
      <c r="I45" s="2">
        <v>204338.5</v>
      </c>
      <c r="J45" s="3">
        <v>795.2</v>
      </c>
      <c r="K45" s="3">
        <v>0</v>
      </c>
      <c r="L45" s="2">
        <v>1.634809</v>
      </c>
      <c r="M45" s="2">
        <v>1.7605630000000001</v>
      </c>
      <c r="N45" s="2">
        <v>1.9733179999999999</v>
      </c>
      <c r="O45" s="2">
        <v>2.1378270000000001</v>
      </c>
      <c r="P45" s="2">
        <v>26.21827</v>
      </c>
      <c r="Q45" s="2">
        <v>24.535640000000001</v>
      </c>
      <c r="R45" s="2">
        <v>22.33708</v>
      </c>
      <c r="S45" s="2">
        <v>20.473739999999999</v>
      </c>
      <c r="T45" s="2">
        <v>13.03227</v>
      </c>
      <c r="U45" s="2">
        <v>13.55897</v>
      </c>
      <c r="V45" s="2">
        <v>12.2281</v>
      </c>
      <c r="W45" s="2">
        <v>11.24905</v>
      </c>
      <c r="X45" s="2">
        <v>6.5201710000000004</v>
      </c>
      <c r="Y45" s="2">
        <v>5.6805589999999997</v>
      </c>
      <c r="Z45" s="2">
        <v>4.9356049999999998</v>
      </c>
      <c r="AA45" s="2">
        <v>4.3172810000000004</v>
      </c>
      <c r="AB45" s="2">
        <v>18.746960000000001</v>
      </c>
      <c r="AC45" s="2">
        <v>17.61768</v>
      </c>
      <c r="AD45" s="2">
        <v>16.488050000000001</v>
      </c>
      <c r="AE45" s="2">
        <v>15.31542</v>
      </c>
      <c r="AF45" s="2">
        <v>4.2049519999999996</v>
      </c>
      <c r="AG45" s="2">
        <v>4.6182259999999999</v>
      </c>
      <c r="AH45" s="2">
        <v>5.3782719999999999</v>
      </c>
      <c r="AI45" s="2">
        <v>4.2818680000000002</v>
      </c>
      <c r="AJ45" s="2">
        <v>4.6044890000000001</v>
      </c>
      <c r="AK45" s="2">
        <v>5.2806550000000003</v>
      </c>
      <c r="AL45" s="3">
        <v>3.1620180000000002</v>
      </c>
      <c r="AM45" s="3">
        <v>2.8632439999999999</v>
      </c>
      <c r="AN45" s="2">
        <v>33.760150000000003</v>
      </c>
      <c r="AO45" s="2">
        <v>33.031230000000001</v>
      </c>
      <c r="AP45" s="2">
        <v>33.329880000000003</v>
      </c>
      <c r="AQ45" s="2">
        <v>33.298000000000002</v>
      </c>
      <c r="AR45" s="2">
        <v>0.36946400000000001</v>
      </c>
      <c r="AS45" s="2">
        <v>0.24356050000000001</v>
      </c>
      <c r="AT45" s="2">
        <v>-3.6481769999999997E-2</v>
      </c>
      <c r="AU45" s="2">
        <v>-0.2079474</v>
      </c>
      <c r="AV45" s="1" t="s">
        <v>6</v>
      </c>
      <c r="AW45" s="3">
        <v>1.37931</v>
      </c>
      <c r="AX45" s="3">
        <v>865</v>
      </c>
      <c r="AY45" s="2">
        <v>8.777666</v>
      </c>
      <c r="AZ45" s="2">
        <v>23.152280000000001</v>
      </c>
      <c r="BA45" s="2">
        <v>7.6458659999999998</v>
      </c>
      <c r="BB45" s="2">
        <v>-4.0887650000000004</v>
      </c>
      <c r="BC45" s="2">
        <v>8.3969480000000001</v>
      </c>
      <c r="BD45" s="3">
        <v>644</v>
      </c>
      <c r="BE45" s="2">
        <v>23.478259999999999</v>
      </c>
      <c r="BF45" s="3">
        <v>904.6</v>
      </c>
      <c r="BG45" s="2">
        <v>-12.09374</v>
      </c>
      <c r="BH45" s="2">
        <v>43.192010000000003</v>
      </c>
      <c r="BI45" s="2">
        <v>43.994549999999997</v>
      </c>
      <c r="BJ45" s="2">
        <v>43.617939999999997</v>
      </c>
      <c r="BK45" s="2">
        <v>43.701560000000001</v>
      </c>
      <c r="BL45" s="2">
        <v>27</v>
      </c>
      <c r="BM45" s="2">
        <v>26</v>
      </c>
      <c r="BN45" s="4">
        <v>29</v>
      </c>
      <c r="BO45" s="4">
        <v>1</v>
      </c>
      <c r="BP45" s="4">
        <v>4</v>
      </c>
      <c r="BQ45" s="4">
        <v>24</v>
      </c>
      <c r="BR45" s="2">
        <v>3.4482759999999999</v>
      </c>
      <c r="BS45" s="4">
        <v>21</v>
      </c>
      <c r="BT45" s="4">
        <v>1</v>
      </c>
      <c r="BU45" s="4">
        <v>29</v>
      </c>
      <c r="BV45" s="2">
        <v>72.413790000000006</v>
      </c>
      <c r="BW45" s="2">
        <v>7.0805199999999999</v>
      </c>
      <c r="BX45" s="2">
        <v>501.4008</v>
      </c>
      <c r="BY45" s="3">
        <v>0.34543269999999998</v>
      </c>
      <c r="BZ45" s="3">
        <v>6.8893540000000003E-2</v>
      </c>
      <c r="CA45" s="2">
        <v>1.29417</v>
      </c>
      <c r="CB45" s="3">
        <v>6.8631570000000003E-2</v>
      </c>
      <c r="CC45" s="3">
        <v>32.961730000000003</v>
      </c>
      <c r="CD45" s="3">
        <v>32.396140000000003</v>
      </c>
      <c r="CE45" s="2">
        <v>-1.7158869999999999</v>
      </c>
      <c r="CF45" s="3">
        <v>24065.99</v>
      </c>
      <c r="CG45" s="3">
        <v>23849.59</v>
      </c>
      <c r="CH45" s="2">
        <v>-0.89919570000000004</v>
      </c>
      <c r="CI45" s="3">
        <v>848.89949999999999</v>
      </c>
      <c r="CJ45" s="2">
        <v>1.8966320000000001</v>
      </c>
      <c r="CK45" s="3">
        <v>91191.8</v>
      </c>
      <c r="CL45" s="3">
        <v>90362.38</v>
      </c>
      <c r="CM45" s="2">
        <v>-0.90953709999999999</v>
      </c>
      <c r="CN45" s="3">
        <v>763.09109999999998</v>
      </c>
      <c r="CO45" s="3">
        <v>825.0607</v>
      </c>
      <c r="CP45" s="3">
        <v>836.05</v>
      </c>
      <c r="CQ45" s="2">
        <v>4.2077419999999996</v>
      </c>
      <c r="CR45" s="2">
        <v>-3.6192120000000001</v>
      </c>
      <c r="CS45" s="2">
        <v>-4.8860729999999997</v>
      </c>
      <c r="CT45" s="2">
        <v>8.1208709999999993</v>
      </c>
      <c r="CU45" s="2">
        <v>268.08730000000003</v>
      </c>
      <c r="CV45" s="3">
        <v>6.7238010000000001E-2</v>
      </c>
      <c r="CW45" s="2">
        <v>-55.759819999999998</v>
      </c>
      <c r="CX45" s="2">
        <v>1.824057</v>
      </c>
      <c r="CY45" s="2">
        <v>-49.374980000000001</v>
      </c>
      <c r="CZ45" s="2">
        <v>28.494949999999999</v>
      </c>
    </row>
    <row r="46" spans="1:104" ht="15" customHeight="1" x14ac:dyDescent="0.2">
      <c r="A46" s="1">
        <f t="shared" si="0"/>
        <v>40</v>
      </c>
      <c r="B46" s="1" t="s">
        <v>129</v>
      </c>
      <c r="C46" s="1" t="s">
        <v>128</v>
      </c>
      <c r="D46" s="1" t="s">
        <v>130</v>
      </c>
      <c r="E46" s="1" t="s">
        <v>72</v>
      </c>
      <c r="F46" s="1" t="s">
        <v>131</v>
      </c>
      <c r="G46" s="2">
        <v>100139.8</v>
      </c>
      <c r="H46" s="2">
        <v>49.180100000000003</v>
      </c>
      <c r="I46" s="2">
        <v>49248.86</v>
      </c>
      <c r="J46" s="3">
        <v>55.72</v>
      </c>
      <c r="K46" s="3">
        <v>0</v>
      </c>
      <c r="L46" s="2">
        <v>1.492602</v>
      </c>
      <c r="M46" s="2">
        <v>1.785183</v>
      </c>
      <c r="N46" s="2">
        <v>2.1488320000000001</v>
      </c>
      <c r="O46" s="2">
        <v>2.4976039999999999</v>
      </c>
      <c r="P46" s="2">
        <v>19.769639999999999</v>
      </c>
      <c r="Q46" s="2">
        <v>18.167560000000002</v>
      </c>
      <c r="R46" s="2">
        <v>15.699769999999999</v>
      </c>
      <c r="S46" s="2">
        <v>13.89481</v>
      </c>
      <c r="T46" s="2">
        <v>9.7731200000000005</v>
      </c>
      <c r="U46" s="2">
        <v>8.7043979999999994</v>
      </c>
      <c r="V46" s="2">
        <v>7.9196970000000002</v>
      </c>
      <c r="W46" s="2">
        <v>7.2175219999999998</v>
      </c>
      <c r="X46" s="2">
        <v>1.5124629999999999</v>
      </c>
      <c r="Y46" s="2">
        <v>1.443522</v>
      </c>
      <c r="Z46" s="2">
        <v>1.3875690000000001</v>
      </c>
      <c r="AA46" s="2">
        <v>1.2757689999999999</v>
      </c>
      <c r="AB46" s="2">
        <v>10.400829999999999</v>
      </c>
      <c r="AC46" s="2">
        <v>9.4356279999999995</v>
      </c>
      <c r="AD46" s="2">
        <v>8.7260220000000004</v>
      </c>
      <c r="AE46" s="2">
        <v>8.2123439999999999</v>
      </c>
      <c r="AF46" s="2">
        <v>5.9889599999999996</v>
      </c>
      <c r="AG46" s="2">
        <v>6.6419649999999999</v>
      </c>
      <c r="AH46" s="2">
        <v>7.497395</v>
      </c>
      <c r="AI46" s="2">
        <v>9.3843270000000008</v>
      </c>
      <c r="AJ46" s="2">
        <v>10.017659999999999</v>
      </c>
      <c r="AK46" s="2">
        <v>10.822979999999999</v>
      </c>
      <c r="AL46" s="3">
        <v>1.7807649999999999</v>
      </c>
      <c r="AM46" s="3">
        <v>1.549426</v>
      </c>
      <c r="AN46" s="2">
        <v>33.64096</v>
      </c>
      <c r="AO46" s="2">
        <v>34.659680000000002</v>
      </c>
      <c r="AP46" s="2">
        <v>35.235289999999999</v>
      </c>
      <c r="AQ46" s="2">
        <v>35.58587</v>
      </c>
      <c r="AR46" s="2">
        <v>3.3827090000000002</v>
      </c>
      <c r="AS46" s="2">
        <v>2.8626429999999998</v>
      </c>
      <c r="AT46" s="2">
        <v>2.417208</v>
      </c>
      <c r="AU46" s="2">
        <v>2.00027</v>
      </c>
      <c r="AV46" s="1" t="s">
        <v>6</v>
      </c>
      <c r="AW46" s="3">
        <v>1.4137930000000001</v>
      </c>
      <c r="AX46" s="3">
        <v>64.628020000000006</v>
      </c>
      <c r="AY46" s="2">
        <v>15.987109999999999</v>
      </c>
      <c r="AZ46" s="2">
        <v>7.9455980000000004</v>
      </c>
      <c r="BA46" s="2">
        <v>10.18998</v>
      </c>
      <c r="BB46" s="2">
        <v>-8.7753770000000006</v>
      </c>
      <c r="BC46" s="2">
        <v>-4.621702</v>
      </c>
      <c r="BD46" s="3">
        <v>49.164999999999999</v>
      </c>
      <c r="BE46" s="2">
        <v>13.332649999999999</v>
      </c>
      <c r="BF46" s="3">
        <v>61.33</v>
      </c>
      <c r="BG46" s="2">
        <v>-9.1472390000000008</v>
      </c>
      <c r="BH46" s="2">
        <v>30.816490000000002</v>
      </c>
      <c r="BI46" s="2">
        <v>34.602679999999999</v>
      </c>
      <c r="BJ46" s="2">
        <v>36.471519999999998</v>
      </c>
      <c r="BK46" s="2">
        <v>36.022750000000002</v>
      </c>
      <c r="BL46" s="2">
        <v>25</v>
      </c>
      <c r="BM46" s="2">
        <v>20</v>
      </c>
      <c r="BN46" s="4">
        <v>29</v>
      </c>
      <c r="BO46" s="4">
        <v>0</v>
      </c>
      <c r="BP46" s="4">
        <v>2</v>
      </c>
      <c r="BQ46" s="4">
        <v>28</v>
      </c>
      <c r="BR46" s="2">
        <v>0</v>
      </c>
      <c r="BS46" s="4">
        <v>18</v>
      </c>
      <c r="BT46" s="4">
        <v>0</v>
      </c>
      <c r="BU46" s="4">
        <v>29</v>
      </c>
      <c r="BV46" s="2">
        <v>62.068959999999997</v>
      </c>
      <c r="BW46" s="2">
        <v>5.8894900000000003</v>
      </c>
      <c r="BX46" s="2">
        <v>1797.1969999999999</v>
      </c>
      <c r="BY46" s="3">
        <v>1.289987</v>
      </c>
      <c r="BZ46" s="3">
        <v>7.1777709999999995E-2</v>
      </c>
      <c r="CA46" s="2">
        <v>0.710117</v>
      </c>
      <c r="CB46" s="3">
        <v>7.1504789999999999E-2</v>
      </c>
      <c r="CC46" s="3">
        <v>3.2517360000000002</v>
      </c>
      <c r="CD46" s="3">
        <v>3.0706579999999999</v>
      </c>
      <c r="CE46" s="2">
        <v>-5.5686660000000003</v>
      </c>
      <c r="CF46" s="3">
        <v>15149.27</v>
      </c>
      <c r="CG46" s="3">
        <v>14787.5</v>
      </c>
      <c r="CH46" s="2">
        <v>-2.3880599999999998</v>
      </c>
      <c r="CI46" s="3">
        <v>64.033029999999997</v>
      </c>
      <c r="CJ46" s="2">
        <v>0.92920060000000004</v>
      </c>
      <c r="CK46" s="3">
        <v>57853.2</v>
      </c>
      <c r="CL46" s="3">
        <v>57484.62</v>
      </c>
      <c r="CM46" s="2">
        <v>-0.63708419999999999</v>
      </c>
      <c r="CN46" s="3">
        <v>54.926589999999997</v>
      </c>
      <c r="CO46" s="3">
        <v>57.037059999999997</v>
      </c>
      <c r="CP46" s="3">
        <v>55.998460000000001</v>
      </c>
      <c r="CQ46" s="2">
        <v>1.444507</v>
      </c>
      <c r="CR46" s="2">
        <v>-2.3091200000000001</v>
      </c>
      <c r="CS46" s="2">
        <v>-0.49725770000000002</v>
      </c>
      <c r="CT46" s="2">
        <v>3.8423419999999999</v>
      </c>
      <c r="CU46" s="2">
        <v>76.606890000000007</v>
      </c>
      <c r="CV46" s="3">
        <v>7.6499919999999999E-2</v>
      </c>
      <c r="CW46" s="2">
        <v>7.1293850000000001</v>
      </c>
      <c r="CX46" s="2">
        <v>-7.2194710000000004</v>
      </c>
      <c r="CY46" s="2">
        <v>-10.676159999999999</v>
      </c>
      <c r="CZ46" s="2">
        <v>29.202020000000001</v>
      </c>
    </row>
    <row r="47" spans="1:104" ht="15" customHeight="1" x14ac:dyDescent="0.2">
      <c r="A47" s="1">
        <f t="shared" si="0"/>
        <v>41</v>
      </c>
      <c r="B47" s="1" t="s">
        <v>133</v>
      </c>
      <c r="C47" s="1" t="s">
        <v>132</v>
      </c>
      <c r="D47" s="1" t="s">
        <v>26</v>
      </c>
      <c r="E47" s="1" t="s">
        <v>20</v>
      </c>
      <c r="F47" s="1" t="s">
        <v>21</v>
      </c>
      <c r="G47" s="2">
        <v>43807.12</v>
      </c>
      <c r="H47" s="2">
        <v>99.609099999999998</v>
      </c>
      <c r="I47" s="2">
        <v>43635.88</v>
      </c>
      <c r="J47" s="3">
        <v>33.545000000000002</v>
      </c>
      <c r="K47" s="3">
        <v>0</v>
      </c>
      <c r="L47" s="2">
        <v>1.0433749999999999</v>
      </c>
      <c r="M47" s="2">
        <v>1.0433749999999999</v>
      </c>
      <c r="N47" s="2">
        <v>1.162617</v>
      </c>
      <c r="O47" s="2">
        <v>1.252049</v>
      </c>
      <c r="P47" s="2">
        <v>12.65849</v>
      </c>
      <c r="Q47" s="2">
        <v>16.376819999999999</v>
      </c>
      <c r="R47" s="2">
        <v>13.129160000000001</v>
      </c>
      <c r="S47" s="2">
        <v>11.34376</v>
      </c>
      <c r="T47" s="2">
        <v>8.7073459999999994</v>
      </c>
      <c r="U47" s="2">
        <v>9.0456620000000001</v>
      </c>
      <c r="V47" s="2">
        <v>7.0203040000000003</v>
      </c>
      <c r="W47" s="2">
        <v>5.8511040000000003</v>
      </c>
      <c r="X47" s="2">
        <v>2.5704980000000002</v>
      </c>
      <c r="Y47" s="2">
        <v>2.3476900000000001</v>
      </c>
      <c r="Z47" s="2">
        <v>2.0770900000000001</v>
      </c>
      <c r="AA47" s="2">
        <v>1.798821</v>
      </c>
      <c r="AB47" s="2">
        <v>11.037660000000001</v>
      </c>
      <c r="AC47" s="2">
        <v>10.87612</v>
      </c>
      <c r="AD47" s="2">
        <v>8.5724319999999992</v>
      </c>
      <c r="AE47" s="2">
        <v>7.2730810000000004</v>
      </c>
      <c r="AF47" s="2">
        <v>1.747215</v>
      </c>
      <c r="AG47" s="2">
        <v>3.801545</v>
      </c>
      <c r="AH47" s="2">
        <v>5.0371139999999999</v>
      </c>
      <c r="AI47" s="2">
        <v>1.841113</v>
      </c>
      <c r="AJ47" s="2">
        <v>3.8805390000000002</v>
      </c>
      <c r="AK47" s="2">
        <v>4.9825030000000003</v>
      </c>
      <c r="AL47" s="3">
        <v>3.1039819999999998</v>
      </c>
      <c r="AM47" s="3">
        <v>2.4779580000000001</v>
      </c>
      <c r="AN47" s="2">
        <v>35.56615</v>
      </c>
      <c r="AO47" s="2">
        <v>32.623759999999997</v>
      </c>
      <c r="AP47" s="2">
        <v>35.319510000000001</v>
      </c>
      <c r="AQ47" s="2">
        <v>37.190840000000001</v>
      </c>
      <c r="AR47" s="2">
        <v>0.19705259999999999</v>
      </c>
      <c r="AS47" s="2">
        <v>0.4613334</v>
      </c>
      <c r="AT47" s="2">
        <v>0.1429077</v>
      </c>
      <c r="AU47" s="2">
        <v>-6.4131160000000006E-2</v>
      </c>
      <c r="AV47" s="1" t="s">
        <v>6</v>
      </c>
      <c r="AW47" s="3">
        <v>1.2083330000000001</v>
      </c>
      <c r="AX47" s="3">
        <v>43</v>
      </c>
      <c r="AY47" s="2">
        <v>28.186019999999999</v>
      </c>
      <c r="AZ47" s="2">
        <v>14.33545</v>
      </c>
      <c r="BA47" s="2">
        <v>4.2417759999999998</v>
      </c>
      <c r="BB47" s="2">
        <v>-4.9582119999999996</v>
      </c>
      <c r="BC47" s="2">
        <v>-11.25662</v>
      </c>
      <c r="BD47" s="3">
        <v>27.07</v>
      </c>
      <c r="BE47" s="2">
        <v>23.919460000000001</v>
      </c>
      <c r="BF47" s="3">
        <v>40.270000000000003</v>
      </c>
      <c r="BG47" s="2">
        <v>-16.699780000000001</v>
      </c>
      <c r="BH47" s="2">
        <v>13.207549999999999</v>
      </c>
      <c r="BI47" s="2">
        <v>17.356560000000002</v>
      </c>
      <c r="BJ47" s="2">
        <v>15.437379999999999</v>
      </c>
      <c r="BK47" s="2">
        <v>15.13405</v>
      </c>
      <c r="BL47" s="2">
        <v>22</v>
      </c>
      <c r="BM47" s="2">
        <v>20</v>
      </c>
      <c r="BN47" s="4">
        <v>24</v>
      </c>
      <c r="BO47" s="4">
        <v>0</v>
      </c>
      <c r="BP47" s="4">
        <v>0</v>
      </c>
      <c r="BQ47" s="4">
        <v>23</v>
      </c>
      <c r="BR47" s="2">
        <v>0</v>
      </c>
      <c r="BS47" s="4">
        <v>21</v>
      </c>
      <c r="BT47" s="4">
        <v>0</v>
      </c>
      <c r="BU47" s="4">
        <v>24</v>
      </c>
      <c r="BV47" s="2">
        <v>87.5</v>
      </c>
      <c r="BW47" s="2">
        <v>11.7986</v>
      </c>
      <c r="BX47" s="2">
        <v>1305.921</v>
      </c>
      <c r="BY47" s="3">
        <v>3.9428860000000001</v>
      </c>
      <c r="BZ47" s="3">
        <v>0.30192370000000002</v>
      </c>
      <c r="CA47" s="2">
        <v>1.94716</v>
      </c>
      <c r="CB47" s="3">
        <v>0.30077569999999998</v>
      </c>
      <c r="CC47" s="3">
        <v>2.345097</v>
      </c>
      <c r="CD47" s="3">
        <v>2.046567</v>
      </c>
      <c r="CE47" s="2">
        <v>-12.729950000000001</v>
      </c>
      <c r="CF47" s="3">
        <v>3857.556</v>
      </c>
      <c r="CG47" s="3">
        <v>3260.1019999999999</v>
      </c>
      <c r="CH47" s="2">
        <v>-15.4879</v>
      </c>
      <c r="CI47" s="3">
        <v>44.809519999999999</v>
      </c>
      <c r="CJ47" s="2">
        <v>-4.0382569999999998</v>
      </c>
      <c r="CK47" s="3">
        <v>16754.55</v>
      </c>
      <c r="CL47" s="3">
        <v>15747.67</v>
      </c>
      <c r="CM47" s="2">
        <v>-6.0095970000000003</v>
      </c>
      <c r="CN47" s="3">
        <v>33.651150000000001</v>
      </c>
      <c r="CO47" s="3">
        <v>32.907049999999998</v>
      </c>
      <c r="CP47" s="3">
        <v>32.416539999999998</v>
      </c>
      <c r="CQ47" s="2">
        <v>-0.3154457</v>
      </c>
      <c r="CR47" s="2">
        <v>1.938617</v>
      </c>
      <c r="CS47" s="2">
        <v>3.4811260000000002</v>
      </c>
      <c r="CT47" s="2">
        <v>-2.211201</v>
      </c>
      <c r="CU47" s="2">
        <v>152.49799999999999</v>
      </c>
      <c r="CV47" s="3">
        <v>0.34811239999999999</v>
      </c>
      <c r="CW47" s="2">
        <v>8.8034739999999996</v>
      </c>
      <c r="CX47" s="2">
        <v>-3.054332</v>
      </c>
      <c r="CY47" s="2">
        <v>4.3886570000000003</v>
      </c>
      <c r="CZ47" s="2">
        <v>29.404039999999998</v>
      </c>
    </row>
    <row r="48" spans="1:104" ht="15" customHeight="1" x14ac:dyDescent="0.2">
      <c r="A48" s="1">
        <f t="shared" si="0"/>
        <v>42</v>
      </c>
      <c r="B48" s="1" t="s">
        <v>135</v>
      </c>
      <c r="C48" s="1" t="s">
        <v>134</v>
      </c>
      <c r="D48" s="1" t="s">
        <v>136</v>
      </c>
      <c r="E48" s="1" t="s">
        <v>20</v>
      </c>
      <c r="F48" s="1" t="s">
        <v>137</v>
      </c>
      <c r="G48" s="2">
        <v>18095.099999999999</v>
      </c>
      <c r="H48" s="2">
        <v>92.4559</v>
      </c>
      <c r="I48" s="2">
        <v>16729.990000000002</v>
      </c>
      <c r="J48" s="3">
        <v>3.2235</v>
      </c>
      <c r="K48" s="3">
        <v>0</v>
      </c>
      <c r="L48" s="2">
        <v>4.0328840000000001</v>
      </c>
      <c r="M48" s="2">
        <v>4.1919009999999997</v>
      </c>
      <c r="N48" s="2">
        <v>4.4982160000000002</v>
      </c>
      <c r="O48" s="2">
        <v>4.9635490000000004</v>
      </c>
      <c r="P48" s="2">
        <v>11.11552</v>
      </c>
      <c r="Q48" s="2">
        <v>9.4808830000000004</v>
      </c>
      <c r="R48" s="2">
        <v>9.4808830000000004</v>
      </c>
      <c r="S48" s="2">
        <v>8.7121619999999993</v>
      </c>
      <c r="T48" s="2">
        <v>4.3500779999999999</v>
      </c>
      <c r="U48" s="2">
        <v>4.0517149999999997</v>
      </c>
      <c r="V48" s="2">
        <v>3.968677</v>
      </c>
      <c r="W48" s="2">
        <v>3.6162899999999998</v>
      </c>
      <c r="X48" s="2">
        <v>0.87357720000000005</v>
      </c>
      <c r="Y48" s="2">
        <v>0.84828950000000003</v>
      </c>
      <c r="Z48" s="2">
        <v>0.82653840000000001</v>
      </c>
      <c r="AA48" s="2">
        <v>0.80816200000000005</v>
      </c>
      <c r="AB48" s="2">
        <v>12.46231</v>
      </c>
      <c r="AC48" s="2">
        <v>8.0587499999999999</v>
      </c>
      <c r="AD48" s="2">
        <v>7.8410489999999999</v>
      </c>
      <c r="AE48" s="2">
        <v>6.8762280000000002</v>
      </c>
      <c r="AF48" s="2">
        <v>9.6887310000000006</v>
      </c>
      <c r="AG48" s="2">
        <v>13.37364</v>
      </c>
      <c r="AH48" s="2">
        <v>15.540459999999999</v>
      </c>
      <c r="AI48" s="2">
        <v>7.3183660000000001</v>
      </c>
      <c r="AJ48" s="2">
        <v>9.8219709999999996</v>
      </c>
      <c r="AK48" s="2">
        <v>10.738950000000001</v>
      </c>
      <c r="AL48" s="3">
        <v>1.1541490000000001</v>
      </c>
      <c r="AM48" s="3">
        <v>1.1482650000000001</v>
      </c>
      <c r="AN48" s="2">
        <v>13.96801</v>
      </c>
      <c r="AO48" s="2">
        <v>15.37002</v>
      </c>
      <c r="AP48" s="2">
        <v>15.26235</v>
      </c>
      <c r="AQ48" s="2">
        <v>15.372640000000001</v>
      </c>
      <c r="AR48" s="2">
        <v>-1.1605019999999999</v>
      </c>
      <c r="AS48" s="2">
        <v>-1.3123210000000001</v>
      </c>
      <c r="AT48" s="2">
        <v>-1.435093</v>
      </c>
      <c r="AU48" s="2">
        <v>-1.616886</v>
      </c>
      <c r="AV48" s="1" t="s">
        <v>62</v>
      </c>
      <c r="AW48" s="3">
        <v>1.725806</v>
      </c>
      <c r="AX48" s="3">
        <v>3.7</v>
      </c>
      <c r="AY48" s="2">
        <v>14.782069999999999</v>
      </c>
      <c r="AZ48" s="2">
        <v>8.9473690000000001</v>
      </c>
      <c r="BA48" s="2">
        <v>7.3050670000000002</v>
      </c>
      <c r="BB48" s="2">
        <v>-28.350750000000001</v>
      </c>
      <c r="BC48" s="2">
        <v>5.6192640000000003</v>
      </c>
      <c r="BD48" s="3">
        <v>2.6960000000000002</v>
      </c>
      <c r="BE48" s="2">
        <v>19.566020000000002</v>
      </c>
      <c r="BF48" s="3">
        <v>4.5529999999999999</v>
      </c>
      <c r="BG48" s="2">
        <v>-29.200520000000001</v>
      </c>
      <c r="BH48" s="2">
        <v>43.72513</v>
      </c>
      <c r="BI48" s="2">
        <v>38.97296</v>
      </c>
      <c r="BJ48" s="2">
        <v>42.077150000000003</v>
      </c>
      <c r="BK48" s="2">
        <v>44.735230000000001</v>
      </c>
      <c r="BL48" s="2">
        <v>29</v>
      </c>
      <c r="BM48" s="2">
        <v>25</v>
      </c>
      <c r="BN48" s="4">
        <v>31</v>
      </c>
      <c r="BO48" s="4">
        <v>0</v>
      </c>
      <c r="BP48" s="4">
        <v>2</v>
      </c>
      <c r="BQ48" s="4">
        <v>31</v>
      </c>
      <c r="BR48" s="2">
        <v>0</v>
      </c>
      <c r="BS48" s="4">
        <v>13</v>
      </c>
      <c r="BT48" s="4">
        <v>3</v>
      </c>
      <c r="BU48" s="4">
        <v>31</v>
      </c>
      <c r="BV48" s="2">
        <v>41.935479999999998</v>
      </c>
      <c r="BW48" s="2">
        <v>7.4539600000000004</v>
      </c>
      <c r="BX48" s="2">
        <v>5613.4960000000001</v>
      </c>
      <c r="BY48" s="3">
        <v>13.27383</v>
      </c>
      <c r="BZ48" s="3">
        <v>0.2364628</v>
      </c>
      <c r="CA48" s="2">
        <v>1.2081299999999999</v>
      </c>
      <c r="CB48" s="3">
        <v>0.23556369999999999</v>
      </c>
      <c r="CC48" s="3">
        <v>0.33822059999999998</v>
      </c>
      <c r="CD48" s="3">
        <v>0.34258889999999997</v>
      </c>
      <c r="CE48" s="2">
        <v>1.291561</v>
      </c>
      <c r="CF48" s="3">
        <v>2481.721</v>
      </c>
      <c r="CG48" s="3">
        <v>2615.7669999999998</v>
      </c>
      <c r="CH48" s="2">
        <v>5.4013369999999998</v>
      </c>
      <c r="CI48" s="3">
        <v>3.9721250000000001</v>
      </c>
      <c r="CJ48" s="2">
        <v>-6.8508630000000004</v>
      </c>
      <c r="CK48" s="3">
        <v>22732.55</v>
      </c>
      <c r="CL48" s="3">
        <v>21994.98</v>
      </c>
      <c r="CM48" s="2">
        <v>-3.244567</v>
      </c>
      <c r="CN48" s="3">
        <v>3.356077</v>
      </c>
      <c r="CO48" s="3">
        <v>3.293323</v>
      </c>
      <c r="CP48" s="3">
        <v>3.2880199999999999</v>
      </c>
      <c r="CQ48" s="2">
        <v>-3.9503460000000001</v>
      </c>
      <c r="CR48" s="2">
        <v>-2.1201430000000001</v>
      </c>
      <c r="CS48" s="2">
        <v>-1.962262</v>
      </c>
      <c r="CT48" s="2">
        <v>-1.869845</v>
      </c>
      <c r="CU48" s="2">
        <v>40.043950000000002</v>
      </c>
      <c r="CV48" s="3">
        <v>0.2212971</v>
      </c>
      <c r="CW48" s="2">
        <v>-13.232390000000001</v>
      </c>
      <c r="CX48" s="2">
        <v>-8.6606419999999993</v>
      </c>
      <c r="CY48" s="2">
        <v>-1.6710860000000001</v>
      </c>
      <c r="CZ48" s="2">
        <v>29.66667</v>
      </c>
    </row>
    <row r="49" spans="1:104" ht="15" customHeight="1" x14ac:dyDescent="0.2">
      <c r="A49" s="1">
        <f t="shared" si="0"/>
        <v>43</v>
      </c>
      <c r="B49" s="1" t="s">
        <v>139</v>
      </c>
      <c r="C49" s="1" t="s">
        <v>138</v>
      </c>
      <c r="D49" s="1" t="s">
        <v>9</v>
      </c>
      <c r="E49" s="1" t="s">
        <v>116</v>
      </c>
      <c r="F49" s="1" t="s">
        <v>140</v>
      </c>
      <c r="G49" s="2">
        <v>50732.24</v>
      </c>
      <c r="H49" s="2">
        <v>64.847200000000001</v>
      </c>
      <c r="I49" s="2">
        <v>32898.43</v>
      </c>
      <c r="J49" s="3">
        <v>15.446</v>
      </c>
      <c r="K49" s="3">
        <v>0</v>
      </c>
      <c r="L49" s="2">
        <v>6.085718</v>
      </c>
      <c r="M49" s="2">
        <v>6.4741679999999997</v>
      </c>
      <c r="N49" s="2">
        <v>6.7331339999999997</v>
      </c>
      <c r="O49" s="2">
        <v>6.8626180000000003</v>
      </c>
      <c r="P49" s="2">
        <v>6.2788620000000002</v>
      </c>
      <c r="Q49" s="2">
        <v>7.3438569999999999</v>
      </c>
      <c r="R49" s="2">
        <v>7.198677</v>
      </c>
      <c r="S49" s="2">
        <v>6.8345130000000003</v>
      </c>
      <c r="T49" s="2">
        <v>3.1971099999999999</v>
      </c>
      <c r="U49" s="2">
        <v>3.546065</v>
      </c>
      <c r="V49" s="2">
        <v>3.4733839999999998</v>
      </c>
      <c r="W49" s="2">
        <v>3.4289749999999999</v>
      </c>
      <c r="X49" s="2">
        <v>0.95942400000000005</v>
      </c>
      <c r="Y49" s="2">
        <v>0.90512740000000003</v>
      </c>
      <c r="Z49" s="2">
        <v>0.84994219999999998</v>
      </c>
      <c r="AA49" s="2">
        <v>0.81539349999999999</v>
      </c>
      <c r="AB49" s="2">
        <v>3.8330760000000001</v>
      </c>
      <c r="AC49" s="2">
        <v>3.6882320000000002</v>
      </c>
      <c r="AD49" s="2">
        <v>3.3651420000000001</v>
      </c>
      <c r="AE49" s="2">
        <v>3.325936</v>
      </c>
      <c r="AF49" s="2">
        <v>6.5248010000000001</v>
      </c>
      <c r="AG49" s="2">
        <v>7.9950700000000001</v>
      </c>
      <c r="AH49" s="2">
        <v>8.9890749999999997</v>
      </c>
      <c r="AI49" s="2">
        <v>8.7296040000000001</v>
      </c>
      <c r="AJ49" s="2">
        <v>10.64988</v>
      </c>
      <c r="AK49" s="2">
        <v>11.91685</v>
      </c>
      <c r="AL49" s="3" t="e">
        <v>#N/A</v>
      </c>
      <c r="AM49" s="3" t="e">
        <v>#N/A</v>
      </c>
      <c r="AN49" s="2">
        <v>22.711459999999999</v>
      </c>
      <c r="AO49" s="2">
        <v>21.29665</v>
      </c>
      <c r="AP49" s="2">
        <v>21.650980000000001</v>
      </c>
      <c r="AQ49" s="2">
        <v>20.918659999999999</v>
      </c>
      <c r="AR49" s="2">
        <v>0.76276169999999999</v>
      </c>
      <c r="AS49" s="2">
        <v>0.89561619999999997</v>
      </c>
      <c r="AT49" s="2">
        <v>0.86584720000000004</v>
      </c>
      <c r="AU49" s="2">
        <v>0.84244330000000001</v>
      </c>
      <c r="AV49" s="1" t="s">
        <v>17</v>
      </c>
      <c r="AW49" s="3">
        <v>1.5476190000000001</v>
      </c>
      <c r="AX49" s="3">
        <v>17.05</v>
      </c>
      <c r="AY49" s="2">
        <v>10.38456</v>
      </c>
      <c r="AZ49" s="2">
        <v>12.324960000000001</v>
      </c>
      <c r="BA49" s="2">
        <v>-5.0088220000000003</v>
      </c>
      <c r="BB49" s="2">
        <v>14.07681</v>
      </c>
      <c r="BC49" s="2">
        <v>0.63852070000000005</v>
      </c>
      <c r="BD49" s="3">
        <v>12.45</v>
      </c>
      <c r="BE49" s="2">
        <v>24.064250000000001</v>
      </c>
      <c r="BF49" s="3">
        <v>15.83</v>
      </c>
      <c r="BG49" s="2">
        <v>-2.4257719999999998</v>
      </c>
      <c r="BH49" s="2">
        <v>38.008130000000001</v>
      </c>
      <c r="BI49" s="2">
        <v>46.936259999999997</v>
      </c>
      <c r="BJ49" s="2">
        <v>48.04448</v>
      </c>
      <c r="BK49" s="2">
        <v>48.008409999999998</v>
      </c>
      <c r="BL49" s="2">
        <v>20</v>
      </c>
      <c r="BM49" s="2">
        <v>19</v>
      </c>
      <c r="BN49" s="4">
        <v>21</v>
      </c>
      <c r="BO49" s="4">
        <v>1</v>
      </c>
      <c r="BP49" s="4">
        <v>1</v>
      </c>
      <c r="BQ49" s="4">
        <v>17</v>
      </c>
      <c r="BR49" s="2">
        <v>5.2631579999999998</v>
      </c>
      <c r="BS49" s="4">
        <v>12</v>
      </c>
      <c r="BT49" s="4">
        <v>1</v>
      </c>
      <c r="BU49" s="4">
        <v>21</v>
      </c>
      <c r="BV49" s="2">
        <v>57.142859999999999</v>
      </c>
      <c r="BW49" s="2">
        <v>7.1937800000000003</v>
      </c>
      <c r="BX49" s="2">
        <v>3284.49</v>
      </c>
      <c r="BY49" s="3">
        <v>10.46147</v>
      </c>
      <c r="BZ49" s="3">
        <v>0.31851109999999999</v>
      </c>
      <c r="CA49" s="2">
        <v>0.82472500000000004</v>
      </c>
      <c r="CB49" s="3">
        <v>0.31730000000000003</v>
      </c>
      <c r="CC49" s="3">
        <v>2.3477860000000002</v>
      </c>
      <c r="CD49" s="3">
        <v>2.1099800000000002</v>
      </c>
      <c r="CE49" s="2">
        <v>-10.128970000000001</v>
      </c>
      <c r="CF49" s="3">
        <v>13047.02</v>
      </c>
      <c r="CG49" s="3">
        <v>11562.05</v>
      </c>
      <c r="CH49" s="2">
        <v>-11.38171</v>
      </c>
      <c r="CI49" s="3">
        <v>17.620460000000001</v>
      </c>
      <c r="CJ49" s="2">
        <v>-3.2375159999999998</v>
      </c>
      <c r="CK49" s="3">
        <v>98767.59</v>
      </c>
      <c r="CL49" s="3">
        <v>89582.28</v>
      </c>
      <c r="CM49" s="2">
        <v>-9.2999279999999995</v>
      </c>
      <c r="CN49" s="3">
        <v>14.67009</v>
      </c>
      <c r="CO49" s="3">
        <v>14.578749999999999</v>
      </c>
      <c r="CP49" s="3">
        <v>14.73762</v>
      </c>
      <c r="CQ49" s="2">
        <v>5.2890779999999999</v>
      </c>
      <c r="CR49" s="2">
        <v>5.9487459999999999</v>
      </c>
      <c r="CS49" s="2">
        <v>4.8066380000000004</v>
      </c>
      <c r="CT49" s="2">
        <v>-0.62263009999999996</v>
      </c>
      <c r="CU49" s="2">
        <v>144.5575</v>
      </c>
      <c r="CV49" s="3">
        <v>0.28494199999999997</v>
      </c>
      <c r="CW49" s="2">
        <v>-3.601928</v>
      </c>
      <c r="CX49" s="2">
        <v>-16.38655</v>
      </c>
      <c r="CY49" s="2">
        <v>-6.2396710000000004</v>
      </c>
      <c r="CZ49" s="2">
        <v>30.656559999999999</v>
      </c>
    </row>
    <row r="50" spans="1:104" ht="15" customHeight="1" x14ac:dyDescent="0.2">
      <c r="A50" s="1">
        <f t="shared" si="0"/>
        <v>44</v>
      </c>
      <c r="B50" s="1" t="s">
        <v>142</v>
      </c>
      <c r="C50" s="1" t="s">
        <v>141</v>
      </c>
      <c r="D50" s="1" t="s">
        <v>26</v>
      </c>
      <c r="E50" s="1" t="s">
        <v>109</v>
      </c>
      <c r="F50" s="1" t="s">
        <v>110</v>
      </c>
      <c r="G50" s="2">
        <v>48484.4</v>
      </c>
      <c r="H50" s="2">
        <v>78.469300000000004</v>
      </c>
      <c r="I50" s="2">
        <v>38045.370000000003</v>
      </c>
      <c r="J50" s="3">
        <v>39.130000000000003</v>
      </c>
      <c r="K50" s="3">
        <v>0</v>
      </c>
      <c r="L50" s="2">
        <v>4.72783</v>
      </c>
      <c r="M50" s="2">
        <v>4.72783</v>
      </c>
      <c r="N50" s="2">
        <v>4.9099149999999998</v>
      </c>
      <c r="O50" s="2">
        <v>4.9833879999999997</v>
      </c>
      <c r="P50" s="2">
        <v>12.87171</v>
      </c>
      <c r="Q50" s="2">
        <v>12.26646</v>
      </c>
      <c r="R50" s="2">
        <v>10.77961</v>
      </c>
      <c r="S50" s="2">
        <v>9.8070170000000001</v>
      </c>
      <c r="T50" s="2">
        <v>6.8977069999999996</v>
      </c>
      <c r="U50" s="2">
        <v>6.4019500000000003</v>
      </c>
      <c r="V50" s="2">
        <v>5.8136590000000004</v>
      </c>
      <c r="W50" s="2">
        <v>5.4630210000000003</v>
      </c>
      <c r="X50" s="2">
        <v>2.0643630000000002</v>
      </c>
      <c r="Y50" s="2">
        <v>1.9762630000000001</v>
      </c>
      <c r="Z50" s="2">
        <v>1.8413079999999999</v>
      </c>
      <c r="AA50" s="2">
        <v>1.6866380000000001</v>
      </c>
      <c r="AB50" s="2">
        <v>5.7053070000000004</v>
      </c>
      <c r="AC50" s="2">
        <v>6.2341280000000001</v>
      </c>
      <c r="AD50" s="2">
        <v>5.7515090000000004</v>
      </c>
      <c r="AE50" s="2">
        <v>5.4018899999999999</v>
      </c>
      <c r="AF50" s="2">
        <v>4.1642250000000001</v>
      </c>
      <c r="AG50" s="2">
        <v>4.7537560000000001</v>
      </c>
      <c r="AH50" s="2">
        <v>5.2740530000000003</v>
      </c>
      <c r="AI50" s="2">
        <v>5.8866209999999999</v>
      </c>
      <c r="AJ50" s="2">
        <v>6.6381240000000004</v>
      </c>
      <c r="AK50" s="2">
        <v>7.2393510000000001</v>
      </c>
      <c r="AL50" s="3">
        <v>508.64640000000003</v>
      </c>
      <c r="AM50" s="3">
        <v>434.37209999999999</v>
      </c>
      <c r="AN50" s="2">
        <v>13.23663</v>
      </c>
      <c r="AO50" s="2">
        <v>12.64198</v>
      </c>
      <c r="AP50" s="2">
        <v>13.205970000000001</v>
      </c>
      <c r="AQ50" s="2">
        <v>13.30402</v>
      </c>
      <c r="AR50" s="2">
        <v>1.762059</v>
      </c>
      <c r="AS50" s="2">
        <v>1.8731800000000001</v>
      </c>
      <c r="AT50" s="2">
        <v>1.6503270000000001</v>
      </c>
      <c r="AU50" s="2">
        <v>1.483071</v>
      </c>
      <c r="AV50" s="1" t="s">
        <v>17</v>
      </c>
      <c r="AW50" s="3">
        <v>1.4666669999999999</v>
      </c>
      <c r="AX50" s="3">
        <v>47.25</v>
      </c>
      <c r="AY50" s="2">
        <v>20.751329999999999</v>
      </c>
      <c r="AZ50" s="2">
        <v>16.11111</v>
      </c>
      <c r="BA50" s="2">
        <v>2.4871999999999998E-2</v>
      </c>
      <c r="BB50" s="2">
        <v>-6.1630669999999999</v>
      </c>
      <c r="BC50" s="2">
        <v>-12.763350000000001</v>
      </c>
      <c r="BD50" s="3">
        <v>36.034999999999997</v>
      </c>
      <c r="BE50" s="2">
        <v>8.5888749999999998</v>
      </c>
      <c r="BF50" s="3">
        <v>47.045000000000002</v>
      </c>
      <c r="BG50" s="2">
        <v>-16.824310000000001</v>
      </c>
      <c r="BH50" s="2">
        <v>60.855260000000001</v>
      </c>
      <c r="BI50" s="2">
        <v>60.25788</v>
      </c>
      <c r="BJ50" s="2">
        <v>52.802300000000002</v>
      </c>
      <c r="BK50" s="2">
        <v>50.44209</v>
      </c>
      <c r="BL50" s="2">
        <v>13</v>
      </c>
      <c r="BM50" s="2">
        <v>12</v>
      </c>
      <c r="BN50" s="4">
        <v>15</v>
      </c>
      <c r="BO50" s="4">
        <v>1</v>
      </c>
      <c r="BP50" s="4">
        <v>0</v>
      </c>
      <c r="BQ50" s="4">
        <v>12</v>
      </c>
      <c r="BR50" s="2">
        <v>7.6923079999999997</v>
      </c>
      <c r="BS50" s="4">
        <v>9</v>
      </c>
      <c r="BT50" s="4">
        <v>0</v>
      </c>
      <c r="BU50" s="4">
        <v>15</v>
      </c>
      <c r="BV50" s="2">
        <v>60</v>
      </c>
      <c r="BW50" s="2">
        <v>8.0581399999999999</v>
      </c>
      <c r="BX50" s="2">
        <v>1239.059</v>
      </c>
      <c r="BY50" s="3">
        <v>2.2054079999999998</v>
      </c>
      <c r="BZ50" s="3">
        <v>0.1779905</v>
      </c>
      <c r="CA50" s="2">
        <v>1.36432</v>
      </c>
      <c r="CB50" s="3">
        <v>0.17731369999999999</v>
      </c>
      <c r="CC50" s="3">
        <v>3.3299780000000001</v>
      </c>
      <c r="CD50" s="3">
        <v>3.0930230000000001</v>
      </c>
      <c r="CE50" s="2">
        <v>-7.1158049999999999</v>
      </c>
      <c r="CF50" s="3">
        <v>6592.7</v>
      </c>
      <c r="CG50" s="3">
        <v>6232.2610000000004</v>
      </c>
      <c r="CH50" s="2">
        <v>-5.4672479999999997</v>
      </c>
      <c r="CI50" s="3">
        <v>49.283329999999999</v>
      </c>
      <c r="CJ50" s="2">
        <v>-4.1258039999999996</v>
      </c>
      <c r="CK50" s="3">
        <v>85286.83</v>
      </c>
      <c r="CL50" s="3">
        <v>85322.83</v>
      </c>
      <c r="CM50" s="2">
        <v>4.2212010000000001E-2</v>
      </c>
      <c r="CN50" s="3">
        <v>42.088180000000001</v>
      </c>
      <c r="CO50" s="3">
        <v>41.212049999999998</v>
      </c>
      <c r="CP50" s="3">
        <v>39.392499999999998</v>
      </c>
      <c r="CQ50" s="2">
        <v>-7.0285260000000003</v>
      </c>
      <c r="CR50" s="2">
        <v>-5.0520360000000002</v>
      </c>
      <c r="CS50" s="2">
        <v>-0.66636200000000001</v>
      </c>
      <c r="CT50" s="2">
        <v>-2.0816620000000001</v>
      </c>
      <c r="CU50" s="2">
        <v>105.4808</v>
      </c>
      <c r="CV50" s="3">
        <v>0.21755620000000001</v>
      </c>
      <c r="CW50" s="2">
        <v>-6.8696669999999997</v>
      </c>
      <c r="CX50" s="2">
        <v>-0.69649030000000001</v>
      </c>
      <c r="CY50" s="2">
        <v>-3.4057550000000001</v>
      </c>
      <c r="CZ50" s="2">
        <v>31.757580000000001</v>
      </c>
    </row>
    <row r="51" spans="1:104" ht="15" customHeight="1" x14ac:dyDescent="0.2">
      <c r="A51" s="1">
        <f t="shared" si="0"/>
        <v>45</v>
      </c>
      <c r="B51" s="1" t="s">
        <v>144</v>
      </c>
      <c r="C51" s="1" t="s">
        <v>143</v>
      </c>
      <c r="D51" s="1" t="s">
        <v>26</v>
      </c>
      <c r="E51" s="1" t="s">
        <v>72</v>
      </c>
      <c r="F51" s="1" t="s">
        <v>73</v>
      </c>
      <c r="G51" s="2">
        <v>36180</v>
      </c>
      <c r="H51" s="2">
        <v>88.207700000000003</v>
      </c>
      <c r="I51" s="2">
        <v>31913.55</v>
      </c>
      <c r="J51" s="3">
        <v>201</v>
      </c>
      <c r="K51" s="3">
        <v>0</v>
      </c>
      <c r="L51" s="2">
        <v>0.34825869999999998</v>
      </c>
      <c r="M51" s="2">
        <v>0.53482589999999997</v>
      </c>
      <c r="N51" s="2">
        <v>1.4228860000000001</v>
      </c>
      <c r="O51" s="2">
        <v>2.004975</v>
      </c>
      <c r="P51" s="2" t="e">
        <v>#N/A</v>
      </c>
      <c r="Q51" s="2">
        <v>78.515619999999998</v>
      </c>
      <c r="R51" s="2">
        <v>29.910720000000001</v>
      </c>
      <c r="S51" s="2">
        <v>19.543019999999999</v>
      </c>
      <c r="T51" s="2">
        <v>25.54993</v>
      </c>
      <c r="U51" s="2">
        <v>18.851700000000001</v>
      </c>
      <c r="V51" s="2">
        <v>12.33952</v>
      </c>
      <c r="W51" s="2">
        <v>9.3616259999999993</v>
      </c>
      <c r="X51" s="2">
        <v>7.8332030000000001</v>
      </c>
      <c r="Y51" s="2">
        <v>7.2255789999999998</v>
      </c>
      <c r="Z51" s="2">
        <v>5.8864429999999999</v>
      </c>
      <c r="AA51" s="2">
        <v>4.9048319999999999</v>
      </c>
      <c r="AB51" s="2">
        <v>13.64484</v>
      </c>
      <c r="AC51" s="2">
        <v>19.667590000000001</v>
      </c>
      <c r="AD51" s="2">
        <v>15.01882</v>
      </c>
      <c r="AE51" s="2">
        <v>12.225160000000001</v>
      </c>
      <c r="AF51" s="2">
        <v>2.2057259999999999</v>
      </c>
      <c r="AG51" s="2">
        <v>3.6497229999999998</v>
      </c>
      <c r="AH51" s="2">
        <v>5.3153290000000002</v>
      </c>
      <c r="AI51" s="2">
        <v>2.2871069999999998</v>
      </c>
      <c r="AJ51" s="2">
        <v>3.773244</v>
      </c>
      <c r="AK51" s="2">
        <v>5.3514819999999999</v>
      </c>
      <c r="AL51" s="3">
        <v>1.686599</v>
      </c>
      <c r="AM51" s="3">
        <v>0.673794</v>
      </c>
      <c r="AN51" s="2">
        <v>6.3377990000000004</v>
      </c>
      <c r="AO51" s="2">
        <v>8.8930600000000002</v>
      </c>
      <c r="AP51" s="2">
        <v>12.312670000000001</v>
      </c>
      <c r="AQ51" s="2">
        <v>14.51526</v>
      </c>
      <c r="AR51" s="2">
        <v>1.139912</v>
      </c>
      <c r="AS51" s="2">
        <v>0.6707938</v>
      </c>
      <c r="AT51" s="2">
        <v>0.40394639999999998</v>
      </c>
      <c r="AU51" s="2">
        <v>6.3245010000000004E-2</v>
      </c>
      <c r="AV51" s="1" t="s">
        <v>62</v>
      </c>
      <c r="AW51" s="3">
        <v>1.8064519999999999</v>
      </c>
      <c r="AX51" s="3">
        <v>209</v>
      </c>
      <c r="AY51" s="2">
        <v>3.9801000000000002</v>
      </c>
      <c r="AZ51" s="2">
        <v>9.2027269999999994</v>
      </c>
      <c r="BA51" s="2">
        <v>60.553640000000001</v>
      </c>
      <c r="BB51" s="2">
        <v>22.710619999999999</v>
      </c>
      <c r="BC51" s="2">
        <v>9.1442219999999992</v>
      </c>
      <c r="BD51" s="3">
        <v>147.62</v>
      </c>
      <c r="BE51" s="2">
        <v>36.160420000000002</v>
      </c>
      <c r="BF51" s="3">
        <v>208.8</v>
      </c>
      <c r="BG51" s="2">
        <v>-3.7356319999999998</v>
      </c>
      <c r="BH51" s="2" t="e">
        <v>#N/A</v>
      </c>
      <c r="BI51" s="2">
        <v>45.809150000000002</v>
      </c>
      <c r="BJ51" s="2">
        <v>41.915190000000003</v>
      </c>
      <c r="BK51" s="2">
        <v>38.902769999999997</v>
      </c>
      <c r="BL51" s="2">
        <v>27</v>
      </c>
      <c r="BM51" s="2">
        <v>25</v>
      </c>
      <c r="BN51" s="4">
        <v>31</v>
      </c>
      <c r="BO51" s="4">
        <v>2</v>
      </c>
      <c r="BP51" s="4">
        <v>2</v>
      </c>
      <c r="BQ51" s="4">
        <v>28</v>
      </c>
      <c r="BR51" s="2">
        <v>6.25</v>
      </c>
      <c r="BS51" s="4">
        <v>12</v>
      </c>
      <c r="BT51" s="4">
        <v>7</v>
      </c>
      <c r="BU51" s="4">
        <v>31</v>
      </c>
      <c r="BV51" s="2">
        <v>38.709670000000003</v>
      </c>
      <c r="BW51" s="2">
        <v>10.1058</v>
      </c>
      <c r="BX51" s="2">
        <v>180</v>
      </c>
      <c r="BY51" s="3">
        <v>0.48057499999999997</v>
      </c>
      <c r="BZ51" s="3">
        <v>0.2669861</v>
      </c>
      <c r="CA51" s="2">
        <v>1.24211</v>
      </c>
      <c r="CB51" s="3">
        <v>0.26597100000000001</v>
      </c>
      <c r="CC51" s="3">
        <v>4.4728380000000003</v>
      </c>
      <c r="CD51" s="3">
        <v>2.653168</v>
      </c>
      <c r="CE51" s="2">
        <v>-40.682659999999998</v>
      </c>
      <c r="CF51" s="3">
        <v>1291.134</v>
      </c>
      <c r="CG51" s="3">
        <v>851.92939999999999</v>
      </c>
      <c r="CH51" s="2">
        <v>-34.016950000000001</v>
      </c>
      <c r="CI51" s="3">
        <v>190.55</v>
      </c>
      <c r="CJ51" s="2">
        <v>9.6825010000000002</v>
      </c>
      <c r="CK51" s="3">
        <v>23329.69</v>
      </c>
      <c r="CL51" s="3">
        <v>22398.85</v>
      </c>
      <c r="CM51" s="2">
        <v>-3.989935</v>
      </c>
      <c r="CN51" s="3">
        <v>180.12010000000001</v>
      </c>
      <c r="CO51" s="3">
        <v>189.7784</v>
      </c>
      <c r="CP51" s="3">
        <v>199.62459999999999</v>
      </c>
      <c r="CQ51" s="2">
        <v>11.59219</v>
      </c>
      <c r="CR51" s="2">
        <v>5.9129829999999997</v>
      </c>
      <c r="CS51" s="2">
        <v>0.68898199999999998</v>
      </c>
      <c r="CT51" s="2">
        <v>5.3621410000000003</v>
      </c>
      <c r="CU51" s="2">
        <v>99.142269999999996</v>
      </c>
      <c r="CV51" s="3">
        <v>0.27402510000000002</v>
      </c>
      <c r="CW51" s="2">
        <v>-29.089220000000001</v>
      </c>
      <c r="CX51" s="2">
        <v>-2.2171989999999999</v>
      </c>
      <c r="CY51" s="2">
        <v>2.8593679999999999</v>
      </c>
      <c r="CZ51" s="2">
        <v>31.828279999999999</v>
      </c>
    </row>
    <row r="52" spans="1:104" ht="15" customHeight="1" x14ac:dyDescent="0.2">
      <c r="A52" s="1">
        <f t="shared" si="0"/>
        <v>46</v>
      </c>
      <c r="B52" s="1" t="s">
        <v>146</v>
      </c>
      <c r="C52" s="1" t="s">
        <v>145</v>
      </c>
      <c r="D52" s="1" t="s">
        <v>3</v>
      </c>
      <c r="E52" s="1" t="s">
        <v>79</v>
      </c>
      <c r="F52" s="1" t="s">
        <v>147</v>
      </c>
      <c r="G52" s="2">
        <v>25689.05</v>
      </c>
      <c r="H52" s="2">
        <v>98.206800000000001</v>
      </c>
      <c r="I52" s="2">
        <v>25228.39</v>
      </c>
      <c r="J52" s="3">
        <v>27.21</v>
      </c>
      <c r="K52" s="3">
        <v>0</v>
      </c>
      <c r="L52" s="2">
        <v>4.0426320000000002</v>
      </c>
      <c r="M52" s="2">
        <v>4.1712610000000003</v>
      </c>
      <c r="N52" s="2">
        <v>4.4101429999999997</v>
      </c>
      <c r="O52" s="2">
        <v>4.6306510000000003</v>
      </c>
      <c r="P52" s="2">
        <v>10.7126</v>
      </c>
      <c r="Q52" s="2">
        <v>10.789110000000001</v>
      </c>
      <c r="R52" s="2">
        <v>9.820748</v>
      </c>
      <c r="S52" s="2">
        <v>9.039866</v>
      </c>
      <c r="T52" s="2">
        <v>5.5277079999999996</v>
      </c>
      <c r="U52" s="2">
        <v>5.6963119999999998</v>
      </c>
      <c r="V52" s="2">
        <v>5.3786630000000004</v>
      </c>
      <c r="W52" s="2">
        <v>5.3036779999999997</v>
      </c>
      <c r="X52" s="2">
        <v>1.7737940000000001</v>
      </c>
      <c r="Y52" s="2">
        <v>1.6611720000000001</v>
      </c>
      <c r="Z52" s="2">
        <v>1.5425169999999999</v>
      </c>
      <c r="AA52" s="2">
        <v>1.4318660000000001</v>
      </c>
      <c r="AB52" s="2">
        <v>5.2030789999999998</v>
      </c>
      <c r="AC52" s="2">
        <v>4.9136740000000003</v>
      </c>
      <c r="AD52" s="2">
        <v>4.0294499999999998</v>
      </c>
      <c r="AE52" s="2">
        <v>3.8927040000000002</v>
      </c>
      <c r="AF52" s="2">
        <v>6.0162509999999996</v>
      </c>
      <c r="AG52" s="2">
        <v>6.2386600000000003</v>
      </c>
      <c r="AH52" s="2">
        <v>6.7053120000000002</v>
      </c>
      <c r="AI52" s="2">
        <v>9.4308160000000001</v>
      </c>
      <c r="AJ52" s="2">
        <v>9.672587</v>
      </c>
      <c r="AK52" s="2">
        <v>10.580220000000001</v>
      </c>
      <c r="AL52" s="3">
        <v>9.6419460000000008</v>
      </c>
      <c r="AM52" s="3">
        <v>8.8621440000000007</v>
      </c>
      <c r="AN52" s="2">
        <v>7.9707610000000004</v>
      </c>
      <c r="AO52" s="2">
        <v>7.9171990000000001</v>
      </c>
      <c r="AP52" s="2">
        <v>8.1282119999999995</v>
      </c>
      <c r="AQ52" s="2">
        <v>8.1594029999999993</v>
      </c>
      <c r="AR52" s="2">
        <v>2.0213700000000001</v>
      </c>
      <c r="AS52" s="2">
        <v>2.062433</v>
      </c>
      <c r="AT52" s="2">
        <v>1.9095139999999999</v>
      </c>
      <c r="AU52" s="2">
        <v>1.9424250000000001</v>
      </c>
      <c r="AV52" s="1" t="s">
        <v>62</v>
      </c>
      <c r="AW52" s="3">
        <v>1.8684210000000001</v>
      </c>
      <c r="AX52" s="3">
        <v>30</v>
      </c>
      <c r="AY52" s="2">
        <v>10.253579999999999</v>
      </c>
      <c r="AZ52" s="2">
        <v>15.396750000000001</v>
      </c>
      <c r="BA52" s="2">
        <v>1.12385</v>
      </c>
      <c r="BB52" s="2">
        <v>-15.00859</v>
      </c>
      <c r="BC52" s="2">
        <v>4.5935030000000001</v>
      </c>
      <c r="BD52" s="3">
        <v>25.4</v>
      </c>
      <c r="BE52" s="2">
        <v>7.1259860000000002</v>
      </c>
      <c r="BF52" s="3">
        <v>32.51</v>
      </c>
      <c r="BG52" s="2">
        <v>-16.302679999999999</v>
      </c>
      <c r="BH52" s="2">
        <v>43.29466</v>
      </c>
      <c r="BI52" s="2">
        <v>44.838880000000003</v>
      </c>
      <c r="BJ52" s="2">
        <v>44.13794</v>
      </c>
      <c r="BK52" s="2">
        <v>43.218420000000002</v>
      </c>
      <c r="BL52" s="2">
        <v>16</v>
      </c>
      <c r="BM52" s="2">
        <v>14</v>
      </c>
      <c r="BN52" s="4">
        <v>19</v>
      </c>
      <c r="BO52" s="4">
        <v>0</v>
      </c>
      <c r="BP52" s="4">
        <v>3</v>
      </c>
      <c r="BQ52" s="4">
        <v>16</v>
      </c>
      <c r="BR52" s="2">
        <v>0</v>
      </c>
      <c r="BS52" s="4">
        <v>6</v>
      </c>
      <c r="BT52" s="4">
        <v>3</v>
      </c>
      <c r="BU52" s="4">
        <v>19</v>
      </c>
      <c r="BV52" s="2">
        <v>31.578949999999999</v>
      </c>
      <c r="BW52" s="2">
        <v>4.9594699999999996</v>
      </c>
      <c r="BX52" s="2">
        <v>944.10329999999999</v>
      </c>
      <c r="BY52" s="3">
        <v>1.930104</v>
      </c>
      <c r="BZ52" s="3">
        <v>0.2044378</v>
      </c>
      <c r="CA52" s="2">
        <v>0.43623899999999999</v>
      </c>
      <c r="CB52" s="3">
        <v>0.20366049999999999</v>
      </c>
      <c r="CC52" s="3">
        <v>2.571256</v>
      </c>
      <c r="CD52" s="3">
        <v>2.5110510000000001</v>
      </c>
      <c r="CE52" s="2">
        <v>-2.3414609999999998</v>
      </c>
      <c r="CF52" s="3">
        <v>3618.0639999999999</v>
      </c>
      <c r="CG52" s="3">
        <v>3549.9070000000002</v>
      </c>
      <c r="CH52" s="2">
        <v>-1.883799</v>
      </c>
      <c r="CI52" s="3">
        <v>31.231110000000001</v>
      </c>
      <c r="CJ52" s="2">
        <v>-3.9419409999999999</v>
      </c>
      <c r="CK52" s="3">
        <v>90399.02</v>
      </c>
      <c r="CL52" s="3">
        <v>89252.83</v>
      </c>
      <c r="CM52" s="2">
        <v>-1.267922</v>
      </c>
      <c r="CN52" s="3">
        <v>28.09188</v>
      </c>
      <c r="CO52" s="3">
        <v>27.201070000000001</v>
      </c>
      <c r="CP52" s="3">
        <v>27.545390000000001</v>
      </c>
      <c r="CQ52" s="2">
        <v>-3.139281</v>
      </c>
      <c r="CR52" s="2">
        <v>3.2806399999999999E-2</v>
      </c>
      <c r="CS52" s="2">
        <v>-1.2175860000000001</v>
      </c>
      <c r="CT52" s="2">
        <v>-3.1710509999999998</v>
      </c>
      <c r="CU52" s="2">
        <v>51.263979999999997</v>
      </c>
      <c r="CV52" s="3">
        <v>0.1995557</v>
      </c>
      <c r="CW52" s="2">
        <v>11.215719999999999</v>
      </c>
      <c r="CX52" s="2">
        <v>0.32320369999999998</v>
      </c>
      <c r="CY52" s="2">
        <v>8.4282880000000002</v>
      </c>
      <c r="CZ52" s="2">
        <v>31.9697</v>
      </c>
    </row>
    <row r="53" spans="1:104" ht="15" customHeight="1" x14ac:dyDescent="0.2">
      <c r="A53" s="1">
        <f t="shared" si="0"/>
        <v>47</v>
      </c>
      <c r="B53" s="1" t="s">
        <v>149</v>
      </c>
      <c r="C53" s="1" t="s">
        <v>148</v>
      </c>
      <c r="D53" s="1" t="s">
        <v>26</v>
      </c>
      <c r="E53" s="1" t="s">
        <v>90</v>
      </c>
      <c r="F53" s="1" t="s">
        <v>91</v>
      </c>
      <c r="G53" s="2">
        <v>26913.51</v>
      </c>
      <c r="H53" s="2">
        <v>96.912400000000005</v>
      </c>
      <c r="I53" s="2">
        <v>26082.53</v>
      </c>
      <c r="J53" s="3">
        <v>27.395</v>
      </c>
      <c r="K53" s="3">
        <v>0</v>
      </c>
      <c r="L53" s="2">
        <v>0.40153309999999998</v>
      </c>
      <c r="M53" s="2">
        <v>0.40153309999999998</v>
      </c>
      <c r="N53" s="2">
        <v>0.40153309999999998</v>
      </c>
      <c r="O53" s="2">
        <v>4.5628760000000002</v>
      </c>
      <c r="P53" s="2">
        <v>4.2871680000000003</v>
      </c>
      <c r="Q53" s="2">
        <v>5.2988400000000002</v>
      </c>
      <c r="R53" s="2">
        <v>4.9307059999999998</v>
      </c>
      <c r="S53" s="2">
        <v>4.8853340000000003</v>
      </c>
      <c r="T53" s="2">
        <v>5.7694279999999996</v>
      </c>
      <c r="U53" s="2">
        <v>5.6738609999999996</v>
      </c>
      <c r="V53" s="2">
        <v>5.1426369999999997</v>
      </c>
      <c r="W53" s="2">
        <v>4.9483069999999998</v>
      </c>
      <c r="X53" s="2">
        <v>0.81727329999999998</v>
      </c>
      <c r="Y53" s="2">
        <v>0.77730920000000003</v>
      </c>
      <c r="Z53" s="2">
        <v>0.72511919999999996</v>
      </c>
      <c r="AA53" s="2">
        <v>0.66203480000000003</v>
      </c>
      <c r="AB53" s="2">
        <v>5.2588809999999997</v>
      </c>
      <c r="AC53" s="2">
        <v>4.0026140000000003</v>
      </c>
      <c r="AD53" s="2">
        <v>3.6747890000000001</v>
      </c>
      <c r="AE53" s="2">
        <v>3.9910939999999999</v>
      </c>
      <c r="AF53" s="2">
        <v>6.3424300000000002</v>
      </c>
      <c r="AG53" s="2">
        <v>8.6959339999999994</v>
      </c>
      <c r="AH53" s="2">
        <v>8.0234269999999999</v>
      </c>
      <c r="AI53" s="2">
        <v>14.024699999999999</v>
      </c>
      <c r="AJ53" s="2">
        <v>18.20787</v>
      </c>
      <c r="AK53" s="2">
        <v>16.343630000000001</v>
      </c>
      <c r="AL53" s="3" t="e">
        <v>#N/A</v>
      </c>
      <c r="AM53" s="3" t="e">
        <v>#N/A</v>
      </c>
      <c r="AN53" s="2">
        <v>24.573340000000002</v>
      </c>
      <c r="AO53" s="2">
        <v>22.301939999999998</v>
      </c>
      <c r="AP53" s="2">
        <v>22.821349999999999</v>
      </c>
      <c r="AQ53" s="2">
        <v>22.737770000000001</v>
      </c>
      <c r="AR53" s="2">
        <v>2.9470360000000002</v>
      </c>
      <c r="AS53" s="2">
        <v>3.107955</v>
      </c>
      <c r="AT53" s="2">
        <v>2.6865549999999998</v>
      </c>
      <c r="AU53" s="2">
        <v>2.5190800000000002</v>
      </c>
      <c r="AV53" s="1" t="s">
        <v>62</v>
      </c>
      <c r="AW53" s="3">
        <v>1.795455</v>
      </c>
      <c r="AX53" s="3">
        <v>33</v>
      </c>
      <c r="AY53" s="2">
        <v>20.45994</v>
      </c>
      <c r="AZ53" s="2">
        <v>14.669420000000001</v>
      </c>
      <c r="BA53" s="2">
        <v>-5.5959599999999998</v>
      </c>
      <c r="BB53" s="2">
        <v>-54.763869999999997</v>
      </c>
      <c r="BC53" s="2">
        <v>-18.54</v>
      </c>
      <c r="BD53" s="3">
        <v>24.96</v>
      </c>
      <c r="BE53" s="2">
        <v>9.755611</v>
      </c>
      <c r="BF53" s="3">
        <v>61.91</v>
      </c>
      <c r="BG53" s="2">
        <v>-55.750279999999997</v>
      </c>
      <c r="BH53" s="2">
        <v>1.7213069999999999</v>
      </c>
      <c r="BI53" s="2">
        <v>7.3898409999999997</v>
      </c>
      <c r="BJ53" s="2">
        <v>6.741841</v>
      </c>
      <c r="BK53" s="2">
        <v>19.03313</v>
      </c>
      <c r="BL53" s="2">
        <v>18</v>
      </c>
      <c r="BM53" s="2">
        <v>17</v>
      </c>
      <c r="BN53" s="4">
        <v>22</v>
      </c>
      <c r="BO53" s="4">
        <v>2</v>
      </c>
      <c r="BP53" s="4">
        <v>5</v>
      </c>
      <c r="BQ53" s="4">
        <v>20</v>
      </c>
      <c r="BR53" s="2">
        <v>7.4074070000000001</v>
      </c>
      <c r="BS53" s="4">
        <v>5</v>
      </c>
      <c r="BT53" s="4">
        <v>1</v>
      </c>
      <c r="BU53" s="4">
        <v>22</v>
      </c>
      <c r="BV53" s="2">
        <v>22.727270000000001</v>
      </c>
      <c r="BW53" s="2">
        <v>9.3507300000000004</v>
      </c>
      <c r="BX53" s="2">
        <v>982.42409999999995</v>
      </c>
      <c r="BY53" s="3">
        <v>3.1744560000000002</v>
      </c>
      <c r="BZ53" s="3">
        <v>0.32312479999999999</v>
      </c>
      <c r="CA53" s="2">
        <v>0.76359100000000002</v>
      </c>
      <c r="CB53" s="3">
        <v>0.32189620000000002</v>
      </c>
      <c r="CC53" s="3">
        <v>5.5618569999999998</v>
      </c>
      <c r="CD53" s="3">
        <v>5.1857980000000001</v>
      </c>
      <c r="CE53" s="2">
        <v>-6.7613960000000004</v>
      </c>
      <c r="CF53" s="3">
        <v>8031.9930000000004</v>
      </c>
      <c r="CG53" s="3">
        <v>7645.1880000000001</v>
      </c>
      <c r="CH53" s="2">
        <v>-4.8158050000000001</v>
      </c>
      <c r="CI53" s="3">
        <v>44.621310000000001</v>
      </c>
      <c r="CJ53" s="2">
        <v>-26.0443</v>
      </c>
      <c r="CK53" s="3">
        <v>47980.15</v>
      </c>
      <c r="CL53" s="3">
        <v>47162.04</v>
      </c>
      <c r="CM53" s="2">
        <v>-1.7051099999999999</v>
      </c>
      <c r="CN53" s="3">
        <v>38.733739999999997</v>
      </c>
      <c r="CO53" s="3">
        <v>27.806180000000001</v>
      </c>
      <c r="CP53" s="3">
        <v>27.079809999999998</v>
      </c>
      <c r="CQ53" s="2">
        <v>-29.27355</v>
      </c>
      <c r="CR53" s="2">
        <v>-1.4787440000000001</v>
      </c>
      <c r="CS53" s="2">
        <v>1.163924</v>
      </c>
      <c r="CT53" s="2">
        <v>-28.211980000000001</v>
      </c>
      <c r="CU53" s="2">
        <v>132.31200000000001</v>
      </c>
      <c r="CV53" s="3">
        <v>0.49161949999999999</v>
      </c>
      <c r="CW53" s="2">
        <v>28.5459</v>
      </c>
      <c r="CX53" s="2">
        <v>1.353588</v>
      </c>
      <c r="CY53" s="2">
        <v>70.422489999999996</v>
      </c>
      <c r="CZ53" s="2">
        <v>32.25253</v>
      </c>
    </row>
    <row r="54" spans="1:104" ht="15" customHeight="1" x14ac:dyDescent="0.2">
      <c r="A54" s="1">
        <f t="shared" si="0"/>
        <v>48</v>
      </c>
      <c r="B54" s="1" t="s">
        <v>151</v>
      </c>
      <c r="C54" s="1" t="s">
        <v>150</v>
      </c>
      <c r="D54" s="1" t="s">
        <v>38</v>
      </c>
      <c r="E54" s="1" t="s">
        <v>72</v>
      </c>
      <c r="F54" s="1" t="s">
        <v>152</v>
      </c>
      <c r="G54" s="2">
        <v>222178.4</v>
      </c>
      <c r="H54" s="2">
        <v>45.142499999999998</v>
      </c>
      <c r="I54" s="2">
        <v>100296.9</v>
      </c>
      <c r="J54" s="3">
        <v>415.5</v>
      </c>
      <c r="K54" s="3">
        <v>0</v>
      </c>
      <c r="L54" s="2">
        <v>1.5884480000000001</v>
      </c>
      <c r="M54" s="2">
        <v>1.684717</v>
      </c>
      <c r="N54" s="2">
        <v>1.8182910000000001</v>
      </c>
      <c r="O54" s="2">
        <v>1.9687129999999999</v>
      </c>
      <c r="P54" s="2">
        <v>34.395690000000002</v>
      </c>
      <c r="Q54" s="2">
        <v>32.148519999999998</v>
      </c>
      <c r="R54" s="2">
        <v>29.721029999999999</v>
      </c>
      <c r="S54" s="2">
        <v>27.589639999999999</v>
      </c>
      <c r="T54" s="2">
        <v>25.435929999999999</v>
      </c>
      <c r="U54" s="2">
        <v>21.33906</v>
      </c>
      <c r="V54" s="2">
        <v>19.515650000000001</v>
      </c>
      <c r="W54" s="2">
        <v>18.015640000000001</v>
      </c>
      <c r="X54" s="2">
        <v>7.6420820000000003</v>
      </c>
      <c r="Y54" s="2">
        <v>6.9499040000000001</v>
      </c>
      <c r="Z54" s="2">
        <v>6.2940240000000003</v>
      </c>
      <c r="AA54" s="2">
        <v>5.7019349999999998</v>
      </c>
      <c r="AB54" s="2">
        <v>29.21632</v>
      </c>
      <c r="AC54" s="2">
        <v>25.954730000000001</v>
      </c>
      <c r="AD54" s="2">
        <v>24.11619</v>
      </c>
      <c r="AE54" s="2">
        <v>23.19933</v>
      </c>
      <c r="AF54" s="2">
        <v>3.121766</v>
      </c>
      <c r="AG54" s="2">
        <v>3.4327709999999998</v>
      </c>
      <c r="AH54" s="2">
        <v>3.6629800000000001</v>
      </c>
      <c r="AI54" s="2">
        <v>3.145807</v>
      </c>
      <c r="AJ54" s="2">
        <v>3.4114490000000002</v>
      </c>
      <c r="AK54" s="2">
        <v>3.6003630000000002</v>
      </c>
      <c r="AL54" s="3">
        <v>4.1654340000000003</v>
      </c>
      <c r="AM54" s="3">
        <v>3.8264170000000002</v>
      </c>
      <c r="AN54" s="2">
        <v>23.424769999999999</v>
      </c>
      <c r="AO54" s="2">
        <v>23.804880000000001</v>
      </c>
      <c r="AP54" s="2">
        <v>24.038</v>
      </c>
      <c r="AQ54" s="2">
        <v>24.36523</v>
      </c>
      <c r="AR54" s="2">
        <v>0.45651940000000002</v>
      </c>
      <c r="AS54" s="2">
        <v>0.16307659999999999</v>
      </c>
      <c r="AT54" s="2">
        <v>-0.1219707</v>
      </c>
      <c r="AU54" s="2">
        <v>-0.31332189999999999</v>
      </c>
      <c r="AV54" s="1" t="s">
        <v>62</v>
      </c>
      <c r="AW54" s="3">
        <v>1.732143</v>
      </c>
      <c r="AX54" s="3">
        <v>450</v>
      </c>
      <c r="AY54" s="2">
        <v>8.3032489999999992</v>
      </c>
      <c r="AZ54" s="2">
        <v>21.618120000000001</v>
      </c>
      <c r="BA54" s="2">
        <v>7.55</v>
      </c>
      <c r="BB54" s="2">
        <v>1.3167500000000001</v>
      </c>
      <c r="BC54" s="2">
        <v>-7.7998459999999996</v>
      </c>
      <c r="BD54" s="3">
        <v>372</v>
      </c>
      <c r="BE54" s="2">
        <v>11.69355</v>
      </c>
      <c r="BF54" s="3">
        <v>460.6</v>
      </c>
      <c r="BG54" s="2">
        <v>-9.7915759999999992</v>
      </c>
      <c r="BH54" s="2">
        <v>54.197510000000001</v>
      </c>
      <c r="BI54" s="2">
        <v>54.012009999999997</v>
      </c>
      <c r="BJ54" s="2">
        <v>53.614490000000004</v>
      </c>
      <c r="BK54" s="2">
        <v>54.169449999999998</v>
      </c>
      <c r="BL54" s="2">
        <v>24</v>
      </c>
      <c r="BM54" s="2">
        <v>21</v>
      </c>
      <c r="BN54" s="4">
        <v>28</v>
      </c>
      <c r="BO54" s="4">
        <v>1</v>
      </c>
      <c r="BP54" s="4">
        <v>1</v>
      </c>
      <c r="BQ54" s="4">
        <v>27</v>
      </c>
      <c r="BR54" s="2">
        <v>3.4482759999999999</v>
      </c>
      <c r="BS54" s="4">
        <v>13</v>
      </c>
      <c r="BT54" s="4">
        <v>4</v>
      </c>
      <c r="BU54" s="4">
        <v>28</v>
      </c>
      <c r="BV54" s="2">
        <v>46.428570000000001</v>
      </c>
      <c r="BW54" s="2">
        <v>6.3594600000000003</v>
      </c>
      <c r="BX54" s="2">
        <v>534.72550000000001</v>
      </c>
      <c r="BY54" s="3">
        <v>0.28933219999999998</v>
      </c>
      <c r="BZ54" s="3">
        <v>5.4108549999999998E-2</v>
      </c>
      <c r="CA54" s="2">
        <v>1.00749</v>
      </c>
      <c r="CB54" s="3">
        <v>5.3902810000000002E-2</v>
      </c>
      <c r="CC54" s="3">
        <v>13.24236</v>
      </c>
      <c r="CD54" s="3">
        <v>12.97223</v>
      </c>
      <c r="CE54" s="2">
        <v>-2.0398860000000001</v>
      </c>
      <c r="CF54" s="3">
        <v>8928.2549999999992</v>
      </c>
      <c r="CG54" s="3">
        <v>8772.1039999999994</v>
      </c>
      <c r="CH54" s="2">
        <v>-1.7489490000000001</v>
      </c>
      <c r="CI54" s="3">
        <v>427.73910000000001</v>
      </c>
      <c r="CJ54" s="2">
        <v>5.2043080000000002</v>
      </c>
      <c r="CK54" s="3">
        <v>44623.06</v>
      </c>
      <c r="CL54" s="3">
        <v>43945.58</v>
      </c>
      <c r="CM54" s="2">
        <v>-1.518232</v>
      </c>
      <c r="CN54" s="3">
        <v>421.72809999999998</v>
      </c>
      <c r="CO54" s="3">
        <v>440.0283</v>
      </c>
      <c r="CP54" s="3">
        <v>436.34230000000002</v>
      </c>
      <c r="CQ54" s="2">
        <v>-1.4767999999999999</v>
      </c>
      <c r="CR54" s="2">
        <v>-5.5742500000000001</v>
      </c>
      <c r="CS54" s="2">
        <v>-4.7766029999999997</v>
      </c>
      <c r="CT54" s="2">
        <v>4.3393370000000004</v>
      </c>
      <c r="CU54" s="2">
        <v>120.8473</v>
      </c>
      <c r="CV54" s="3">
        <v>5.4391990000000001E-2</v>
      </c>
      <c r="CW54" s="2">
        <v>-52.441209999999998</v>
      </c>
      <c r="CX54" s="2">
        <v>-3.6027870000000002</v>
      </c>
      <c r="CY54" s="2" t="e">
        <v>#N/A</v>
      </c>
      <c r="CZ54" s="2">
        <v>32.494950000000003</v>
      </c>
    </row>
    <row r="55" spans="1:104" ht="15" customHeight="1" x14ac:dyDescent="0.2">
      <c r="A55" s="1">
        <f t="shared" si="0"/>
        <v>49</v>
      </c>
      <c r="B55" s="1" t="s">
        <v>154</v>
      </c>
      <c r="C55" s="1" t="s">
        <v>153</v>
      </c>
      <c r="D55" s="1" t="s">
        <v>38</v>
      </c>
      <c r="E55" s="1" t="s">
        <v>72</v>
      </c>
      <c r="F55" s="1" t="s">
        <v>131</v>
      </c>
      <c r="G55" s="2">
        <v>37002.69</v>
      </c>
      <c r="H55" s="2">
        <v>77.566800000000001</v>
      </c>
      <c r="I55" s="2">
        <v>28701.8</v>
      </c>
      <c r="J55" s="3">
        <v>144.75</v>
      </c>
      <c r="K55" s="3">
        <v>0</v>
      </c>
      <c r="L55" s="2">
        <v>3.2469779999999999</v>
      </c>
      <c r="M55" s="2">
        <v>3.044079</v>
      </c>
      <c r="N55" s="2">
        <v>3.1778930000000001</v>
      </c>
      <c r="O55" s="2">
        <v>3.2884289999999998</v>
      </c>
      <c r="P55" s="2">
        <v>15.88913</v>
      </c>
      <c r="Q55" s="2">
        <v>17.963750000000001</v>
      </c>
      <c r="R55" s="2">
        <v>16.637930000000001</v>
      </c>
      <c r="S55" s="2">
        <v>15.380559999999999</v>
      </c>
      <c r="T55" s="2">
        <v>13.573219999999999</v>
      </c>
      <c r="U55" s="2">
        <v>13.30179</v>
      </c>
      <c r="V55" s="2">
        <v>12.41292</v>
      </c>
      <c r="W55" s="2">
        <v>11.67963</v>
      </c>
      <c r="X55" s="2">
        <v>2.35826</v>
      </c>
      <c r="Y55" s="2">
        <v>2.2468059999999999</v>
      </c>
      <c r="Z55" s="2">
        <v>2.1384310000000002</v>
      </c>
      <c r="AA55" s="2">
        <v>2.021366</v>
      </c>
      <c r="AB55" s="2">
        <v>15.09385</v>
      </c>
      <c r="AC55" s="2">
        <v>14.562379999999999</v>
      </c>
      <c r="AD55" s="2">
        <v>13.64639</v>
      </c>
      <c r="AE55" s="2">
        <v>12.81282</v>
      </c>
      <c r="AF55" s="2">
        <v>2.2718069999999999</v>
      </c>
      <c r="AG55" s="2">
        <v>3.2860269999999998</v>
      </c>
      <c r="AH55" s="2">
        <v>3.6752470000000002</v>
      </c>
      <c r="AI55" s="2">
        <v>2.9093100000000001</v>
      </c>
      <c r="AJ55" s="2">
        <v>4.1811379999999998</v>
      </c>
      <c r="AK55" s="2">
        <v>4.6866640000000004</v>
      </c>
      <c r="AL55" s="3">
        <v>9.4536689999999997</v>
      </c>
      <c r="AM55" s="3">
        <v>8.7859189999999998</v>
      </c>
      <c r="AN55" s="2">
        <v>31.02084</v>
      </c>
      <c r="AO55" s="2">
        <v>30.446909999999999</v>
      </c>
      <c r="AP55" s="2">
        <v>31.11862</v>
      </c>
      <c r="AQ55" s="2">
        <v>31.58154</v>
      </c>
      <c r="AR55" s="2">
        <v>2.726693</v>
      </c>
      <c r="AS55" s="2">
        <v>2.914755</v>
      </c>
      <c r="AT55" s="2">
        <v>2.6573950000000002</v>
      </c>
      <c r="AU55" s="2">
        <v>2.520553</v>
      </c>
      <c r="AV55" s="1" t="s">
        <v>62</v>
      </c>
      <c r="AW55" s="3">
        <v>1.7619050000000001</v>
      </c>
      <c r="AX55" s="3">
        <v>166</v>
      </c>
      <c r="AY55" s="2">
        <v>14.680479999999999</v>
      </c>
      <c r="AZ55" s="2">
        <v>12.50745</v>
      </c>
      <c r="BA55" s="2">
        <v>1.860698</v>
      </c>
      <c r="BB55" s="2">
        <v>-30.173670000000001</v>
      </c>
      <c r="BC55" s="2">
        <v>-9.3896680000000003</v>
      </c>
      <c r="BD55" s="3">
        <v>140.35</v>
      </c>
      <c r="BE55" s="2">
        <v>3.135014</v>
      </c>
      <c r="BF55" s="3">
        <v>218</v>
      </c>
      <c r="BG55" s="2">
        <v>-33.600909999999999</v>
      </c>
      <c r="BH55" s="2">
        <v>51.20993</v>
      </c>
      <c r="BI55" s="2">
        <v>53.102240000000002</v>
      </c>
      <c r="BJ55" s="2">
        <v>51.449550000000002</v>
      </c>
      <c r="BK55" s="2">
        <v>50.012360000000001</v>
      </c>
      <c r="BL55" s="2">
        <v>19</v>
      </c>
      <c r="BM55" s="2">
        <v>17</v>
      </c>
      <c r="BN55" s="4">
        <v>21</v>
      </c>
      <c r="BO55" s="4">
        <v>0</v>
      </c>
      <c r="BP55" s="4">
        <v>0</v>
      </c>
      <c r="BQ55" s="4">
        <v>19</v>
      </c>
      <c r="BR55" s="2">
        <v>0</v>
      </c>
      <c r="BS55" s="4">
        <v>8</v>
      </c>
      <c r="BT55" s="4">
        <v>2</v>
      </c>
      <c r="BU55" s="4">
        <v>21</v>
      </c>
      <c r="BV55" s="2">
        <v>38.095239999999997</v>
      </c>
      <c r="BW55" s="2">
        <v>5.4297700000000004</v>
      </c>
      <c r="BX55" s="2">
        <v>255.6317</v>
      </c>
      <c r="BY55" s="3">
        <v>0.39279160000000002</v>
      </c>
      <c r="BZ55" s="3">
        <v>0.15365529999999999</v>
      </c>
      <c r="CA55" s="2">
        <v>0.37501499999999999</v>
      </c>
      <c r="CB55" s="3">
        <v>0.15307100000000001</v>
      </c>
      <c r="CC55" s="3">
        <v>8.7498760000000004</v>
      </c>
      <c r="CD55" s="3">
        <v>8.2289110000000001</v>
      </c>
      <c r="CE55" s="2">
        <v>-5.9539679999999997</v>
      </c>
      <c r="CF55" s="3">
        <v>3299.1640000000002</v>
      </c>
      <c r="CG55" s="3">
        <v>3198.56</v>
      </c>
      <c r="CH55" s="2">
        <v>-3.0493800000000002</v>
      </c>
      <c r="CI55" s="3">
        <v>177.2</v>
      </c>
      <c r="CJ55" s="2">
        <v>-6.3205419999999997</v>
      </c>
      <c r="CK55" s="3">
        <v>12166.99</v>
      </c>
      <c r="CL55" s="3">
        <v>11818.86</v>
      </c>
      <c r="CM55" s="2">
        <v>-2.861208</v>
      </c>
      <c r="CN55" s="3">
        <v>166.8065</v>
      </c>
      <c r="CO55" s="3">
        <v>152.23920000000001</v>
      </c>
      <c r="CP55" s="3">
        <v>148.61150000000001</v>
      </c>
      <c r="CQ55" s="2">
        <v>-13.222810000000001</v>
      </c>
      <c r="CR55" s="2">
        <v>-4.9193800000000003</v>
      </c>
      <c r="CS55" s="2">
        <v>-2.5984050000000001</v>
      </c>
      <c r="CT55" s="2">
        <v>-8.7330459999999999</v>
      </c>
      <c r="CU55" s="2">
        <v>56.89049</v>
      </c>
      <c r="CV55" s="3">
        <v>0.15374689999999999</v>
      </c>
      <c r="CW55" s="2" t="e">
        <v>#N/A</v>
      </c>
      <c r="CX55" s="2">
        <v>-1.6302540000000001</v>
      </c>
      <c r="CY55" s="2" t="e">
        <v>#N/A</v>
      </c>
      <c r="CZ55" s="2">
        <v>35.69697</v>
      </c>
    </row>
    <row r="56" spans="1:104" ht="15" customHeight="1" x14ac:dyDescent="0.2">
      <c r="A56" s="1">
        <f t="shared" si="0"/>
        <v>50</v>
      </c>
      <c r="B56" s="1" t="s">
        <v>156</v>
      </c>
      <c r="C56" s="1" t="s">
        <v>155</v>
      </c>
      <c r="D56" s="1" t="s">
        <v>38</v>
      </c>
      <c r="E56" s="1" t="s">
        <v>72</v>
      </c>
      <c r="F56" s="1" t="s">
        <v>157</v>
      </c>
      <c r="G56" s="2">
        <v>44949.85</v>
      </c>
      <c r="H56" s="2">
        <v>56.274099999999997</v>
      </c>
      <c r="I56" s="2">
        <v>25295.119999999999</v>
      </c>
      <c r="J56" s="3">
        <v>364.2</v>
      </c>
      <c r="K56" s="3">
        <v>0</v>
      </c>
      <c r="L56" s="2">
        <v>3.844042</v>
      </c>
      <c r="M56" s="2">
        <v>3.6156199999999998</v>
      </c>
      <c r="N56" s="2">
        <v>3.910974</v>
      </c>
      <c r="O56" s="2">
        <v>4.1090059999999999</v>
      </c>
      <c r="P56" s="2">
        <v>14.56218</v>
      </c>
      <c r="Q56" s="2">
        <v>16.66057</v>
      </c>
      <c r="R56" s="2">
        <v>14.40719</v>
      </c>
      <c r="S56" s="2">
        <v>12.820499999999999</v>
      </c>
      <c r="T56" s="2">
        <v>8.7911239999999999</v>
      </c>
      <c r="U56" s="2">
        <v>8.9137210000000007</v>
      </c>
      <c r="V56" s="2">
        <v>7.8435370000000004</v>
      </c>
      <c r="W56" s="2">
        <v>7.3479590000000004</v>
      </c>
      <c r="X56" s="2">
        <v>2.9291740000000002</v>
      </c>
      <c r="Y56" s="2">
        <v>2.7459850000000001</v>
      </c>
      <c r="Z56" s="2">
        <v>2.52251</v>
      </c>
      <c r="AA56" s="2">
        <v>2.2795269999999999</v>
      </c>
      <c r="AB56" s="2">
        <v>9.9965930000000007</v>
      </c>
      <c r="AC56" s="2">
        <v>9.5448450000000005</v>
      </c>
      <c r="AD56" s="2">
        <v>9.2334960000000006</v>
      </c>
      <c r="AE56" s="2">
        <v>8.0150769999999998</v>
      </c>
      <c r="AF56" s="2">
        <v>5.3771820000000004</v>
      </c>
      <c r="AG56" s="2">
        <v>6.6060140000000001</v>
      </c>
      <c r="AH56" s="2">
        <v>6.9504520000000003</v>
      </c>
      <c r="AI56" s="2">
        <v>6.3684589999999996</v>
      </c>
      <c r="AJ56" s="2">
        <v>7.7549510000000001</v>
      </c>
      <c r="AK56" s="2">
        <v>8.2946229999999996</v>
      </c>
      <c r="AL56" s="3">
        <v>5.7923640000000001</v>
      </c>
      <c r="AM56" s="3">
        <v>5.0271600000000003</v>
      </c>
      <c r="AN56" s="2">
        <v>33.573549999999997</v>
      </c>
      <c r="AO56" s="2">
        <v>30.751090000000001</v>
      </c>
      <c r="AP56" s="2">
        <v>32.250839999999997</v>
      </c>
      <c r="AQ56" s="2">
        <v>32.651350000000001</v>
      </c>
      <c r="AR56" s="2">
        <v>1.294565</v>
      </c>
      <c r="AS56" s="2">
        <v>1.3874580000000001</v>
      </c>
      <c r="AT56" s="2">
        <v>1.1620619999999999</v>
      </c>
      <c r="AU56" s="2">
        <v>1.190761</v>
      </c>
      <c r="AV56" s="1" t="s">
        <v>62</v>
      </c>
      <c r="AW56" s="3">
        <v>1.788462</v>
      </c>
      <c r="AX56" s="3">
        <v>407.5</v>
      </c>
      <c r="AY56" s="2">
        <v>11.889060000000001</v>
      </c>
      <c r="AZ56" s="2">
        <v>16.481940000000002</v>
      </c>
      <c r="BA56" s="2">
        <v>2.5</v>
      </c>
      <c r="BB56" s="2">
        <v>-34.425640000000001</v>
      </c>
      <c r="BC56" s="2">
        <v>-8.7217990000000007</v>
      </c>
      <c r="BD56" s="3">
        <v>343.4</v>
      </c>
      <c r="BE56" s="2">
        <v>6.0570839999999997</v>
      </c>
      <c r="BF56" s="3">
        <v>588.9</v>
      </c>
      <c r="BG56" s="2">
        <v>-38.155880000000003</v>
      </c>
      <c r="BH56" s="2">
        <v>55.388869999999997</v>
      </c>
      <c r="BI56" s="2">
        <v>57.27807</v>
      </c>
      <c r="BJ56" s="2">
        <v>54.514020000000002</v>
      </c>
      <c r="BK56" s="2">
        <v>51.66751</v>
      </c>
      <c r="BL56" s="2">
        <v>24</v>
      </c>
      <c r="BM56" s="2">
        <v>23</v>
      </c>
      <c r="BN56" s="4">
        <v>26</v>
      </c>
      <c r="BO56" s="4">
        <v>1</v>
      </c>
      <c r="BP56" s="4">
        <v>2</v>
      </c>
      <c r="BQ56" s="4">
        <v>24</v>
      </c>
      <c r="BR56" s="2">
        <v>3.7037040000000001</v>
      </c>
      <c r="BS56" s="4">
        <v>7</v>
      </c>
      <c r="BT56" s="4">
        <v>2</v>
      </c>
      <c r="BU56" s="4">
        <v>26</v>
      </c>
      <c r="BV56" s="2">
        <v>26.923079999999999</v>
      </c>
      <c r="BW56" s="2">
        <v>9.7474000000000007</v>
      </c>
      <c r="BX56" s="2">
        <v>123.4208</v>
      </c>
      <c r="BY56" s="3">
        <v>0.19229950000000001</v>
      </c>
      <c r="BZ56" s="3">
        <v>0.155808</v>
      </c>
      <c r="CA56" s="2">
        <v>1.5125</v>
      </c>
      <c r="CB56" s="3">
        <v>0.15521560000000001</v>
      </c>
      <c r="CC56" s="3">
        <v>26.330660000000002</v>
      </c>
      <c r="CD56" s="3">
        <v>22.139759999999999</v>
      </c>
      <c r="CE56" s="2">
        <v>-15.916399999999999</v>
      </c>
      <c r="CF56" s="3">
        <v>5018.2709999999997</v>
      </c>
      <c r="CG56" s="3">
        <v>4319.5789999999997</v>
      </c>
      <c r="CH56" s="2">
        <v>-13.922980000000001</v>
      </c>
      <c r="CI56" s="3">
        <v>461.28</v>
      </c>
      <c r="CJ56" s="2">
        <v>-11.658860000000001</v>
      </c>
      <c r="CK56" s="3">
        <v>20370.63</v>
      </c>
      <c r="CL56" s="3">
        <v>19586.400000000001</v>
      </c>
      <c r="CM56" s="2">
        <v>-3.8497979999999998</v>
      </c>
      <c r="CN56" s="3">
        <v>427.74889999999999</v>
      </c>
      <c r="CO56" s="3">
        <v>400.15190000000001</v>
      </c>
      <c r="CP56" s="3">
        <v>388.70389999999998</v>
      </c>
      <c r="CQ56" s="2">
        <v>-14.856579999999999</v>
      </c>
      <c r="CR56" s="2">
        <v>-8.9845710000000008</v>
      </c>
      <c r="CS56" s="2">
        <v>-6.3039959999999997</v>
      </c>
      <c r="CT56" s="2">
        <v>-6.4516660000000003</v>
      </c>
      <c r="CU56" s="2">
        <v>90.49006</v>
      </c>
      <c r="CV56" s="3">
        <v>0.2013134</v>
      </c>
      <c r="CW56" s="2" t="e">
        <v>#N/A</v>
      </c>
      <c r="CX56" s="2">
        <v>2.7470940000000001</v>
      </c>
      <c r="CY56" s="2" t="e">
        <v>#N/A</v>
      </c>
      <c r="CZ56" s="2">
        <v>40.424239999999998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2024-04-10T04:50:27Z</dcterms:created>
  <dcterms:modified xsi:type="dcterms:W3CDTF">2024-04-10T04:50:27Z</dcterms:modified>
  <cp:category/>
</cp:coreProperties>
</file>