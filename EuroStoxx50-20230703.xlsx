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C95DAA40-A16B-4AF7-9EC8-CDCEEF00F2F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</calcChain>
</file>

<file path=xl/sharedStrings.xml><?xml version="1.0" encoding="utf-8"?>
<sst xmlns="http://schemas.openxmlformats.org/spreadsheetml/2006/main" count="501" uniqueCount="364">
  <si>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</si>
  <si>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</si>
  <si>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</si>
  <si>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</si>
  <si>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</si>
  <si>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</si>
  <si>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</si>
  <si>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IFX-DE</t>
  </si>
  <si>
    <t>Infineon Technologies AG</t>
  </si>
  <si>
    <t>GERMANY</t>
  </si>
  <si>
    <t>Electronic Technology</t>
  </si>
  <si>
    <t>Semiconductors</t>
  </si>
  <si>
    <t>SIE-DE</t>
  </si>
  <si>
    <t>Siemens Aktiengesellschaft</t>
  </si>
  <si>
    <t>Producer Manufacturing</t>
  </si>
  <si>
    <t>Industrial Machinery</t>
  </si>
  <si>
    <t>ISP-IT</t>
  </si>
  <si>
    <t>Intesa Sanpaolo S.p.A.</t>
  </si>
  <si>
    <t>ITX-ES</t>
  </si>
  <si>
    <t>Industria de Diseno Textil, S.A.</t>
  </si>
  <si>
    <t>SPAIN</t>
  </si>
  <si>
    <t>Retail Trade</t>
  </si>
  <si>
    <t>Apparel/Footwear Retail</t>
  </si>
  <si>
    <t>BBVA-ES</t>
  </si>
  <si>
    <t>Banco Bilbao Vizcaya Argentaria, S.A.</t>
  </si>
  <si>
    <t>Overweight (1.25)</t>
  </si>
  <si>
    <t>MC-FR</t>
  </si>
  <si>
    <t>LVMH Moet Hennessy Louis Vuitton SE</t>
  </si>
  <si>
    <t>FRANCE</t>
  </si>
  <si>
    <t>Consumer Non-Durables</t>
  </si>
  <si>
    <t>Apparel/Footwear</t>
  </si>
  <si>
    <t>INGA-NL</t>
  </si>
  <si>
    <t>ING Groep NV</t>
  </si>
  <si>
    <t>NETHERLANDS</t>
  </si>
  <si>
    <t>CRG-IE</t>
  </si>
  <si>
    <t>CRH public limited company</t>
  </si>
  <si>
    <t>UNITED KINGDOM</t>
  </si>
  <si>
    <t>Non-Energy Minerals</t>
  </si>
  <si>
    <t>Construction Materials</t>
  </si>
  <si>
    <t>MBG-DE</t>
  </si>
  <si>
    <t>Mercedes-Benz Group AG</t>
  </si>
  <si>
    <t>Consumer Durables</t>
  </si>
  <si>
    <t>Motor Vehicles</t>
  </si>
  <si>
    <t>FLTR-IE</t>
  </si>
  <si>
    <t>Flutter Entertainment Plc</t>
  </si>
  <si>
    <t>Consumer Services</t>
  </si>
  <si>
    <t>Casinos/Gaming</t>
  </si>
  <si>
    <t>BMW-DE</t>
  </si>
  <si>
    <t>Bayerische Motoren Werke AG</t>
  </si>
  <si>
    <t>Hold (2.00)</t>
  </si>
  <si>
    <t>ENEL-IT</t>
  </si>
  <si>
    <t>Enel SpA</t>
  </si>
  <si>
    <t>Utilities</t>
  </si>
  <si>
    <t>Electric Utilities</t>
  </si>
  <si>
    <t>SAN-ES</t>
  </si>
  <si>
    <t>Banco Santander, S.A.</t>
  </si>
  <si>
    <t>ASML-NL</t>
  </si>
  <si>
    <t>ASML Holding NV</t>
  </si>
  <si>
    <t>DG-FR</t>
  </si>
  <si>
    <t>VINCI SA</t>
  </si>
  <si>
    <t>Industrial Services</t>
  </si>
  <si>
    <t>Engineering &amp; Construction</t>
  </si>
  <si>
    <t>RMS-FR</t>
  </si>
  <si>
    <t>Hermes International SCA</t>
  </si>
  <si>
    <t>NDA.FI-FI</t>
  </si>
  <si>
    <t>Nordea Bank Abp</t>
  </si>
  <si>
    <t>SWEDEN</t>
  </si>
  <si>
    <t>OR-FR</t>
  </si>
  <si>
    <t>L'Oreal S.A.</t>
  </si>
  <si>
    <t>Household/Personal Care</t>
  </si>
  <si>
    <t>AI-FR</t>
  </si>
  <si>
    <t>L'Air Liquide S.A.</t>
  </si>
  <si>
    <t>Process Industries</t>
  </si>
  <si>
    <t>Chemicals: Specialty</t>
  </si>
  <si>
    <t>DPW-DE</t>
  </si>
  <si>
    <t>DHL Group</t>
  </si>
  <si>
    <t>Transportation</t>
  </si>
  <si>
    <t>Air Freight/Couriers</t>
  </si>
  <si>
    <t>Overweight (1.50)</t>
  </si>
  <si>
    <t>STLAM-IT</t>
  </si>
  <si>
    <t>Stellantis N.V.</t>
  </si>
  <si>
    <t>IBE-ES</t>
  </si>
  <si>
    <t>Iberdrola SA</t>
  </si>
  <si>
    <t>DTE-DE</t>
  </si>
  <si>
    <t>Deutsche Telekom AG</t>
  </si>
  <si>
    <t>Communications</t>
  </si>
  <si>
    <t>Major Telecommunications</t>
  </si>
  <si>
    <t>SU-FR</t>
  </si>
  <si>
    <t>Schneider Electric SE</t>
  </si>
  <si>
    <t>Electrical Products</t>
  </si>
  <si>
    <t>ADS-DE</t>
  </si>
  <si>
    <t>adidas AG</t>
  </si>
  <si>
    <t>SAF-FR</t>
  </si>
  <si>
    <t>Safran SA</t>
  </si>
  <si>
    <t>Aerospace &amp; Defense</t>
  </si>
  <si>
    <t>ALV-DE</t>
  </si>
  <si>
    <t>Allianz SE</t>
  </si>
  <si>
    <t>Multi-Line Insurance</t>
  </si>
  <si>
    <t>SAP-DE</t>
  </si>
  <si>
    <t>SAP SE</t>
  </si>
  <si>
    <t>Technology Services</t>
  </si>
  <si>
    <t>Packaged Software</t>
  </si>
  <si>
    <t>VOW3-DE</t>
  </si>
  <si>
    <t>Volkswagen AG Pref</t>
  </si>
  <si>
    <t>MUV2-DE</t>
  </si>
  <si>
    <t>Munich Reinsurance Company</t>
  </si>
  <si>
    <t>Life/Health Insurance</t>
  </si>
  <si>
    <t>DB1-DE</t>
  </si>
  <si>
    <t>Deutsche Boerse AG</t>
  </si>
  <si>
    <t>Investment Banks/Brokers</t>
  </si>
  <si>
    <t>SAN-FR</t>
  </si>
  <si>
    <t>Sanofi</t>
  </si>
  <si>
    <t>Health Technology</t>
  </si>
  <si>
    <t>Pharmaceuticals: Major</t>
  </si>
  <si>
    <t>BNP-FR</t>
  </si>
  <si>
    <t>BNP Paribas S.A. Class A</t>
  </si>
  <si>
    <t>AIR-FR</t>
  </si>
  <si>
    <t>Airbus SE</t>
  </si>
  <si>
    <t>AD-NL</t>
  </si>
  <si>
    <t>Koninklijke Ahold Delhaize N.V.</t>
  </si>
  <si>
    <t>Food Retail</t>
  </si>
  <si>
    <t>ADYEN-NL</t>
  </si>
  <si>
    <t>Adyen NV</t>
  </si>
  <si>
    <t>RI-FR</t>
  </si>
  <si>
    <t>Pernod Ricard SA</t>
  </si>
  <si>
    <t>Beverages: Alcoholic</t>
  </si>
  <si>
    <t>PRX-NL</t>
  </si>
  <si>
    <t>Prosus N.V. Class N</t>
  </si>
  <si>
    <t>Financial Conglomerates</t>
  </si>
  <si>
    <t>TTE-FR</t>
  </si>
  <si>
    <t>TotalEnergies SE</t>
  </si>
  <si>
    <t>Energy Minerals</t>
  </si>
  <si>
    <t>Integrated Oil</t>
  </si>
  <si>
    <t>CS-FR</t>
  </si>
  <si>
    <t>AXA SA</t>
  </si>
  <si>
    <t>EL-FR</t>
  </si>
  <si>
    <t>EssilorLuxottica SA</t>
  </si>
  <si>
    <t>Medical Specialties</t>
  </si>
  <si>
    <t>BN-FR</t>
  </si>
  <si>
    <t>Danone SA</t>
  </si>
  <si>
    <t>Food: Meat/Fish/Dairy</t>
  </si>
  <si>
    <t>NOKIA-FI</t>
  </si>
  <si>
    <t>Nokia Oyj</t>
  </si>
  <si>
    <t>FINLAND</t>
  </si>
  <si>
    <t>Telecommunications Equipment</t>
  </si>
  <si>
    <t>BAYN-DE</t>
  </si>
  <si>
    <t>Bayer Aktiengesellschaft</t>
  </si>
  <si>
    <t>ENI-IT</t>
  </si>
  <si>
    <t>Eni S.p.A.</t>
  </si>
  <si>
    <t>Oil Refining/Marketing</t>
  </si>
  <si>
    <t>ABI-BE</t>
  </si>
  <si>
    <t>Anheuser-Busch InBev SA/NV</t>
  </si>
  <si>
    <t>BELGIUM</t>
  </si>
  <si>
    <t>BAS-DE</t>
  </si>
  <si>
    <t>BASF SE</t>
  </si>
  <si>
    <t>Chemicals: Major Diversified</t>
  </si>
  <si>
    <t>KER-FR</t>
  </si>
  <si>
    <t>Kering SA</t>
  </si>
  <si>
    <t>Consumer Sundries</t>
  </si>
  <si>
    <t>Company Symbol</t>
  </si>
  <si>
    <t>Company Name</t>
  </si>
  <si>
    <t>FE Ticker</t>
  </si>
  <si>
    <t>País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</si>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</sst>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9666-B388-4535-A68E-C1E8DCE377EA}">
  <sheetPr>
    <outlinePr summaryBelow="0" summaryRight="0"/>
    <pageSetUpPr fitToPage="1"/>
  </sheetPr>
  <dimension ref="A1:CZ55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28515625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14.28515625" customWidth="1"/>
  </cols>
  <sheetData>
    <row r="1" spans="1:104" ht="15" customHeight="1" x14ac:dyDescent="0.2">
      <c r="A1" t="s">
        <v>0</v>
      </c>
    </row>
    <row r="4" spans="1:104" ht="42" customHeight="1" x14ac:dyDescent="0.2">
      <c r="A4" s="5" t="s">
        <v>159</v>
      </c>
      <c r="B4" s="5" t="s">
        <v>160</v>
      </c>
      <c r="C4" s="5" t="s">
        <v>161</v>
      </c>
      <c r="D4" s="5" t="s">
        <v>162</v>
      </c>
      <c r="E4" s="5" t="s">
        <v>163</v>
      </c>
      <c r="F4" s="5" t="s">
        <v>164</v>
      </c>
      <c r="G4" s="6" t="s">
        <v>165</v>
      </c>
      <c r="H4" s="6" t="s">
        <v>166</v>
      </c>
      <c r="I4" s="6" t="s">
        <v>167</v>
      </c>
      <c r="J4" s="6" t="s">
        <v>168</v>
      </c>
      <c r="K4" s="6" t="s">
        <v>169</v>
      </c>
      <c r="L4" s="6" t="s">
        <v>170</v>
      </c>
      <c r="M4" s="6" t="s">
        <v>171</v>
      </c>
      <c r="N4" s="6" t="s">
        <v>172</v>
      </c>
      <c r="O4" s="6" t="s">
        <v>173</v>
      </c>
      <c r="P4" s="6" t="s">
        <v>174</v>
      </c>
      <c r="Q4" s="6" t="s">
        <v>175</v>
      </c>
      <c r="R4" s="6" t="s">
        <v>176</v>
      </c>
      <c r="S4" s="6" t="s">
        <v>177</v>
      </c>
      <c r="T4" s="6" t="s">
        <v>178</v>
      </c>
      <c r="U4" s="6" t="s">
        <v>179</v>
      </c>
      <c r="V4" s="6" t="s">
        <v>180</v>
      </c>
      <c r="W4" s="6" t="s">
        <v>181</v>
      </c>
      <c r="X4" s="6" t="s">
        <v>182</v>
      </c>
      <c r="Y4" s="6" t="s">
        <v>183</v>
      </c>
      <c r="Z4" s="6" t="s">
        <v>184</v>
      </c>
      <c r="AA4" s="6" t="s">
        <v>185</v>
      </c>
      <c r="AB4" s="6" t="s">
        <v>186</v>
      </c>
      <c r="AC4" s="6" t="s">
        <v>187</v>
      </c>
      <c r="AD4" s="6" t="s">
        <v>188</v>
      </c>
      <c r="AE4" s="6" t="s">
        <v>189</v>
      </c>
      <c r="AF4" s="6" t="s">
        <v>190</v>
      </c>
      <c r="AG4" s="6" t="s">
        <v>191</v>
      </c>
      <c r="AH4" s="6" t="s">
        <v>192</v>
      </c>
      <c r="AI4" s="6" t="s">
        <v>193</v>
      </c>
      <c r="AJ4" s="6" t="s">
        <v>194</v>
      </c>
      <c r="AK4" s="6" t="s">
        <v>195</v>
      </c>
      <c r="AL4" s="6" t="s">
        <v>196</v>
      </c>
      <c r="AM4" s="6" t="s">
        <v>197</v>
      </c>
      <c r="AN4" s="6" t="s">
        <v>198</v>
      </c>
      <c r="AO4" s="6" t="s">
        <v>199</v>
      </c>
      <c r="AP4" s="6" t="s">
        <v>200</v>
      </c>
      <c r="AQ4" s="6" t="s">
        <v>201</v>
      </c>
      <c r="AR4" s="6" t="s">
        <v>202</v>
      </c>
      <c r="AS4" s="6" t="s">
        <v>203</v>
      </c>
      <c r="AT4" s="6" t="s">
        <v>204</v>
      </c>
      <c r="AU4" s="6" t="s">
        <v>205</v>
      </c>
      <c r="AV4" s="5" t="s">
        <v>206</v>
      </c>
      <c r="AW4" s="6" t="s">
        <v>207</v>
      </c>
      <c r="AX4" s="6" t="s">
        <v>208</v>
      </c>
      <c r="AY4" s="6" t="s">
        <v>209</v>
      </c>
      <c r="AZ4" s="6" t="s">
        <v>210</v>
      </c>
      <c r="BA4" s="6" t="s">
        <v>211</v>
      </c>
      <c r="BB4" s="6" t="s">
        <v>212</v>
      </c>
      <c r="BC4" s="6" t="s">
        <v>213</v>
      </c>
      <c r="BD4" s="6" t="s">
        <v>214</v>
      </c>
      <c r="BE4" s="6" t="s">
        <v>215</v>
      </c>
      <c r="BF4" s="6" t="s">
        <v>216</v>
      </c>
      <c r="BG4" s="6" t="s">
        <v>217</v>
      </c>
      <c r="BH4" s="6" t="s">
        <v>218</v>
      </c>
      <c r="BI4" s="6" t="s">
        <v>219</v>
      </c>
      <c r="BJ4" s="6" t="s">
        <v>220</v>
      </c>
      <c r="BK4" s="6" t="s">
        <v>221</v>
      </c>
      <c r="BL4" s="6" t="s">
        <v>222</v>
      </c>
      <c r="BM4" s="6" t="s">
        <v>223</v>
      </c>
      <c r="BN4" s="6" t="s">
        <v>224</v>
      </c>
      <c r="BO4" s="6" t="s">
        <v>225</v>
      </c>
      <c r="BP4" s="6" t="s">
        <v>226</v>
      </c>
      <c r="BQ4" s="6" t="s">
        <v>227</v>
      </c>
      <c r="BR4" s="6" t="s">
        <v>228</v>
      </c>
      <c r="BS4" s="6" t="s">
        <v>229</v>
      </c>
      <c r="BT4" s="6" t="s">
        <v>230</v>
      </c>
      <c r="BU4" s="6" t="s">
        <v>224</v>
      </c>
      <c r="BV4" s="6" t="s">
        <v>231</v>
      </c>
      <c r="BW4" s="6" t="s">
        <v>232</v>
      </c>
      <c r="BX4" s="6" t="s">
        <v>233</v>
      </c>
      <c r="BY4" s="6" t="s">
        <v>234</v>
      </c>
      <c r="BZ4" s="6" t="s">
        <v>235</v>
      </c>
      <c r="CA4" s="6" t="s">
        <v>236</v>
      </c>
      <c r="CB4" s="6" t="s">
        <v>237</v>
      </c>
      <c r="CC4" s="6" t="s">
        <v>238</v>
      </c>
      <c r="CD4" s="6" t="s">
        <v>239</v>
      </c>
      <c r="CE4" s="6" t="s">
        <v>240</v>
      </c>
      <c r="CF4" s="6" t="s">
        <v>241</v>
      </c>
      <c r="CG4" s="6" t="s">
        <v>242</v>
      </c>
      <c r="CH4" s="6" t="s">
        <v>243</v>
      </c>
      <c r="CI4" s="6" t="s">
        <v>244</v>
      </c>
      <c r="CJ4" s="6" t="s">
        <v>245</v>
      </c>
      <c r="CK4" s="6" t="s">
        <v>246</v>
      </c>
      <c r="CL4" s="6" t="s">
        <v>247</v>
      </c>
      <c r="CM4" s="6" t="s">
        <v>248</v>
      </c>
      <c r="CN4" s="6" t="s">
        <v>249</v>
      </c>
      <c r="CO4" s="6" t="s">
        <v>250</v>
      </c>
      <c r="CP4" s="6" t="s">
        <v>251</v>
      </c>
      <c r="CQ4" s="6" t="s">
        <v>252</v>
      </c>
      <c r="CR4" s="6" t="s">
        <v>253</v>
      </c>
      <c r="CS4" s="6" t="s">
        <v>254</v>
      </c>
      <c r="CT4" s="6" t="s">
        <v>255</v>
      </c>
      <c r="CU4" s="6" t="s">
        <v>256</v>
      </c>
      <c r="CV4" s="6" t="s">
        <v>257</v>
      </c>
      <c r="CW4" s="6" t="s">
        <v>258</v>
      </c>
      <c r="CX4" s="6" t="s">
        <v>259</v>
      </c>
      <c r="CY4" s="6" t="s">
        <v>260</v>
      </c>
      <c r="CZ4" s="6" t="s">
        <v>261</v>
      </c>
    </row>
    <row r="5" spans="1:104" ht="12.75" x14ac:dyDescent="0.2">
      <c r="A5" s="5"/>
      <c r="B5" s="5"/>
      <c r="C5" s="5" t="s">
        <v>262</v>
      </c>
      <c r="D5" s="5" t="s">
        <v>263</v>
      </c>
      <c r="E5" s="5" t="s">
        <v>264</v>
      </c>
      <c r="F5" s="5" t="s">
        <v>265</v>
      </c>
      <c r="G5" s="6" t="s">
        <v>266</v>
      </c>
      <c r="H5" s="6" t="s">
        <v>267</v>
      </c>
      <c r="I5" s="6" t="s">
        <v>268</v>
      </c>
      <c r="J5" s="6" t="s">
        <v>269</v>
      </c>
      <c r="K5" s="6" t="s">
        <v>270</v>
      </c>
      <c r="L5" s="6" t="s">
        <v>271</v>
      </c>
      <c r="M5" s="6" t="s">
        <v>272</v>
      </c>
      <c r="N5" s="6" t="s">
        <v>273</v>
      </c>
      <c r="O5" s="6" t="s">
        <v>274</v>
      </c>
      <c r="P5" s="6" t="s">
        <v>275</v>
      </c>
      <c r="Q5" s="6" t="s">
        <v>276</v>
      </c>
      <c r="R5" s="6" t="s">
        <v>277</v>
      </c>
      <c r="S5" s="6" t="s">
        <v>278</v>
      </c>
      <c r="T5" s="6" t="s">
        <v>279</v>
      </c>
      <c r="U5" s="6" t="s">
        <v>280</v>
      </c>
      <c r="V5" s="6" t="s">
        <v>281</v>
      </c>
      <c r="W5" s="6" t="s">
        <v>282</v>
      </c>
      <c r="X5" s="6" t="s">
        <v>283</v>
      </c>
      <c r="Y5" s="6" t="s">
        <v>284</v>
      </c>
      <c r="Z5" s="6" t="s">
        <v>285</v>
      </c>
      <c r="AA5" s="6" t="s">
        <v>286</v>
      </c>
      <c r="AB5" s="6" t="s">
        <v>287</v>
      </c>
      <c r="AC5" s="6" t="s">
        <v>288</v>
      </c>
      <c r="AD5" s="6" t="s">
        <v>289</v>
      </c>
      <c r="AE5" s="6" t="s">
        <v>290</v>
      </c>
      <c r="AF5" s="6" t="s">
        <v>291</v>
      </c>
      <c r="AG5" s="6" t="s">
        <v>292</v>
      </c>
      <c r="AH5" s="6" t="s">
        <v>293</v>
      </c>
      <c r="AI5" s="6" t="s">
        <v>294</v>
      </c>
      <c r="AJ5" s="6" t="s">
        <v>295</v>
      </c>
      <c r="AK5" s="6" t="s">
        <v>296</v>
      </c>
      <c r="AL5" s="6" t="s">
        <v>297</v>
      </c>
      <c r="AM5" s="6" t="s">
        <v>298</v>
      </c>
      <c r="AN5" s="6" t="s">
        <v>299</v>
      </c>
      <c r="AO5" s="6" t="s">
        <v>300</v>
      </c>
      <c r="AP5" s="6" t="s">
        <v>301</v>
      </c>
      <c r="AQ5" s="6" t="s">
        <v>302</v>
      </c>
      <c r="AR5" s="6" t="s">
        <v>303</v>
      </c>
      <c r="AS5" s="6" t="s">
        <v>304</v>
      </c>
      <c r="AT5" s="6" t="s">
        <v>305</v>
      </c>
      <c r="AU5" s="6" t="s">
        <v>306</v>
      </c>
      <c r="AV5" s="5" t="s">
        <v>307</v>
      </c>
      <c r="AW5" s="6" t="s">
        <v>308</v>
      </c>
      <c r="AX5" s="6" t="s">
        <v>309</v>
      </c>
      <c r="AY5" s="6" t="s">
        <v>310</v>
      </c>
      <c r="AZ5" s="6" t="s">
        <v>311</v>
      </c>
      <c r="BA5" s="6" t="s">
        <v>312</v>
      </c>
      <c r="BB5" s="6" t="s">
        <v>313</v>
      </c>
      <c r="BC5" s="6" t="s">
        <v>314</v>
      </c>
      <c r="BD5" s="6" t="s">
        <v>315</v>
      </c>
      <c r="BE5" s="6" t="s">
        <v>316</v>
      </c>
      <c r="BF5" s="6" t="s">
        <v>317</v>
      </c>
      <c r="BG5" s="6" t="s">
        <v>318</v>
      </c>
      <c r="BH5" s="6" t="s">
        <v>319</v>
      </c>
      <c r="BI5" s="6" t="s">
        <v>320</v>
      </c>
      <c r="BJ5" s="6" t="s">
        <v>321</v>
      </c>
      <c r="BK5" s="6" t="s">
        <v>322</v>
      </c>
      <c r="BL5" s="6" t="s">
        <v>323</v>
      </c>
      <c r="BM5" s="6" t="s">
        <v>324</v>
      </c>
      <c r="BN5" s="6" t="s">
        <v>325</v>
      </c>
      <c r="BO5" s="6" t="s">
        <v>326</v>
      </c>
      <c r="BP5" s="6" t="s">
        <v>327</v>
      </c>
      <c r="BQ5" s="6" t="s">
        <v>328</v>
      </c>
      <c r="BR5" s="6" t="s">
        <v>329</v>
      </c>
      <c r="BS5" s="6" t="s">
        <v>330</v>
      </c>
      <c r="BT5" s="6" t="s">
        <v>331</v>
      </c>
      <c r="BU5" s="6" t="s">
        <v>332</v>
      </c>
      <c r="BV5" s="6" t="s">
        <v>333</v>
      </c>
      <c r="BW5" s="6" t="s">
        <v>334</v>
      </c>
      <c r="BX5" s="6" t="s">
        <v>335</v>
      </c>
      <c r="BY5" s="6" t="s">
        <v>336</v>
      </c>
      <c r="BZ5" s="6" t="s">
        <v>337</v>
      </c>
      <c r="CA5" s="6" t="s">
        <v>338</v>
      </c>
      <c r="CB5" s="6" t="s">
        <v>339</v>
      </c>
      <c r="CC5" s="6" t="s">
        <v>340</v>
      </c>
      <c r="CD5" s="6" t="s">
        <v>341</v>
      </c>
      <c r="CE5" s="6" t="s">
        <v>342</v>
      </c>
      <c r="CF5" s="6" t="s">
        <v>343</v>
      </c>
      <c r="CG5" s="6" t="s">
        <v>344</v>
      </c>
      <c r="CH5" s="6" t="s">
        <v>345</v>
      </c>
      <c r="CI5" s="6" t="s">
        <v>346</v>
      </c>
      <c r="CJ5" s="6" t="s">
        <v>347</v>
      </c>
      <c r="CK5" s="6" t="s">
        <v>348</v>
      </c>
      <c r="CL5" s="6" t="s">
        <v>349</v>
      </c>
      <c r="CM5" s="6" t="s">
        <v>350</v>
      </c>
      <c r="CN5" s="6" t="s">
        <v>351</v>
      </c>
      <c r="CO5" s="6" t="s">
        <v>352</v>
      </c>
      <c r="CP5" s="6" t="s">
        <v>353</v>
      </c>
      <c r="CQ5" s="6" t="s">
        <v>354</v>
      </c>
      <c r="CR5" s="6" t="s">
        <v>355</v>
      </c>
      <c r="CS5" s="6" t="s">
        <v>356</v>
      </c>
      <c r="CT5" s="6" t="s">
        <v>357</v>
      </c>
      <c r="CU5" s="6" t="s">
        <v>358</v>
      </c>
      <c r="CV5" s="6" t="s">
        <v>359</v>
      </c>
      <c r="CW5" s="6" t="s">
        <v>360</v>
      </c>
      <c r="CX5" s="6" t="s">
        <v>361</v>
      </c>
      <c r="CY5" s="6" t="s">
        <v>362</v>
      </c>
      <c r="CZ5" s="6" t="s">
        <v>363</v>
      </c>
    </row>
    <row r="6" spans="1:104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</row>
    <row r="7" spans="1:104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41270.639999999999</v>
      </c>
      <c r="H7" s="2">
        <v>92.969399999999993</v>
      </c>
      <c r="I7" s="2">
        <v>38369.07</v>
      </c>
      <c r="J7" s="3">
        <v>21.265000000000001</v>
      </c>
      <c r="K7" s="3">
        <v>0</v>
      </c>
      <c r="L7" s="2">
        <v>4.655538</v>
      </c>
      <c r="M7" s="2">
        <v>5.9084620000000001</v>
      </c>
      <c r="N7" s="2">
        <v>6.4219419999999996</v>
      </c>
      <c r="O7" s="2">
        <v>7.0538439999999998</v>
      </c>
      <c r="P7" s="2">
        <v>8.5060000000000002</v>
      </c>
      <c r="Q7" s="2">
        <v>6.1459539999999997</v>
      </c>
      <c r="R7" s="2">
        <v>5.7942780000000003</v>
      </c>
      <c r="S7" s="2">
        <v>5.1663889999999997</v>
      </c>
      <c r="T7" s="2" t="e">
        <v>#N/A</v>
      </c>
      <c r="U7" s="2" t="e">
        <v>#N/A</v>
      </c>
      <c r="V7" s="2" t="e">
        <v>#N/A</v>
      </c>
      <c r="W7" s="2" t="e">
        <v>#N/A</v>
      </c>
      <c r="X7" s="2">
        <v>0.71889789999999998</v>
      </c>
      <c r="Y7" s="2">
        <v>0.63241789999999998</v>
      </c>
      <c r="Z7" s="2">
        <v>0.56493090000000001</v>
      </c>
      <c r="AA7" s="2">
        <v>0.4788694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3">
        <v>0.29669190000000001</v>
      </c>
      <c r="AM7" s="3">
        <v>0.2781961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1" t="s">
        <v>6</v>
      </c>
      <c r="AW7" s="3">
        <v>1.1000000000000001</v>
      </c>
      <c r="AX7" s="3">
        <v>26</v>
      </c>
      <c r="AY7" s="2">
        <v>22.266639999999999</v>
      </c>
      <c r="AZ7" s="2">
        <v>10.28999</v>
      </c>
      <c r="BA7" s="2">
        <v>20.738949999999999</v>
      </c>
      <c r="BB7" s="2">
        <v>134.58359999999999</v>
      </c>
      <c r="BC7" s="2">
        <v>60.224519999999998</v>
      </c>
      <c r="BD7" s="3">
        <v>8.2420000000000009</v>
      </c>
      <c r="BE7" s="2">
        <v>158.0078</v>
      </c>
      <c r="BF7" s="3">
        <v>21.57</v>
      </c>
      <c r="BG7" s="2">
        <v>-1.4140010000000001</v>
      </c>
      <c r="BH7" s="2">
        <v>38.923900000000003</v>
      </c>
      <c r="BI7" s="2">
        <v>35.448419999999999</v>
      </c>
      <c r="BJ7" s="2">
        <v>36.125459999999997</v>
      </c>
      <c r="BK7" s="2">
        <v>38.767940000000003</v>
      </c>
      <c r="BL7" s="2">
        <v>24</v>
      </c>
      <c r="BM7" s="2">
        <v>12</v>
      </c>
      <c r="BN7" s="4">
        <v>25</v>
      </c>
      <c r="BO7" s="4">
        <v>1</v>
      </c>
      <c r="BP7" s="4">
        <v>1</v>
      </c>
      <c r="BQ7" s="4">
        <v>24</v>
      </c>
      <c r="BR7" s="2">
        <v>3.8461539999999999</v>
      </c>
      <c r="BS7" s="4">
        <v>23</v>
      </c>
      <c r="BT7" s="4">
        <v>0</v>
      </c>
      <c r="BU7" s="4">
        <v>25</v>
      </c>
      <c r="BV7" s="2">
        <v>92</v>
      </c>
      <c r="BW7" s="2">
        <v>13.4491</v>
      </c>
      <c r="BX7" s="2">
        <v>1940.778</v>
      </c>
      <c r="BY7" s="3">
        <v>17.036660000000001</v>
      </c>
      <c r="BZ7" s="3">
        <v>0.87782649999999995</v>
      </c>
      <c r="CA7" s="2">
        <v>1.6301000000000001</v>
      </c>
      <c r="CB7" s="3">
        <v>0.87782649999999995</v>
      </c>
      <c r="CC7" s="3">
        <v>2.7249210000000001</v>
      </c>
      <c r="CD7" s="3">
        <v>3.455994</v>
      </c>
      <c r="CE7" s="2">
        <v>26.829149999999998</v>
      </c>
      <c r="CF7" s="3">
        <v>10298.86</v>
      </c>
      <c r="CG7" s="3">
        <v>11919.9</v>
      </c>
      <c r="CH7" s="2">
        <v>15.739929999999999</v>
      </c>
      <c r="CI7" s="3">
        <v>22.409559999999999</v>
      </c>
      <c r="CJ7" s="2">
        <v>16.021879999999999</v>
      </c>
      <c r="CK7" s="3">
        <v>20117.8</v>
      </c>
      <c r="CL7" s="3">
        <v>21696.71</v>
      </c>
      <c r="CM7" s="2">
        <v>7.8482989999999999</v>
      </c>
      <c r="CN7" s="3">
        <v>15.95628</v>
      </c>
      <c r="CO7" s="3">
        <v>19.006019999999999</v>
      </c>
      <c r="CP7" s="3">
        <v>19.33389</v>
      </c>
      <c r="CQ7" s="2">
        <v>33.270429999999998</v>
      </c>
      <c r="CR7" s="2">
        <v>11.8856</v>
      </c>
      <c r="CS7" s="2">
        <v>9.9882360000000006</v>
      </c>
      <c r="CT7" s="2">
        <v>19.113140000000001</v>
      </c>
      <c r="CU7" s="2">
        <v>279.88630000000001</v>
      </c>
      <c r="CV7" s="3">
        <v>0.67817289999999997</v>
      </c>
      <c r="CW7" s="2">
        <v>50.456530000000001</v>
      </c>
      <c r="CX7" s="2">
        <v>6.4802989999999996</v>
      </c>
      <c r="CY7" s="2">
        <v>36.485889999999998</v>
      </c>
      <c r="CZ7" s="2">
        <v>10.23232</v>
      </c>
    </row>
    <row r="8" spans="1:104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10</v>
      </c>
      <c r="F8" s="1" t="s">
        <v>11</v>
      </c>
      <c r="G8" s="2">
        <v>49344.23</v>
      </c>
      <c r="H8" s="2">
        <v>99.545599999999993</v>
      </c>
      <c r="I8" s="2">
        <v>49120</v>
      </c>
      <c r="J8" s="3">
        <v>37.784999999999997</v>
      </c>
      <c r="K8" s="3">
        <v>0</v>
      </c>
      <c r="L8" s="2">
        <v>0.84689689999999995</v>
      </c>
      <c r="M8" s="2">
        <v>0.92629360000000005</v>
      </c>
      <c r="N8" s="2">
        <v>1.00569</v>
      </c>
      <c r="O8" s="2">
        <v>1.0321560000000001</v>
      </c>
      <c r="P8" s="2">
        <v>19.180199999999999</v>
      </c>
      <c r="Q8" s="2">
        <v>14.61702</v>
      </c>
      <c r="R8" s="2">
        <v>14.39429</v>
      </c>
      <c r="S8" s="2">
        <v>12.67953</v>
      </c>
      <c r="T8" s="2">
        <v>8.0478550000000002</v>
      </c>
      <c r="U8" s="2">
        <v>8.4858119999999992</v>
      </c>
      <c r="V8" s="2">
        <v>7.6910470000000002</v>
      </c>
      <c r="W8" s="2">
        <v>6.7734930000000002</v>
      </c>
      <c r="X8" s="2">
        <v>3.2971200000000001</v>
      </c>
      <c r="Y8" s="2">
        <v>2.951953</v>
      </c>
      <c r="Z8" s="2">
        <v>2.52068</v>
      </c>
      <c r="AA8" s="2">
        <v>2.1690589999999998</v>
      </c>
      <c r="AB8" s="2">
        <v>12.38292</v>
      </c>
      <c r="AC8" s="2">
        <v>11.69659</v>
      </c>
      <c r="AD8" s="2">
        <v>9.6145040000000002</v>
      </c>
      <c r="AE8" s="2">
        <v>9.2798119999999997</v>
      </c>
      <c r="AF8" s="2">
        <v>2.4021710000000001</v>
      </c>
      <c r="AG8" s="2">
        <v>3.7229619999999999</v>
      </c>
      <c r="AH8" s="2">
        <v>4.479063</v>
      </c>
      <c r="AI8" s="2">
        <v>2.471927</v>
      </c>
      <c r="AJ8" s="2">
        <v>3.724383</v>
      </c>
      <c r="AK8" s="2">
        <v>4.3377100000000004</v>
      </c>
      <c r="AL8" s="3">
        <v>1.3913990000000001</v>
      </c>
      <c r="AM8" s="3">
        <v>1.364932</v>
      </c>
      <c r="AN8" s="2">
        <v>34.146859999999997</v>
      </c>
      <c r="AO8" s="2">
        <v>36.871969999999997</v>
      </c>
      <c r="AP8" s="2">
        <v>37.326250000000002</v>
      </c>
      <c r="AQ8" s="2">
        <v>36.987169999999999</v>
      </c>
      <c r="AR8" s="2">
        <v>0.40061790000000003</v>
      </c>
      <c r="AS8" s="2">
        <v>0.2394645</v>
      </c>
      <c r="AT8" s="2">
        <v>2.933078E-3</v>
      </c>
      <c r="AU8" s="2">
        <v>-0.2207277</v>
      </c>
      <c r="AV8" s="1" t="s">
        <v>6</v>
      </c>
      <c r="AW8" s="3">
        <v>1.3148150000000001</v>
      </c>
      <c r="AX8" s="3">
        <v>49</v>
      </c>
      <c r="AY8" s="2">
        <v>29.681090000000001</v>
      </c>
      <c r="AZ8" s="2">
        <v>20.195309999999999</v>
      </c>
      <c r="BA8" s="2">
        <v>15.669740000000001</v>
      </c>
      <c r="BB8" s="2">
        <v>63.642270000000003</v>
      </c>
      <c r="BC8" s="2">
        <v>32.905380000000001</v>
      </c>
      <c r="BD8" s="3">
        <v>20.675000000000001</v>
      </c>
      <c r="BE8" s="2">
        <v>82.756960000000007</v>
      </c>
      <c r="BF8" s="3">
        <v>39.159999999999997</v>
      </c>
      <c r="BG8" s="2">
        <v>-3.5112380000000001</v>
      </c>
      <c r="BH8" s="2">
        <v>16.243649999999999</v>
      </c>
      <c r="BI8" s="2">
        <v>15.634040000000001</v>
      </c>
      <c r="BJ8" s="2">
        <v>16.591049999999999</v>
      </c>
      <c r="BK8" s="2">
        <v>15.183059999999999</v>
      </c>
      <c r="BL8" s="2">
        <v>24</v>
      </c>
      <c r="BM8" s="2">
        <v>21</v>
      </c>
      <c r="BN8" s="4">
        <v>27</v>
      </c>
      <c r="BO8" s="4">
        <v>0</v>
      </c>
      <c r="BP8" s="4">
        <v>0</v>
      </c>
      <c r="BQ8" s="4">
        <v>27</v>
      </c>
      <c r="BR8" s="2">
        <v>0</v>
      </c>
      <c r="BS8" s="4">
        <v>21</v>
      </c>
      <c r="BT8" s="4">
        <v>1</v>
      </c>
      <c r="BU8" s="4">
        <v>27</v>
      </c>
      <c r="BV8" s="2">
        <v>77.777780000000007</v>
      </c>
      <c r="BW8" s="2">
        <v>10.6599</v>
      </c>
      <c r="BX8" s="2">
        <v>1305.921</v>
      </c>
      <c r="BY8" s="3">
        <v>3.9144580000000002</v>
      </c>
      <c r="BZ8" s="3">
        <v>0.29974689999999998</v>
      </c>
      <c r="CA8" s="2">
        <v>1.4613400000000001</v>
      </c>
      <c r="CB8" s="3">
        <v>0.29974689999999998</v>
      </c>
      <c r="CC8" s="3">
        <v>2.3483230000000002</v>
      </c>
      <c r="CD8" s="3">
        <v>2.5777359999999998</v>
      </c>
      <c r="CE8" s="2">
        <v>9.7692599999999992</v>
      </c>
      <c r="CF8" s="3">
        <v>3844.4740000000002</v>
      </c>
      <c r="CG8" s="3">
        <v>4242.3810000000003</v>
      </c>
      <c r="CH8" s="2">
        <v>10.35012</v>
      </c>
      <c r="CI8" s="3">
        <v>45.65652</v>
      </c>
      <c r="CJ8" s="2">
        <v>7.3231099999999998</v>
      </c>
      <c r="CK8" s="3">
        <v>15741.17</v>
      </c>
      <c r="CL8" s="3">
        <v>16214.47</v>
      </c>
      <c r="CM8" s="2">
        <v>3.00678</v>
      </c>
      <c r="CN8" s="3">
        <v>32.198039999999999</v>
      </c>
      <c r="CO8" s="3">
        <v>35.225679999999997</v>
      </c>
      <c r="CP8" s="3">
        <v>36.549419999999998</v>
      </c>
      <c r="CQ8" s="2">
        <v>17.351880000000001</v>
      </c>
      <c r="CR8" s="2">
        <v>7.2654959999999997</v>
      </c>
      <c r="CS8" s="2">
        <v>3.3805610000000001</v>
      </c>
      <c r="CT8" s="2">
        <v>9.4031929999999999</v>
      </c>
      <c r="CU8" s="2">
        <v>125.7403</v>
      </c>
      <c r="CV8" s="3">
        <v>0.25482270000000001</v>
      </c>
      <c r="CW8" s="2">
        <v>9.3492949999999997</v>
      </c>
      <c r="CX8" s="2">
        <v>1.8392360000000001</v>
      </c>
      <c r="CY8" s="2">
        <v>0.1259565</v>
      </c>
      <c r="CZ8" s="2">
        <v>14.23232</v>
      </c>
    </row>
    <row r="9" spans="1:104" ht="15" customHeight="1" x14ac:dyDescent="0.2">
      <c r="A9" s="1">
        <f t="shared" ref="A9:A55" si="0">1+A8</f>
        <v>3</v>
      </c>
      <c r="B9" s="1" t="s">
        <v>13</v>
      </c>
      <c r="C9" s="1" t="s">
        <v>12</v>
      </c>
      <c r="D9" s="1" t="s">
        <v>9</v>
      </c>
      <c r="E9" s="1" t="s">
        <v>14</v>
      </c>
      <c r="F9" s="1" t="s">
        <v>15</v>
      </c>
      <c r="G9" s="2">
        <v>122032</v>
      </c>
      <c r="H9" s="2">
        <v>85.96</v>
      </c>
      <c r="I9" s="2">
        <v>104898.7</v>
      </c>
      <c r="J9" s="3">
        <v>152.54</v>
      </c>
      <c r="K9" s="3">
        <v>0</v>
      </c>
      <c r="L9" s="2">
        <v>2.7861549999999999</v>
      </c>
      <c r="M9" s="2">
        <v>2.9500459999999999</v>
      </c>
      <c r="N9" s="2">
        <v>3.113937</v>
      </c>
      <c r="O9" s="2">
        <v>3.3106070000000001</v>
      </c>
      <c r="P9" s="2">
        <v>33.017310000000002</v>
      </c>
      <c r="Q9" s="2">
        <v>15.299899999999999</v>
      </c>
      <c r="R9" s="2">
        <v>14.22284</v>
      </c>
      <c r="S9" s="2">
        <v>12.86172</v>
      </c>
      <c r="T9" s="2">
        <v>13.59047</v>
      </c>
      <c r="U9" s="2">
        <v>11.04321</v>
      </c>
      <c r="V9" s="2">
        <v>10.00042</v>
      </c>
      <c r="W9" s="2">
        <v>9.1231050000000007</v>
      </c>
      <c r="X9" s="2">
        <v>2.4998360000000002</v>
      </c>
      <c r="Y9" s="2">
        <v>2.2632050000000001</v>
      </c>
      <c r="Z9" s="2">
        <v>2.0982120000000002</v>
      </c>
      <c r="AA9" s="2">
        <v>2.0044680000000001</v>
      </c>
      <c r="AB9" s="2">
        <v>13.481479999999999</v>
      </c>
      <c r="AC9" s="2">
        <v>12.24433</v>
      </c>
      <c r="AD9" s="2">
        <v>10.685219999999999</v>
      </c>
      <c r="AE9" s="2">
        <v>9.9182319999999997</v>
      </c>
      <c r="AF9" s="2">
        <v>5.095135</v>
      </c>
      <c r="AG9" s="2">
        <v>6.0950889999999998</v>
      </c>
      <c r="AH9" s="2">
        <v>6.3854059999999997</v>
      </c>
      <c r="AI9" s="2">
        <v>6.6049879999999996</v>
      </c>
      <c r="AJ9" s="2">
        <v>7.6713750000000003</v>
      </c>
      <c r="AK9" s="2">
        <v>7.8353549999999998</v>
      </c>
      <c r="AL9" s="3">
        <v>0.69989409999999996</v>
      </c>
      <c r="AM9" s="3">
        <v>0.66083740000000002</v>
      </c>
      <c r="AN9" s="2">
        <v>15.37158</v>
      </c>
      <c r="AO9" s="2">
        <v>18.310919999999999</v>
      </c>
      <c r="AP9" s="2">
        <v>18.77553</v>
      </c>
      <c r="AQ9" s="2">
        <v>19.12884</v>
      </c>
      <c r="AR9" s="2">
        <v>3.6307849999999999</v>
      </c>
      <c r="AS9" s="2">
        <v>2.5243980000000001</v>
      </c>
      <c r="AT9" s="2">
        <v>2.0548500000000001</v>
      </c>
      <c r="AU9" s="2">
        <v>1.68825</v>
      </c>
      <c r="AV9" s="1" t="s">
        <v>6</v>
      </c>
      <c r="AW9" s="3">
        <v>1.25</v>
      </c>
      <c r="AX9" s="3">
        <v>187.5</v>
      </c>
      <c r="AY9" s="2">
        <v>22.918579999999999</v>
      </c>
      <c r="AZ9" s="2">
        <v>14.79228</v>
      </c>
      <c r="BA9" s="2">
        <v>21.626930000000002</v>
      </c>
      <c r="BB9" s="2">
        <v>57.11195</v>
      </c>
      <c r="BC9" s="2">
        <v>17.664300000000001</v>
      </c>
      <c r="BD9" s="3">
        <v>93.67</v>
      </c>
      <c r="BE9" s="2">
        <v>62.848289999999999</v>
      </c>
      <c r="BF9" s="3">
        <v>167</v>
      </c>
      <c r="BG9" s="2">
        <v>-8.6586890000000007</v>
      </c>
      <c r="BH9" s="2">
        <v>91.102519999999998</v>
      </c>
      <c r="BI9" s="2">
        <v>44.958300000000001</v>
      </c>
      <c r="BJ9" s="2">
        <v>45.518990000000002</v>
      </c>
      <c r="BK9" s="2">
        <v>44.592739999999999</v>
      </c>
      <c r="BL9" s="2">
        <v>22</v>
      </c>
      <c r="BM9" s="2">
        <v>21</v>
      </c>
      <c r="BN9" s="4">
        <v>22</v>
      </c>
      <c r="BO9" s="4">
        <v>1</v>
      </c>
      <c r="BP9" s="4">
        <v>0</v>
      </c>
      <c r="BQ9" s="4">
        <v>22</v>
      </c>
      <c r="BR9" s="2">
        <v>4.3478260000000004</v>
      </c>
      <c r="BS9" s="4">
        <v>18</v>
      </c>
      <c r="BT9" s="4">
        <v>1</v>
      </c>
      <c r="BU9" s="4">
        <v>22</v>
      </c>
      <c r="BV9" s="2">
        <v>81.818179999999998</v>
      </c>
      <c r="BW9" s="2">
        <v>7.3169599999999999</v>
      </c>
      <c r="BX9" s="2">
        <v>800</v>
      </c>
      <c r="BY9" s="3">
        <v>1.4207529999999999</v>
      </c>
      <c r="BZ9" s="3">
        <v>0.1775941</v>
      </c>
      <c r="CA9" s="2">
        <v>1.0810200000000001</v>
      </c>
      <c r="CB9" s="3">
        <v>0.1775941</v>
      </c>
      <c r="CC9" s="3">
        <v>8.8816330000000008</v>
      </c>
      <c r="CD9" s="3">
        <v>10.077590000000001</v>
      </c>
      <c r="CE9" s="2">
        <v>13.46546</v>
      </c>
      <c r="CF9" s="3">
        <v>10093.32</v>
      </c>
      <c r="CG9" s="3">
        <v>10995.26</v>
      </c>
      <c r="CH9" s="2">
        <v>8.9360350000000004</v>
      </c>
      <c r="CI9" s="3">
        <v>171.45</v>
      </c>
      <c r="CJ9" s="2">
        <v>9.361326</v>
      </c>
      <c r="CK9" s="3">
        <v>76877.91</v>
      </c>
      <c r="CL9" s="3">
        <v>78091.47</v>
      </c>
      <c r="CM9" s="2">
        <v>1.578557</v>
      </c>
      <c r="CN9" s="3">
        <v>137.57</v>
      </c>
      <c r="CO9" s="3">
        <v>154.62549999999999</v>
      </c>
      <c r="CP9" s="3">
        <v>158.5231</v>
      </c>
      <c r="CQ9" s="2">
        <v>10.88171</v>
      </c>
      <c r="CR9" s="2">
        <v>-1.3487279999999999</v>
      </c>
      <c r="CS9" s="2">
        <v>-3.774273</v>
      </c>
      <c r="CT9" s="2">
        <v>12.397650000000001</v>
      </c>
      <c r="CU9" s="2">
        <v>191.84520000000001</v>
      </c>
      <c r="CV9" s="3">
        <v>0.15720890000000001</v>
      </c>
      <c r="CW9" s="2">
        <v>103.9816</v>
      </c>
      <c r="CX9" s="2">
        <v>3.7591589999999999</v>
      </c>
      <c r="CY9" s="2">
        <v>52.903550000000003</v>
      </c>
      <c r="CZ9" s="2">
        <v>15.494949999999999</v>
      </c>
    </row>
    <row r="10" spans="1:104" ht="15" customHeight="1" x14ac:dyDescent="0.2">
      <c r="A10" s="1">
        <f t="shared" si="0"/>
        <v>4</v>
      </c>
      <c r="B10" s="1" t="s">
        <v>17</v>
      </c>
      <c r="C10" s="1" t="s">
        <v>16</v>
      </c>
      <c r="D10" s="1" t="s">
        <v>3</v>
      </c>
      <c r="E10" s="1" t="s">
        <v>4</v>
      </c>
      <c r="F10" s="1" t="s">
        <v>5</v>
      </c>
      <c r="G10" s="2">
        <v>43878.71</v>
      </c>
      <c r="H10" s="2">
        <v>80.711600000000004</v>
      </c>
      <c r="I10" s="2">
        <v>35415.21</v>
      </c>
      <c r="J10" s="3">
        <v>2.4</v>
      </c>
      <c r="K10" s="3">
        <v>0</v>
      </c>
      <c r="L10" s="2">
        <v>6.6771250000000002</v>
      </c>
      <c r="M10" s="2">
        <v>11.25</v>
      </c>
      <c r="N10" s="2">
        <v>11.60956</v>
      </c>
      <c r="O10" s="2">
        <v>11.875</v>
      </c>
      <c r="P10" s="2">
        <v>10.43478</v>
      </c>
      <c r="Q10" s="2">
        <v>6.325234</v>
      </c>
      <c r="R10" s="2">
        <v>6.3157899999999998</v>
      </c>
      <c r="S10" s="2">
        <v>5.9323389999999998</v>
      </c>
      <c r="T10" s="2" t="e">
        <v>#N/A</v>
      </c>
      <c r="U10" s="2" t="e">
        <v>#N/A</v>
      </c>
      <c r="V10" s="2" t="e">
        <v>#N/A</v>
      </c>
      <c r="W10" s="2" t="e">
        <v>#N/A</v>
      </c>
      <c r="X10" s="2">
        <v>0.82649859999999997</v>
      </c>
      <c r="Y10" s="2">
        <v>0.77703330000000004</v>
      </c>
      <c r="Z10" s="2">
        <v>0.75744630000000002</v>
      </c>
      <c r="AA10" s="2">
        <v>0.72421769999999996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3">
        <v>0.31030659999999999</v>
      </c>
      <c r="AM10" s="3">
        <v>0.30136269999999998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1" t="s">
        <v>6</v>
      </c>
      <c r="AW10" s="3">
        <v>1.26</v>
      </c>
      <c r="AX10" s="3">
        <v>3.2</v>
      </c>
      <c r="AY10" s="2">
        <v>33.333320000000001</v>
      </c>
      <c r="AZ10" s="2">
        <v>12.284660000000001</v>
      </c>
      <c r="BA10" s="2">
        <v>20.900459999999999</v>
      </c>
      <c r="BB10" s="2">
        <v>34.83146</v>
      </c>
      <c r="BC10" s="2">
        <v>15.49567</v>
      </c>
      <c r="BD10" s="3">
        <v>1.5842000000000001</v>
      </c>
      <c r="BE10" s="2">
        <v>51.496029999999998</v>
      </c>
      <c r="BF10" s="3">
        <v>2.6030000000000002</v>
      </c>
      <c r="BG10" s="2">
        <v>-7.7986899999999997</v>
      </c>
      <c r="BH10" s="2">
        <v>68.893739999999994</v>
      </c>
      <c r="BI10" s="2">
        <v>71.101119999999995</v>
      </c>
      <c r="BJ10" s="2">
        <v>71.111069999999998</v>
      </c>
      <c r="BK10" s="2">
        <v>70.757829999999998</v>
      </c>
      <c r="BL10" s="2">
        <v>24</v>
      </c>
      <c r="BM10" s="2">
        <v>12</v>
      </c>
      <c r="BN10" s="4">
        <v>25</v>
      </c>
      <c r="BO10" s="4">
        <v>2</v>
      </c>
      <c r="BP10" s="4">
        <v>0</v>
      </c>
      <c r="BQ10" s="4">
        <v>23</v>
      </c>
      <c r="BR10" s="2">
        <v>8</v>
      </c>
      <c r="BS10" s="4">
        <v>20</v>
      </c>
      <c r="BT10" s="4">
        <v>0</v>
      </c>
      <c r="BU10" s="4">
        <v>25</v>
      </c>
      <c r="BV10" s="2">
        <v>80</v>
      </c>
      <c r="BW10" s="2">
        <v>10.3019</v>
      </c>
      <c r="BX10" s="2">
        <v>18282.8</v>
      </c>
      <c r="BY10" s="3">
        <v>106.9657</v>
      </c>
      <c r="BZ10" s="3">
        <v>0.58506199999999997</v>
      </c>
      <c r="CA10" s="2">
        <v>1.38443</v>
      </c>
      <c r="CB10" s="3">
        <v>0.58506199999999997</v>
      </c>
      <c r="CC10" s="3">
        <v>0.34180110000000002</v>
      </c>
      <c r="CD10" s="3">
        <v>0.37005339999999998</v>
      </c>
      <c r="CE10" s="2">
        <v>8.2657100000000003</v>
      </c>
      <c r="CF10" s="3">
        <v>12501.74</v>
      </c>
      <c r="CG10" s="3">
        <v>13076.62</v>
      </c>
      <c r="CH10" s="2">
        <v>4.5984389999999999</v>
      </c>
      <c r="CI10" s="3">
        <v>3.0027270000000001</v>
      </c>
      <c r="CJ10" s="2">
        <v>6.5697910000000004</v>
      </c>
      <c r="CK10" s="3">
        <v>23696.79</v>
      </c>
      <c r="CL10" s="3">
        <v>24071.13</v>
      </c>
      <c r="CM10" s="2">
        <v>1.5797140000000001</v>
      </c>
      <c r="CN10" s="3">
        <v>2.2328999999999999</v>
      </c>
      <c r="CO10" s="3">
        <v>2.357647</v>
      </c>
      <c r="CP10" s="3">
        <v>2.3177500000000002</v>
      </c>
      <c r="CQ10" s="2">
        <v>7.4835539999999998</v>
      </c>
      <c r="CR10" s="2">
        <v>1.7964009999999999</v>
      </c>
      <c r="CS10" s="2">
        <v>3.5486939999999998</v>
      </c>
      <c r="CT10" s="2">
        <v>5.5867789999999999</v>
      </c>
      <c r="CU10" s="2">
        <v>189.1782</v>
      </c>
      <c r="CV10" s="3">
        <v>0.43113889999999999</v>
      </c>
      <c r="CW10" s="2">
        <v>7.857208</v>
      </c>
      <c r="CX10" s="2">
        <v>1.4735370000000001</v>
      </c>
      <c r="CY10" s="2">
        <v>10.54251</v>
      </c>
      <c r="CZ10" s="2">
        <v>16.91919</v>
      </c>
    </row>
    <row r="11" spans="1:104" ht="15" customHeight="1" x14ac:dyDescent="0.2">
      <c r="A11" s="1">
        <f t="shared" si="0"/>
        <v>5</v>
      </c>
      <c r="B11" s="1" t="s">
        <v>19</v>
      </c>
      <c r="C11" s="1" t="s">
        <v>18</v>
      </c>
      <c r="D11" s="1" t="s">
        <v>20</v>
      </c>
      <c r="E11" s="1" t="s">
        <v>21</v>
      </c>
      <c r="F11" s="1" t="s">
        <v>22</v>
      </c>
      <c r="G11" s="2">
        <v>110516.5</v>
      </c>
      <c r="H11" s="2">
        <v>35.442500000000003</v>
      </c>
      <c r="I11" s="2">
        <v>39169.800000000003</v>
      </c>
      <c r="J11" s="3">
        <v>35.46</v>
      </c>
      <c r="K11" s="3">
        <v>0</v>
      </c>
      <c r="L11" s="2">
        <v>3.3840949999999999</v>
      </c>
      <c r="M11" s="2">
        <v>4.0891149999999996</v>
      </c>
      <c r="N11" s="2">
        <v>4.3993229999999999</v>
      </c>
      <c r="O11" s="2">
        <v>4.6531310000000001</v>
      </c>
      <c r="P11" s="2">
        <v>26.72193</v>
      </c>
      <c r="Q11" s="2">
        <v>21.981159999999999</v>
      </c>
      <c r="R11" s="2">
        <v>20.26286</v>
      </c>
      <c r="S11" s="2">
        <v>18.962569999999999</v>
      </c>
      <c r="T11" s="2">
        <v>7.7903580000000003</v>
      </c>
      <c r="U11" s="2">
        <v>10.44337</v>
      </c>
      <c r="V11" s="2">
        <v>9.6841930000000005</v>
      </c>
      <c r="W11" s="2">
        <v>9.0431270000000001</v>
      </c>
      <c r="X11" s="2">
        <v>6.490297</v>
      </c>
      <c r="Y11" s="2">
        <v>6.0823330000000002</v>
      </c>
      <c r="Z11" s="2">
        <v>5.7799509999999996</v>
      </c>
      <c r="AA11" s="2">
        <v>5.628571</v>
      </c>
      <c r="AB11" s="2">
        <v>19.7</v>
      </c>
      <c r="AC11" s="2">
        <v>15.806900000000001</v>
      </c>
      <c r="AD11" s="2">
        <v>14.05879</v>
      </c>
      <c r="AE11" s="2">
        <v>14.03537</v>
      </c>
      <c r="AF11" s="2">
        <v>5.4636709999999997</v>
      </c>
      <c r="AG11" s="2">
        <v>5.9224730000000001</v>
      </c>
      <c r="AH11" s="2">
        <v>6.2244710000000003</v>
      </c>
      <c r="AI11" s="2">
        <v>4.9076959999999996</v>
      </c>
      <c r="AJ11" s="2">
        <v>5.2793510000000001</v>
      </c>
      <c r="AK11" s="2">
        <v>5.496035</v>
      </c>
      <c r="AL11" s="3">
        <v>2.0981839999999998</v>
      </c>
      <c r="AM11" s="3">
        <v>1.9508030000000001</v>
      </c>
      <c r="AN11" s="2">
        <v>26.55593</v>
      </c>
      <c r="AO11" s="2">
        <v>26.450479999999999</v>
      </c>
      <c r="AP11" s="2">
        <v>26.508400000000002</v>
      </c>
      <c r="AQ11" s="2">
        <v>26.318539999999999</v>
      </c>
      <c r="AR11" s="2">
        <v>-1.1642969999999999</v>
      </c>
      <c r="AS11" s="2">
        <v>-1.183092</v>
      </c>
      <c r="AT11" s="2">
        <v>-1.179713</v>
      </c>
      <c r="AU11" s="2">
        <v>-1.1985619999999999</v>
      </c>
      <c r="AV11" s="1" t="s">
        <v>6</v>
      </c>
      <c r="AW11" s="3">
        <v>1.4482759999999999</v>
      </c>
      <c r="AX11" s="3">
        <v>37.225000000000001</v>
      </c>
      <c r="AY11" s="2">
        <v>4.9774409999999998</v>
      </c>
      <c r="AZ11" s="2">
        <v>27.670670000000001</v>
      </c>
      <c r="BA11" s="2">
        <v>10.56452</v>
      </c>
      <c r="BB11" s="2">
        <v>64.242699999999999</v>
      </c>
      <c r="BC11" s="2">
        <v>42.696170000000002</v>
      </c>
      <c r="BD11" s="3">
        <v>20.53</v>
      </c>
      <c r="BE11" s="2">
        <v>72.722840000000005</v>
      </c>
      <c r="BF11" s="3">
        <v>35.6</v>
      </c>
      <c r="BG11" s="2">
        <v>-0.39325949999999998</v>
      </c>
      <c r="BH11" s="2">
        <v>90.393649999999994</v>
      </c>
      <c r="BI11" s="2">
        <v>88.646100000000004</v>
      </c>
      <c r="BJ11" s="2">
        <v>90.379130000000004</v>
      </c>
      <c r="BK11" s="2">
        <v>87.537210000000002</v>
      </c>
      <c r="BL11" s="2">
        <v>27</v>
      </c>
      <c r="BM11" s="2">
        <v>26</v>
      </c>
      <c r="BN11" s="4">
        <v>29</v>
      </c>
      <c r="BO11" s="4">
        <v>0</v>
      </c>
      <c r="BP11" s="4">
        <v>2</v>
      </c>
      <c r="BQ11" s="4">
        <v>28</v>
      </c>
      <c r="BR11" s="2">
        <v>0</v>
      </c>
      <c r="BS11" s="4">
        <v>18</v>
      </c>
      <c r="BT11" s="4">
        <v>1</v>
      </c>
      <c r="BU11" s="4">
        <v>29</v>
      </c>
      <c r="BV11" s="2">
        <v>62.068959999999997</v>
      </c>
      <c r="BW11" s="2">
        <v>9.1231399999999994</v>
      </c>
      <c r="BX11" s="2">
        <v>3116.652</v>
      </c>
      <c r="BY11" s="3">
        <v>3.2892420000000002</v>
      </c>
      <c r="BZ11" s="3">
        <v>0.1055377</v>
      </c>
      <c r="CA11" s="2">
        <v>1.1982200000000001</v>
      </c>
      <c r="CB11" s="3">
        <v>0.1055377</v>
      </c>
      <c r="CC11" s="3">
        <v>1.4354629999999999</v>
      </c>
      <c r="CD11" s="3">
        <v>1.6113729999999999</v>
      </c>
      <c r="CE11" s="2">
        <v>12.254569999999999</v>
      </c>
      <c r="CF11" s="3">
        <v>5876.6639999999998</v>
      </c>
      <c r="CG11" s="3">
        <v>6409.924</v>
      </c>
      <c r="CH11" s="2">
        <v>9.0741999999999994</v>
      </c>
      <c r="CI11" s="3">
        <v>31.664249999999999</v>
      </c>
      <c r="CJ11" s="2">
        <v>17.561610000000002</v>
      </c>
      <c r="CK11" s="3">
        <v>34255.81</v>
      </c>
      <c r="CL11" s="3">
        <v>35836.97</v>
      </c>
      <c r="CM11" s="2">
        <v>4.615748</v>
      </c>
      <c r="CN11" s="3">
        <v>27.8779</v>
      </c>
      <c r="CO11" s="3">
        <v>32.340389999999999</v>
      </c>
      <c r="CP11" s="3">
        <v>33.365000000000002</v>
      </c>
      <c r="CQ11" s="2">
        <v>27.197500000000002</v>
      </c>
      <c r="CR11" s="2">
        <v>9.6461659999999991</v>
      </c>
      <c r="CS11" s="2">
        <v>6.2790270000000001</v>
      </c>
      <c r="CT11" s="2">
        <v>16.007259999999999</v>
      </c>
      <c r="CU11" s="2">
        <v>119.9937</v>
      </c>
      <c r="CV11" s="3">
        <v>0.1085754</v>
      </c>
      <c r="CW11" s="2">
        <v>17.02618</v>
      </c>
      <c r="CX11" s="2">
        <v>1.63886</v>
      </c>
      <c r="CY11" s="2">
        <v>12.74419</v>
      </c>
      <c r="CZ11" s="2">
        <v>17.14141</v>
      </c>
    </row>
    <row r="12" spans="1:104" ht="15" customHeight="1" x14ac:dyDescent="0.2">
      <c r="A12" s="1">
        <f t="shared" si="0"/>
        <v>6</v>
      </c>
      <c r="B12" s="1" t="s">
        <v>24</v>
      </c>
      <c r="C12" s="1" t="s">
        <v>23</v>
      </c>
      <c r="D12" s="1" t="s">
        <v>20</v>
      </c>
      <c r="E12" s="1" t="s">
        <v>4</v>
      </c>
      <c r="F12" s="1" t="s">
        <v>5</v>
      </c>
      <c r="G12" s="2">
        <v>41949.2</v>
      </c>
      <c r="H12" s="2">
        <v>99.860200000000006</v>
      </c>
      <c r="I12" s="2">
        <v>41890.559999999998</v>
      </c>
      <c r="J12" s="3">
        <v>7.032</v>
      </c>
      <c r="K12" s="3">
        <v>0</v>
      </c>
      <c r="L12" s="2">
        <v>6.114903</v>
      </c>
      <c r="M12" s="2">
        <v>7.5235849999999997</v>
      </c>
      <c r="N12" s="2">
        <v>7.8213879999999998</v>
      </c>
      <c r="O12" s="2">
        <v>8.0720759999999991</v>
      </c>
      <c r="P12" s="2">
        <v>6.6971429999999996</v>
      </c>
      <c r="Q12" s="2">
        <v>6.1653779999999996</v>
      </c>
      <c r="R12" s="2">
        <v>6.2546489999999997</v>
      </c>
      <c r="S12" s="2">
        <v>6.2393409999999996</v>
      </c>
      <c r="T12" s="2" t="e">
        <v>#N/A</v>
      </c>
      <c r="U12" s="2" t="e">
        <v>#N/A</v>
      </c>
      <c r="V12" s="2" t="e">
        <v>#N/A</v>
      </c>
      <c r="W12" s="2" t="e">
        <v>#N/A</v>
      </c>
      <c r="X12" s="2">
        <v>0.90269580000000005</v>
      </c>
      <c r="Y12" s="2">
        <v>0.8540143</v>
      </c>
      <c r="Z12" s="2">
        <v>0.80536169999999996</v>
      </c>
      <c r="AA12" s="2">
        <v>0.76397340000000002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3">
        <v>1.1178570000000001</v>
      </c>
      <c r="AM12" s="3">
        <v>1.1316889999999999</v>
      </c>
      <c r="AN12" s="2" t="e">
        <v>#N/A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1" t="s">
        <v>25</v>
      </c>
      <c r="AW12" s="3">
        <v>1.464286</v>
      </c>
      <c r="AX12" s="3">
        <v>8.6649999999999991</v>
      </c>
      <c r="AY12" s="2">
        <v>23.22241</v>
      </c>
      <c r="AZ12" s="2">
        <v>13.85177</v>
      </c>
      <c r="BA12" s="2">
        <v>3.5926659999999999</v>
      </c>
      <c r="BB12" s="2">
        <v>62.383090000000003</v>
      </c>
      <c r="BC12" s="2">
        <v>24.813639999999999</v>
      </c>
      <c r="BD12" s="3">
        <v>3.972</v>
      </c>
      <c r="BE12" s="2">
        <v>77.039270000000002</v>
      </c>
      <c r="BF12" s="3">
        <v>7.5549999999999997</v>
      </c>
      <c r="BG12" s="2">
        <v>-6.9225669999999999</v>
      </c>
      <c r="BH12" s="2">
        <v>41.986649999999997</v>
      </c>
      <c r="BI12" s="2">
        <v>46.458199999999998</v>
      </c>
      <c r="BJ12" s="2">
        <v>47.753709999999998</v>
      </c>
      <c r="BK12" s="2">
        <v>48.848260000000003</v>
      </c>
      <c r="BL12" s="2">
        <v>27</v>
      </c>
      <c r="BM12" s="2">
        <v>16</v>
      </c>
      <c r="BN12" s="4">
        <v>28</v>
      </c>
      <c r="BO12" s="4">
        <v>3</v>
      </c>
      <c r="BP12" s="4">
        <v>0</v>
      </c>
      <c r="BQ12" s="4">
        <v>25</v>
      </c>
      <c r="BR12" s="2">
        <v>10.71429</v>
      </c>
      <c r="BS12" s="4">
        <v>16</v>
      </c>
      <c r="BT12" s="4">
        <v>0</v>
      </c>
      <c r="BU12" s="4">
        <v>28</v>
      </c>
      <c r="BV12" s="2">
        <v>57.142859999999999</v>
      </c>
      <c r="BW12" s="2">
        <v>13.257099999999999</v>
      </c>
      <c r="BX12" s="2">
        <v>5965.473</v>
      </c>
      <c r="BY12" s="3">
        <v>18.558260000000001</v>
      </c>
      <c r="BZ12" s="3">
        <v>0.3110946</v>
      </c>
      <c r="CA12" s="2">
        <v>1.9348700000000001</v>
      </c>
      <c r="CB12" s="3">
        <v>0.3110946</v>
      </c>
      <c r="CC12" s="3">
        <v>1.0783210000000001</v>
      </c>
      <c r="CD12" s="3">
        <v>1.137359</v>
      </c>
      <c r="CE12" s="2">
        <v>5.4749489999999996</v>
      </c>
      <c r="CF12" s="3">
        <v>15107.87</v>
      </c>
      <c r="CG12" s="3">
        <v>15361.63</v>
      </c>
      <c r="CH12" s="2">
        <v>1.6796709999999999</v>
      </c>
      <c r="CI12" s="3">
        <v>7.8786949999999996</v>
      </c>
      <c r="CJ12" s="2">
        <v>9.9801300000000008</v>
      </c>
      <c r="CK12" s="3">
        <v>26954.16</v>
      </c>
      <c r="CL12" s="3">
        <v>27469.7</v>
      </c>
      <c r="CM12" s="2">
        <v>1.912642</v>
      </c>
      <c r="CN12" s="3">
        <v>6.1215390000000003</v>
      </c>
      <c r="CO12" s="3">
        <v>6.5529019999999996</v>
      </c>
      <c r="CP12" s="3">
        <v>6.618614</v>
      </c>
      <c r="CQ12" s="2">
        <v>14.87308</v>
      </c>
      <c r="CR12" s="2">
        <v>7.3112370000000002</v>
      </c>
      <c r="CS12" s="2">
        <v>6.2458039999999997</v>
      </c>
      <c r="CT12" s="2">
        <v>7.04664</v>
      </c>
      <c r="CU12" s="2">
        <v>120.4628</v>
      </c>
      <c r="CV12" s="3">
        <v>0.28716350000000002</v>
      </c>
      <c r="CW12" s="2">
        <v>3.5714290000000002</v>
      </c>
      <c r="CX12" s="2">
        <v>2.142163</v>
      </c>
      <c r="CY12" s="2">
        <v>2.2984490000000002</v>
      </c>
      <c r="CZ12" s="2">
        <v>17.787880000000001</v>
      </c>
    </row>
    <row r="13" spans="1:104" ht="15" customHeight="1" x14ac:dyDescent="0.2">
      <c r="A13" s="1">
        <f t="shared" si="0"/>
        <v>7</v>
      </c>
      <c r="B13" s="1" t="s">
        <v>27</v>
      </c>
      <c r="C13" s="1" t="s">
        <v>26</v>
      </c>
      <c r="D13" s="1" t="s">
        <v>28</v>
      </c>
      <c r="E13" s="1" t="s">
        <v>29</v>
      </c>
      <c r="F13" s="1" t="s">
        <v>30</v>
      </c>
      <c r="G13" s="2">
        <v>433267.8</v>
      </c>
      <c r="H13" s="2">
        <v>51.313200000000002</v>
      </c>
      <c r="I13" s="2">
        <v>222323.6</v>
      </c>
      <c r="J13" s="3">
        <v>863</v>
      </c>
      <c r="K13" s="3">
        <v>0</v>
      </c>
      <c r="L13" s="2">
        <v>1.390498</v>
      </c>
      <c r="M13" s="2">
        <v>1.6199300000000001</v>
      </c>
      <c r="N13" s="2">
        <v>1.7885279999999999</v>
      </c>
      <c r="O13" s="2">
        <v>2.008111</v>
      </c>
      <c r="P13" s="2">
        <v>30.788440000000001</v>
      </c>
      <c r="Q13" s="2">
        <v>26.351140000000001</v>
      </c>
      <c r="R13" s="2">
        <v>23.715309999999999</v>
      </c>
      <c r="S13" s="2">
        <v>21.675370000000001</v>
      </c>
      <c r="T13" s="2">
        <v>13.097619999999999</v>
      </c>
      <c r="U13" s="2">
        <v>14.87574</v>
      </c>
      <c r="V13" s="2">
        <v>13.402990000000001</v>
      </c>
      <c r="W13" s="2">
        <v>11.571440000000001</v>
      </c>
      <c r="X13" s="2">
        <v>7.8658340000000004</v>
      </c>
      <c r="Y13" s="2">
        <v>6.6640930000000003</v>
      </c>
      <c r="Z13" s="2">
        <v>5.6903600000000001</v>
      </c>
      <c r="AA13" s="2">
        <v>4.9120609999999996</v>
      </c>
      <c r="AB13" s="2">
        <v>24.31671</v>
      </c>
      <c r="AC13" s="2">
        <v>19.23948</v>
      </c>
      <c r="AD13" s="2">
        <v>17.476189999999999</v>
      </c>
      <c r="AE13" s="2">
        <v>16.159030000000001</v>
      </c>
      <c r="AF13" s="2">
        <v>3.7121460000000002</v>
      </c>
      <c r="AG13" s="2">
        <v>4.3130600000000001</v>
      </c>
      <c r="AH13" s="2">
        <v>5.0260629999999997</v>
      </c>
      <c r="AI13" s="2">
        <v>3.7439070000000001</v>
      </c>
      <c r="AJ13" s="2">
        <v>4.2593949999999996</v>
      </c>
      <c r="AK13" s="2">
        <v>4.8714300000000001</v>
      </c>
      <c r="AL13" s="3">
        <v>1.8876850000000001</v>
      </c>
      <c r="AM13" s="3">
        <v>1.7021790000000001</v>
      </c>
      <c r="AN13" s="2">
        <v>33.87894</v>
      </c>
      <c r="AO13" s="2">
        <v>33.246420000000001</v>
      </c>
      <c r="AP13" s="2">
        <v>33.465769999999999</v>
      </c>
      <c r="AQ13" s="2">
        <v>35.407850000000003</v>
      </c>
      <c r="AR13" s="2">
        <v>0.34298669999999998</v>
      </c>
      <c r="AS13" s="2">
        <v>0.12619569999999999</v>
      </c>
      <c r="AT13" s="2">
        <v>-0.1688655</v>
      </c>
      <c r="AU13" s="2">
        <v>-0.36730980000000002</v>
      </c>
      <c r="AV13" s="1" t="s">
        <v>6</v>
      </c>
      <c r="AW13" s="3">
        <v>1.2068970000000001</v>
      </c>
      <c r="AX13" s="3">
        <v>960</v>
      </c>
      <c r="AY13" s="2">
        <v>11.23986</v>
      </c>
      <c r="AZ13" s="2">
        <v>25.289570000000001</v>
      </c>
      <c r="BA13" s="2">
        <v>13.81442</v>
      </c>
      <c r="BB13" s="2">
        <v>48.358260000000001</v>
      </c>
      <c r="BC13" s="2">
        <v>26.930430000000001</v>
      </c>
      <c r="BD13" s="3">
        <v>565.70000000000005</v>
      </c>
      <c r="BE13" s="2">
        <v>52.554360000000003</v>
      </c>
      <c r="BF13" s="3">
        <v>904.6</v>
      </c>
      <c r="BG13" s="2">
        <v>-4.5987130000000001</v>
      </c>
      <c r="BH13" s="2">
        <v>43.07884</v>
      </c>
      <c r="BI13" s="2">
        <v>42.563380000000002</v>
      </c>
      <c r="BJ13" s="2">
        <v>42.239870000000003</v>
      </c>
      <c r="BK13" s="2">
        <v>43.420940000000002</v>
      </c>
      <c r="BL13" s="2">
        <v>27</v>
      </c>
      <c r="BM13" s="2">
        <v>26</v>
      </c>
      <c r="BN13" s="4">
        <v>29</v>
      </c>
      <c r="BO13" s="4">
        <v>1</v>
      </c>
      <c r="BP13" s="4">
        <v>0</v>
      </c>
      <c r="BQ13" s="4">
        <v>29</v>
      </c>
      <c r="BR13" s="2">
        <v>3.3333330000000001</v>
      </c>
      <c r="BS13" s="4">
        <v>25</v>
      </c>
      <c r="BT13" s="4">
        <v>1</v>
      </c>
      <c r="BU13" s="4">
        <v>29</v>
      </c>
      <c r="BV13" s="2">
        <v>86.206890000000001</v>
      </c>
      <c r="BW13" s="2">
        <v>7.36158</v>
      </c>
      <c r="BX13" s="2">
        <v>502.04840000000002</v>
      </c>
      <c r="BY13" s="3">
        <v>0.36136810000000003</v>
      </c>
      <c r="BZ13" s="3">
        <v>7.1978749999999994E-2</v>
      </c>
      <c r="CA13" s="2">
        <v>1.1071200000000001</v>
      </c>
      <c r="CB13" s="3">
        <v>7.1978749999999994E-2</v>
      </c>
      <c r="CC13" s="3">
        <v>32.012279999999997</v>
      </c>
      <c r="CD13" s="3">
        <v>33.093960000000003</v>
      </c>
      <c r="CE13" s="2">
        <v>3.3789630000000002</v>
      </c>
      <c r="CF13" s="3">
        <v>23483.71</v>
      </c>
      <c r="CG13" s="3">
        <v>24193.02</v>
      </c>
      <c r="CH13" s="2">
        <v>3.0204650000000002</v>
      </c>
      <c r="CI13" s="3">
        <v>890.18520000000001</v>
      </c>
      <c r="CJ13" s="2">
        <v>7.8427309999999997</v>
      </c>
      <c r="CK13" s="3">
        <v>85773.03</v>
      </c>
      <c r="CL13" s="3">
        <v>88020.25</v>
      </c>
      <c r="CM13" s="2">
        <v>2.619958</v>
      </c>
      <c r="CN13" s="3">
        <v>770.00909999999999</v>
      </c>
      <c r="CO13" s="3">
        <v>854.16279999999995</v>
      </c>
      <c r="CP13" s="3">
        <v>835.9769</v>
      </c>
      <c r="CQ13" s="2">
        <v>12.076589999999999</v>
      </c>
      <c r="CR13" s="2">
        <v>1.034594</v>
      </c>
      <c r="CS13" s="2">
        <v>3.2325270000000002</v>
      </c>
      <c r="CT13" s="2">
        <v>10.928929999999999</v>
      </c>
      <c r="CU13" s="2">
        <v>279.56</v>
      </c>
      <c r="CV13" s="3">
        <v>6.4523609999999995E-2</v>
      </c>
      <c r="CW13" s="2" t="e">
        <v>#N/A</v>
      </c>
      <c r="CX13" s="2">
        <v>4.5815000000000001</v>
      </c>
      <c r="CY13" s="2" t="e">
        <v>#N/A</v>
      </c>
      <c r="CZ13" s="2">
        <v>18.212119999999999</v>
      </c>
    </row>
    <row r="14" spans="1:104" ht="15" customHeight="1" x14ac:dyDescent="0.2">
      <c r="A14" s="1">
        <f t="shared" si="0"/>
        <v>8</v>
      </c>
      <c r="B14" s="1" t="s">
        <v>32</v>
      </c>
      <c r="C14" s="1" t="s">
        <v>31</v>
      </c>
      <c r="D14" s="1" t="s">
        <v>33</v>
      </c>
      <c r="E14" s="1" t="s">
        <v>4</v>
      </c>
      <c r="F14" s="1" t="s">
        <v>5</v>
      </c>
      <c r="G14" s="2">
        <v>44657.54</v>
      </c>
      <c r="H14" s="2">
        <v>97.026799999999994</v>
      </c>
      <c r="I14" s="2">
        <v>43329.78</v>
      </c>
      <c r="J14" s="3">
        <v>12.337999999999999</v>
      </c>
      <c r="K14" s="3">
        <v>0</v>
      </c>
      <c r="L14" s="2">
        <v>6.4070349999999996</v>
      </c>
      <c r="M14" s="2">
        <v>7.294537</v>
      </c>
      <c r="N14" s="2">
        <v>7.699789</v>
      </c>
      <c r="O14" s="2">
        <v>8.6723949999999999</v>
      </c>
      <c r="P14" s="2">
        <v>12.5898</v>
      </c>
      <c r="Q14" s="2">
        <v>7.1317919999999999</v>
      </c>
      <c r="R14" s="2">
        <v>6.6155499999999998</v>
      </c>
      <c r="S14" s="2">
        <v>5.9073859999999998</v>
      </c>
      <c r="T14" s="2" t="e">
        <v>#N/A</v>
      </c>
      <c r="U14" s="2" t="e">
        <v>#N/A</v>
      </c>
      <c r="V14" s="2" t="e">
        <v>#N/A</v>
      </c>
      <c r="W14" s="2" t="e">
        <v>#N/A</v>
      </c>
      <c r="X14" s="2">
        <v>0.89470629999999995</v>
      </c>
      <c r="Y14" s="2">
        <v>0.82418170000000002</v>
      </c>
      <c r="Z14" s="2">
        <v>0.77112499999999995</v>
      </c>
      <c r="AA14" s="2">
        <v>0.71941690000000003</v>
      </c>
      <c r="AB14" s="2" t="e">
        <v>#N/A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 t="e">
        <v>#N/A</v>
      </c>
      <c r="AJ14" s="2" t="e">
        <v>#N/A</v>
      </c>
      <c r="AK14" s="2" t="e">
        <v>#N/A</v>
      </c>
      <c r="AL14" s="3">
        <v>0.28987819999999997</v>
      </c>
      <c r="AM14" s="3">
        <v>0.26725080000000001</v>
      </c>
      <c r="AN14" s="2" t="e">
        <v>#N/A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2" t="e">
        <v>#N/A</v>
      </c>
      <c r="AV14" s="1" t="s">
        <v>6</v>
      </c>
      <c r="AW14" s="3">
        <v>1.34</v>
      </c>
      <c r="AX14" s="3">
        <v>16</v>
      </c>
      <c r="AY14" s="2">
        <v>29.68066</v>
      </c>
      <c r="AZ14" s="2">
        <v>11.55645</v>
      </c>
      <c r="BA14" s="2">
        <v>25.284500000000001</v>
      </c>
      <c r="BB14" s="2">
        <v>30.823889999999999</v>
      </c>
      <c r="BC14" s="2">
        <v>8.3421120000000002</v>
      </c>
      <c r="BD14" s="3">
        <v>8.4260000000000002</v>
      </c>
      <c r="BE14" s="2">
        <v>46.42774</v>
      </c>
      <c r="BF14" s="3">
        <v>13.55</v>
      </c>
      <c r="BG14" s="2">
        <v>-8.9446490000000001</v>
      </c>
      <c r="BH14" s="2">
        <v>75.727040000000002</v>
      </c>
      <c r="BI14" s="2">
        <v>53.165669999999999</v>
      </c>
      <c r="BJ14" s="2">
        <v>52.503590000000003</v>
      </c>
      <c r="BK14" s="2">
        <v>52.839849999999998</v>
      </c>
      <c r="BL14" s="2">
        <v>23</v>
      </c>
      <c r="BM14" s="2">
        <v>13</v>
      </c>
      <c r="BN14" s="4">
        <v>25</v>
      </c>
      <c r="BO14" s="4">
        <v>1</v>
      </c>
      <c r="BP14" s="4">
        <v>1</v>
      </c>
      <c r="BQ14" s="4">
        <v>23</v>
      </c>
      <c r="BR14" s="2">
        <v>4</v>
      </c>
      <c r="BS14" s="4">
        <v>17</v>
      </c>
      <c r="BT14" s="4">
        <v>1</v>
      </c>
      <c r="BU14" s="4">
        <v>25</v>
      </c>
      <c r="BV14" s="2">
        <v>68</v>
      </c>
      <c r="BW14" s="2">
        <v>11.7013</v>
      </c>
      <c r="BX14" s="2">
        <v>3619.5120000000002</v>
      </c>
      <c r="BY14" s="3">
        <v>14.32408</v>
      </c>
      <c r="BZ14" s="3">
        <v>0.39574619999999999</v>
      </c>
      <c r="CA14" s="2">
        <v>1.47706</v>
      </c>
      <c r="CB14" s="3">
        <v>0.39574619999999999</v>
      </c>
      <c r="CC14" s="3">
        <v>1.518659</v>
      </c>
      <c r="CD14" s="3">
        <v>1.683352</v>
      </c>
      <c r="CE14" s="2">
        <v>10.84465</v>
      </c>
      <c r="CF14" s="3">
        <v>9701.3629999999994</v>
      </c>
      <c r="CG14" s="3">
        <v>10310.18</v>
      </c>
      <c r="CH14" s="2">
        <v>6.2755349999999996</v>
      </c>
      <c r="CI14" s="3">
        <v>15.306190000000001</v>
      </c>
      <c r="CJ14" s="2">
        <v>4.5328739999999996</v>
      </c>
      <c r="CK14" s="3">
        <v>21038.1</v>
      </c>
      <c r="CL14" s="3">
        <v>21633.31</v>
      </c>
      <c r="CM14" s="2">
        <v>2.8292299999999999</v>
      </c>
      <c r="CN14" s="3">
        <v>11.51797</v>
      </c>
      <c r="CO14" s="3">
        <v>11.799020000000001</v>
      </c>
      <c r="CP14" s="3">
        <v>12.04631</v>
      </c>
      <c r="CQ14" s="2">
        <v>7.119548</v>
      </c>
      <c r="CR14" s="2">
        <v>4.5680050000000003</v>
      </c>
      <c r="CS14" s="2">
        <v>2.4214389999999999</v>
      </c>
      <c r="CT14" s="2">
        <v>2.440083</v>
      </c>
      <c r="CU14" s="2">
        <v>129.6592</v>
      </c>
      <c r="CV14" s="3">
        <v>0.29034110000000002</v>
      </c>
      <c r="CW14" s="2">
        <v>37.449420000000003</v>
      </c>
      <c r="CX14" s="2">
        <v>5.4042909999999997</v>
      </c>
      <c r="CY14" s="2">
        <v>17.704280000000001</v>
      </c>
      <c r="CZ14" s="2">
        <v>18.979800000000001</v>
      </c>
    </row>
    <row r="15" spans="1:104" ht="15" customHeight="1" x14ac:dyDescent="0.2">
      <c r="A15" s="1">
        <f t="shared" si="0"/>
        <v>9</v>
      </c>
      <c r="B15" s="1" t="s">
        <v>35</v>
      </c>
      <c r="C15" s="1" t="s">
        <v>34</v>
      </c>
      <c r="D15" s="1" t="s">
        <v>36</v>
      </c>
      <c r="E15" s="1" t="s">
        <v>37</v>
      </c>
      <c r="F15" s="1" t="s">
        <v>38</v>
      </c>
      <c r="G15" s="2">
        <v>36780.199999999997</v>
      </c>
      <c r="H15" s="2" t="e">
        <v>#N/A</v>
      </c>
      <c r="I15" s="2" t="e">
        <v>#N/A</v>
      </c>
      <c r="J15" s="3">
        <v>50.5</v>
      </c>
      <c r="K15" s="3">
        <v>0</v>
      </c>
      <c r="L15" s="2">
        <v>2.3701539999999999</v>
      </c>
      <c r="M15" s="2">
        <v>2.4200339999999998</v>
      </c>
      <c r="N15" s="2">
        <v>2.541201</v>
      </c>
      <c r="O15" s="2">
        <v>2.6682610000000002</v>
      </c>
      <c r="P15" s="2">
        <v>15.39742</v>
      </c>
      <c r="Q15" s="2">
        <v>14.081519999999999</v>
      </c>
      <c r="R15" s="2">
        <v>12.779389999999999</v>
      </c>
      <c r="S15" s="2">
        <v>11.574680000000001</v>
      </c>
      <c r="T15" s="2">
        <v>6.1424139999999996</v>
      </c>
      <c r="U15" s="2">
        <v>7.8968530000000001</v>
      </c>
      <c r="V15" s="2">
        <v>7.3419100000000004</v>
      </c>
      <c r="W15" s="2">
        <v>6.7532269999999999</v>
      </c>
      <c r="X15" s="2">
        <v>1.873532</v>
      </c>
      <c r="Y15" s="2">
        <v>1.8662939999999999</v>
      </c>
      <c r="Z15" s="2">
        <v>1.727155</v>
      </c>
      <c r="AA15" s="2">
        <v>1.581504</v>
      </c>
      <c r="AB15" s="2">
        <v>10.01552</v>
      </c>
      <c r="AC15" s="2">
        <v>9.0093540000000001</v>
      </c>
      <c r="AD15" s="2">
        <v>8.3600530000000006</v>
      </c>
      <c r="AE15" s="2">
        <v>7.6928979999999996</v>
      </c>
      <c r="AF15" s="2">
        <v>6.1201140000000001</v>
      </c>
      <c r="AG15" s="2">
        <v>6.710941</v>
      </c>
      <c r="AH15" s="2">
        <v>7.5073489999999996</v>
      </c>
      <c r="AI15" s="2">
        <v>7.0196839999999998</v>
      </c>
      <c r="AJ15" s="2">
        <v>7.4734119999999997</v>
      </c>
      <c r="AK15" s="2">
        <v>8.136139</v>
      </c>
      <c r="AL15" s="3">
        <v>1.6335550000000001</v>
      </c>
      <c r="AM15" s="3">
        <v>1.4772339999999999</v>
      </c>
      <c r="AN15" s="2">
        <v>17.159179999999999</v>
      </c>
      <c r="AO15" s="2">
        <v>17.021360000000001</v>
      </c>
      <c r="AP15" s="2">
        <v>17.065850000000001</v>
      </c>
      <c r="AQ15" s="2">
        <v>17.282219999999999</v>
      </c>
      <c r="AR15" s="2">
        <v>0.90917190000000003</v>
      </c>
      <c r="AS15" s="2">
        <v>1.0091490000000001</v>
      </c>
      <c r="AT15" s="2">
        <v>0.74689760000000005</v>
      </c>
      <c r="AU15" s="2">
        <v>0.52036959999999999</v>
      </c>
      <c r="AV15" s="1" t="s">
        <v>6</v>
      </c>
      <c r="AW15" s="3">
        <v>1.2250000000000001</v>
      </c>
      <c r="AX15" s="3">
        <v>55.419460000000001</v>
      </c>
      <c r="AY15" s="2">
        <v>9.7414970000000007</v>
      </c>
      <c r="AZ15" s="2">
        <v>13.253500000000001</v>
      </c>
      <c r="BA15" s="2">
        <v>10.60327</v>
      </c>
      <c r="BB15" s="2">
        <v>53.030299999999997</v>
      </c>
      <c r="BC15" s="2">
        <v>36.44961</v>
      </c>
      <c r="BD15" s="3">
        <v>31.8</v>
      </c>
      <c r="BE15" s="2">
        <v>58.805039999999998</v>
      </c>
      <c r="BF15" s="3">
        <v>51.02</v>
      </c>
      <c r="BG15" s="2">
        <v>-1.0192099999999999</v>
      </c>
      <c r="BH15" s="2">
        <v>36.185890000000001</v>
      </c>
      <c r="BI15" s="2">
        <v>34.905819999999999</v>
      </c>
      <c r="BJ15" s="2">
        <v>33.639069999999997</v>
      </c>
      <c r="BK15" s="2">
        <v>31.05856</v>
      </c>
      <c r="BL15" s="2">
        <v>21</v>
      </c>
      <c r="BM15" s="2">
        <v>19</v>
      </c>
      <c r="BN15" s="4">
        <v>20</v>
      </c>
      <c r="BO15" s="4">
        <v>0</v>
      </c>
      <c r="BP15" s="4">
        <v>1</v>
      </c>
      <c r="BQ15" s="4">
        <v>20</v>
      </c>
      <c r="BR15" s="2">
        <v>0</v>
      </c>
      <c r="BS15" s="4">
        <v>18</v>
      </c>
      <c r="BT15" s="4">
        <v>1</v>
      </c>
      <c r="BU15" s="4">
        <v>20</v>
      </c>
      <c r="BV15" s="2">
        <v>90</v>
      </c>
      <c r="BW15" s="2">
        <v>6.92117</v>
      </c>
      <c r="BX15" s="2">
        <v>728.32069999999999</v>
      </c>
      <c r="BY15" s="3">
        <v>1.5092220000000001</v>
      </c>
      <c r="BZ15" s="3">
        <v>0.2072194</v>
      </c>
      <c r="CA15" s="2">
        <v>1.00057</v>
      </c>
      <c r="CB15" s="3">
        <v>0.2072194</v>
      </c>
      <c r="CC15" s="3">
        <v>3.5133160000000001</v>
      </c>
      <c r="CD15" s="3">
        <v>3.5623830000000001</v>
      </c>
      <c r="CE15" s="2">
        <v>1.3966080000000001</v>
      </c>
      <c r="CF15" s="3">
        <v>3703.3589999999999</v>
      </c>
      <c r="CG15" s="3">
        <v>3741.7959999999998</v>
      </c>
      <c r="CH15" s="2">
        <v>1.0379080000000001</v>
      </c>
      <c r="CI15" s="3">
        <v>54.483130000000003</v>
      </c>
      <c r="CJ15" s="2">
        <v>1.718569</v>
      </c>
      <c r="CK15" s="3">
        <v>30843.79</v>
      </c>
      <c r="CL15" s="3">
        <v>31162.11</v>
      </c>
      <c r="CM15" s="2">
        <v>1.0320309999999999</v>
      </c>
      <c r="CN15" s="3">
        <v>41.69</v>
      </c>
      <c r="CO15" s="3">
        <v>45.886270000000003</v>
      </c>
      <c r="CP15" s="3">
        <v>46.908450000000002</v>
      </c>
      <c r="CQ15" s="2">
        <v>21.132159999999999</v>
      </c>
      <c r="CR15" s="2">
        <v>10.0547</v>
      </c>
      <c r="CS15" s="2">
        <v>7.6565029999999998</v>
      </c>
      <c r="CT15" s="2">
        <v>10.06541</v>
      </c>
      <c r="CU15" s="2">
        <v>69.575509999999994</v>
      </c>
      <c r="CV15" s="3">
        <v>0.18916569999999999</v>
      </c>
      <c r="CW15" s="2" t="e">
        <v>#N/A</v>
      </c>
      <c r="CX15" s="2" t="e">
        <v>#N/A</v>
      </c>
      <c r="CY15" s="2" t="e">
        <v>#N/A</v>
      </c>
      <c r="CZ15" s="2">
        <v>20.168420000000001</v>
      </c>
    </row>
    <row r="16" spans="1:104" ht="15" customHeight="1" x14ac:dyDescent="0.2">
      <c r="A16" s="1">
        <f t="shared" si="0"/>
        <v>10</v>
      </c>
      <c r="B16" s="1" t="s">
        <v>40</v>
      </c>
      <c r="C16" s="1" t="s">
        <v>39</v>
      </c>
      <c r="D16" s="1" t="s">
        <v>9</v>
      </c>
      <c r="E16" s="1" t="s">
        <v>41</v>
      </c>
      <c r="F16" s="1" t="s">
        <v>42</v>
      </c>
      <c r="G16" s="2">
        <v>78814.92</v>
      </c>
      <c r="H16" s="2">
        <v>80.332999999999998</v>
      </c>
      <c r="I16" s="2">
        <v>63314.39</v>
      </c>
      <c r="J16" s="3">
        <v>73.67</v>
      </c>
      <c r="K16" s="3">
        <v>0</v>
      </c>
      <c r="L16" s="2">
        <v>7.0585040000000001</v>
      </c>
      <c r="M16" s="2">
        <v>6.9634859999999996</v>
      </c>
      <c r="N16" s="2">
        <v>7.0177820000000004</v>
      </c>
      <c r="O16" s="2">
        <v>7.1535229999999999</v>
      </c>
      <c r="P16" s="2">
        <v>5.4368999999999996</v>
      </c>
      <c r="Q16" s="2">
        <v>5.7263890000000002</v>
      </c>
      <c r="R16" s="2">
        <v>5.8214139999999999</v>
      </c>
      <c r="S16" s="2">
        <v>5.706429</v>
      </c>
      <c r="T16" s="2">
        <v>1.445519</v>
      </c>
      <c r="U16" s="2">
        <v>1.9485319999999999</v>
      </c>
      <c r="V16" s="2">
        <v>1.8248169999999999</v>
      </c>
      <c r="W16" s="2">
        <v>1.6690700000000001</v>
      </c>
      <c r="X16" s="2">
        <v>0.97177150000000001</v>
      </c>
      <c r="Y16" s="2">
        <v>0.85513629999999996</v>
      </c>
      <c r="Z16" s="2">
        <v>0.79565830000000004</v>
      </c>
      <c r="AA16" s="2">
        <v>0.71785620000000006</v>
      </c>
      <c r="AB16" s="2">
        <v>4.6820750000000002</v>
      </c>
      <c r="AC16" s="2">
        <v>4.5148840000000003</v>
      </c>
      <c r="AD16" s="2">
        <v>4.2355790000000004</v>
      </c>
      <c r="AE16" s="2">
        <v>3.9676849999999999</v>
      </c>
      <c r="AF16" s="2">
        <v>17.00825</v>
      </c>
      <c r="AG16" s="2">
        <v>19.076000000000001</v>
      </c>
      <c r="AH16" s="2">
        <v>26.702539999999999</v>
      </c>
      <c r="AI16" s="2">
        <v>11.120369999999999</v>
      </c>
      <c r="AJ16" s="2">
        <v>11.79364</v>
      </c>
      <c r="AK16" s="2">
        <v>14.7212</v>
      </c>
      <c r="AL16" s="3" t="e">
        <v>#N/A</v>
      </c>
      <c r="AM16" s="3" t="e">
        <v>#N/A</v>
      </c>
      <c r="AN16" s="2">
        <v>18.01662</v>
      </c>
      <c r="AO16" s="2">
        <v>17.24372</v>
      </c>
      <c r="AP16" s="2">
        <v>16.95365</v>
      </c>
      <c r="AQ16" s="2">
        <v>16.399260000000002</v>
      </c>
      <c r="AR16" s="2">
        <v>-0.98484899999999997</v>
      </c>
      <c r="AS16" s="2">
        <v>-1.031687</v>
      </c>
      <c r="AT16" s="2">
        <v>-1.1267929999999999</v>
      </c>
      <c r="AU16" s="2">
        <v>-1.35843</v>
      </c>
      <c r="AV16" s="1" t="s">
        <v>6</v>
      </c>
      <c r="AW16" s="3">
        <v>1.2619050000000001</v>
      </c>
      <c r="AX16" s="3">
        <v>90</v>
      </c>
      <c r="AY16" s="2">
        <v>22.166419999999999</v>
      </c>
      <c r="AZ16" s="2">
        <v>14.933260000000001</v>
      </c>
      <c r="BA16" s="2">
        <v>-1.60622</v>
      </c>
      <c r="BB16" s="2">
        <v>33.411799999999999</v>
      </c>
      <c r="BC16" s="2">
        <v>19.983709999999999</v>
      </c>
      <c r="BD16" s="3">
        <v>50.19</v>
      </c>
      <c r="BE16" s="2">
        <v>46.782229999999998</v>
      </c>
      <c r="BF16" s="3">
        <v>76.099999999999994</v>
      </c>
      <c r="BG16" s="2">
        <v>-3.1931699999999998</v>
      </c>
      <c r="BH16" s="2">
        <v>37.963099999999997</v>
      </c>
      <c r="BI16" s="2">
        <v>40.300640000000001</v>
      </c>
      <c r="BJ16" s="2">
        <v>40.737850000000002</v>
      </c>
      <c r="BK16" s="2">
        <v>41.714170000000003</v>
      </c>
      <c r="BL16" s="2">
        <v>18</v>
      </c>
      <c r="BM16" s="2">
        <v>17</v>
      </c>
      <c r="BN16" s="4">
        <v>21</v>
      </c>
      <c r="BO16" s="4">
        <v>0</v>
      </c>
      <c r="BP16" s="4">
        <v>0</v>
      </c>
      <c r="BQ16" s="4">
        <v>21</v>
      </c>
      <c r="BR16" s="2">
        <v>0</v>
      </c>
      <c r="BS16" s="4">
        <v>17</v>
      </c>
      <c r="BT16" s="4">
        <v>0</v>
      </c>
      <c r="BU16" s="4">
        <v>21</v>
      </c>
      <c r="BV16" s="2">
        <v>80.952380000000005</v>
      </c>
      <c r="BW16" s="2">
        <v>8.2151599999999991</v>
      </c>
      <c r="BX16" s="2">
        <v>1069.837</v>
      </c>
      <c r="BY16" s="3">
        <v>2.4967600000000001</v>
      </c>
      <c r="BZ16" s="3">
        <v>0.23337759999999999</v>
      </c>
      <c r="CA16" s="2">
        <v>1.11696</v>
      </c>
      <c r="CB16" s="3">
        <v>0.23337759999999999</v>
      </c>
      <c r="CC16" s="3">
        <v>12.191610000000001</v>
      </c>
      <c r="CD16" s="3">
        <v>12.75412</v>
      </c>
      <c r="CE16" s="2">
        <v>4.6139599999999996</v>
      </c>
      <c r="CF16" s="3">
        <v>18338.830000000002</v>
      </c>
      <c r="CG16" s="3">
        <v>19603.240000000002</v>
      </c>
      <c r="CH16" s="2">
        <v>6.8947079999999996</v>
      </c>
      <c r="CI16" s="3">
        <v>90.404759999999996</v>
      </c>
      <c r="CJ16" s="2">
        <v>-0.44772030000000002</v>
      </c>
      <c r="CK16" s="3">
        <v>152289.5</v>
      </c>
      <c r="CL16" s="3">
        <v>154013.20000000001</v>
      </c>
      <c r="CM16" s="2">
        <v>1.131856</v>
      </c>
      <c r="CN16" s="3">
        <v>66.68835</v>
      </c>
      <c r="CO16" s="3">
        <v>71.024330000000006</v>
      </c>
      <c r="CP16" s="3">
        <v>72.890010000000004</v>
      </c>
      <c r="CQ16" s="2">
        <v>10.469060000000001</v>
      </c>
      <c r="CR16" s="2">
        <v>3.7250160000000001</v>
      </c>
      <c r="CS16" s="2">
        <v>1.0700940000000001</v>
      </c>
      <c r="CT16" s="2">
        <v>6.5018529999999997</v>
      </c>
      <c r="CU16" s="2">
        <v>183.61170000000001</v>
      </c>
      <c r="CV16" s="3">
        <v>0.2329657</v>
      </c>
      <c r="CW16" s="2">
        <v>16.783940000000001</v>
      </c>
      <c r="CX16" s="2">
        <v>0.33545429999999998</v>
      </c>
      <c r="CY16" s="2">
        <v>11.77403</v>
      </c>
      <c r="CZ16" s="2">
        <v>20.787880000000001</v>
      </c>
    </row>
    <row r="17" spans="1:104" ht="15" customHeight="1" x14ac:dyDescent="0.2">
      <c r="A17" s="1">
        <f t="shared" si="0"/>
        <v>11</v>
      </c>
      <c r="B17" s="1" t="s">
        <v>44</v>
      </c>
      <c r="C17" s="1" t="s">
        <v>43</v>
      </c>
      <c r="D17" s="1" t="s">
        <v>36</v>
      </c>
      <c r="E17" s="1" t="s">
        <v>45</v>
      </c>
      <c r="F17" s="1" t="s">
        <v>46</v>
      </c>
      <c r="G17" s="2">
        <v>32526.94</v>
      </c>
      <c r="H17" s="2" t="e">
        <v>#N/A</v>
      </c>
      <c r="I17" s="2" t="e">
        <v>#N/A</v>
      </c>
      <c r="J17" s="3">
        <v>184.25</v>
      </c>
      <c r="K17" s="3">
        <v>0</v>
      </c>
      <c r="L17" s="2">
        <v>0</v>
      </c>
      <c r="M17" s="2">
        <v>0</v>
      </c>
      <c r="N17" s="2">
        <v>1.2307790000000001</v>
      </c>
      <c r="O17" s="2">
        <v>1.544286</v>
      </c>
      <c r="P17" s="2">
        <v>86.526679999999999</v>
      </c>
      <c r="Q17" s="2">
        <v>40.529620000000001</v>
      </c>
      <c r="R17" s="2">
        <v>27.322870000000002</v>
      </c>
      <c r="S17" s="2">
        <v>21.630839999999999</v>
      </c>
      <c r="T17" s="2">
        <v>23.5855</v>
      </c>
      <c r="U17" s="2">
        <v>19.950510000000001</v>
      </c>
      <c r="V17" s="2">
        <v>15.480309999999999</v>
      </c>
      <c r="W17" s="2">
        <v>12.37346</v>
      </c>
      <c r="X17" s="2">
        <v>2.799566</v>
      </c>
      <c r="Y17" s="2">
        <v>2.6942819999999998</v>
      </c>
      <c r="Z17" s="2">
        <v>2.6007349999999998</v>
      </c>
      <c r="AA17" s="2">
        <v>2.4153199999999999</v>
      </c>
      <c r="AB17" s="2">
        <v>31.29468</v>
      </c>
      <c r="AC17" s="2">
        <v>23.644780000000001</v>
      </c>
      <c r="AD17" s="2">
        <v>18.441939999999999</v>
      </c>
      <c r="AE17" s="2">
        <v>15.38621</v>
      </c>
      <c r="AF17" s="2">
        <v>2.2298369999999998</v>
      </c>
      <c r="AG17" s="2">
        <v>3.4936289999999999</v>
      </c>
      <c r="AH17" s="2">
        <v>4.6560959999999998</v>
      </c>
      <c r="AI17" s="2">
        <v>2.5690940000000002</v>
      </c>
      <c r="AJ17" s="2">
        <v>3.9083040000000002</v>
      </c>
      <c r="AK17" s="2">
        <v>5.0240590000000003</v>
      </c>
      <c r="AL17" s="3">
        <v>0.90976009999999996</v>
      </c>
      <c r="AM17" s="3">
        <v>0.60998920000000001</v>
      </c>
      <c r="AN17" s="2">
        <v>13.583780000000001</v>
      </c>
      <c r="AO17" s="2">
        <v>17.157550000000001</v>
      </c>
      <c r="AP17" s="2">
        <v>19.25684</v>
      </c>
      <c r="AQ17" s="2">
        <v>20.970410000000001</v>
      </c>
      <c r="AR17" s="2">
        <v>4.5639989999999999</v>
      </c>
      <c r="AS17" s="2">
        <v>2.6361590000000001</v>
      </c>
      <c r="AT17" s="2">
        <v>1.643526</v>
      </c>
      <c r="AU17" s="2">
        <v>0.90683510000000001</v>
      </c>
      <c r="AV17" s="1" t="s">
        <v>6</v>
      </c>
      <c r="AW17" s="3">
        <v>1.288462</v>
      </c>
      <c r="AX17" s="3">
        <v>198.4246</v>
      </c>
      <c r="AY17" s="2">
        <v>7.6931599999999998</v>
      </c>
      <c r="AZ17" s="2">
        <v>6.6476860000000002</v>
      </c>
      <c r="BA17" s="2">
        <v>42.059629999999999</v>
      </c>
      <c r="BB17" s="2">
        <v>90.972219999999993</v>
      </c>
      <c r="BC17" s="2">
        <v>44.170569999999998</v>
      </c>
      <c r="BD17" s="3">
        <v>86.78</v>
      </c>
      <c r="BE17" s="2">
        <v>112.3185</v>
      </c>
      <c r="BF17" s="3">
        <v>192.75</v>
      </c>
      <c r="BG17" s="2">
        <v>-4.4098560000000004</v>
      </c>
      <c r="BH17" s="2">
        <v>3.1932779999999998</v>
      </c>
      <c r="BI17" s="2">
        <v>2.696564</v>
      </c>
      <c r="BJ17" s="2">
        <v>27.26961</v>
      </c>
      <c r="BK17" s="2">
        <v>29.58663</v>
      </c>
      <c r="BL17" s="2">
        <v>22</v>
      </c>
      <c r="BM17" s="2">
        <v>16</v>
      </c>
      <c r="BN17" s="4">
        <v>26</v>
      </c>
      <c r="BO17" s="4">
        <v>0</v>
      </c>
      <c r="BP17" s="4">
        <v>4</v>
      </c>
      <c r="BQ17" s="4">
        <v>22</v>
      </c>
      <c r="BR17" s="2">
        <v>0</v>
      </c>
      <c r="BS17" s="4">
        <v>19</v>
      </c>
      <c r="BT17" s="4">
        <v>1</v>
      </c>
      <c r="BU17" s="4">
        <v>26</v>
      </c>
      <c r="BV17" s="2">
        <v>73.076920000000001</v>
      </c>
      <c r="BW17" s="2">
        <v>11.4831</v>
      </c>
      <c r="BX17" s="2">
        <v>176.53700000000001</v>
      </c>
      <c r="BY17" s="3">
        <v>0.24481130000000001</v>
      </c>
      <c r="BZ17" s="3">
        <v>0.1386742</v>
      </c>
      <c r="CA17" s="2">
        <v>1.32697</v>
      </c>
      <c r="CB17" s="3">
        <v>0.1386742</v>
      </c>
      <c r="CC17" s="3">
        <v>4.2932740000000003</v>
      </c>
      <c r="CD17" s="3">
        <v>4.4807540000000001</v>
      </c>
      <c r="CE17" s="2">
        <v>4.3668269999999998</v>
      </c>
      <c r="CF17" s="3">
        <v>1267.903</v>
      </c>
      <c r="CG17" s="3">
        <v>1325.201</v>
      </c>
      <c r="CH17" s="2">
        <v>4.5191290000000004</v>
      </c>
      <c r="CI17" s="3">
        <v>179.8151</v>
      </c>
      <c r="CJ17" s="2">
        <v>10.349259999999999</v>
      </c>
      <c r="CK17" s="3">
        <v>10426.43</v>
      </c>
      <c r="CL17" s="3">
        <v>10907.99</v>
      </c>
      <c r="CM17" s="2">
        <v>4.6187040000000001</v>
      </c>
      <c r="CN17" s="3">
        <v>152.02209999999999</v>
      </c>
      <c r="CO17" s="3">
        <v>182.53530000000001</v>
      </c>
      <c r="CP17" s="3">
        <v>182.6481</v>
      </c>
      <c r="CQ17" s="2">
        <v>21.199449999999999</v>
      </c>
      <c r="CR17" s="2">
        <v>0.93938109999999997</v>
      </c>
      <c r="CS17" s="2">
        <v>0.87704660000000001</v>
      </c>
      <c r="CT17" s="2">
        <v>20.07152</v>
      </c>
      <c r="CU17" s="2">
        <v>37.083329999999997</v>
      </c>
      <c r="CV17" s="3">
        <v>0.1140081</v>
      </c>
      <c r="CW17" s="2" t="e">
        <v>#N/A</v>
      </c>
      <c r="CX17" s="2">
        <v>9.7418499999999995</v>
      </c>
      <c r="CY17" s="2" t="e">
        <v>#N/A</v>
      </c>
      <c r="CZ17" s="2">
        <v>20.894739999999999</v>
      </c>
    </row>
    <row r="18" spans="1:104" ht="15" customHeight="1" x14ac:dyDescent="0.2">
      <c r="A18" s="1">
        <f t="shared" si="0"/>
        <v>12</v>
      </c>
      <c r="B18" s="1" t="s">
        <v>48</v>
      </c>
      <c r="C18" s="1" t="s">
        <v>47</v>
      </c>
      <c r="D18" s="1" t="s">
        <v>9</v>
      </c>
      <c r="E18" s="1" t="s">
        <v>41</v>
      </c>
      <c r="F18" s="1" t="s">
        <v>42</v>
      </c>
      <c r="G18" s="2">
        <v>67736.490000000005</v>
      </c>
      <c r="H18" s="2">
        <v>50.226199999999999</v>
      </c>
      <c r="I18" s="2">
        <v>34021.46</v>
      </c>
      <c r="J18" s="3">
        <v>112.52</v>
      </c>
      <c r="K18" s="3">
        <v>0</v>
      </c>
      <c r="L18" s="2">
        <v>7.5542129999999998</v>
      </c>
      <c r="M18" s="2">
        <v>4.5352769999999998</v>
      </c>
      <c r="N18" s="2">
        <v>4.4436549999999997</v>
      </c>
      <c r="O18" s="2">
        <v>4.532527</v>
      </c>
      <c r="P18" s="2">
        <v>4.1201020000000002</v>
      </c>
      <c r="Q18" s="2">
        <v>6.6774469999999999</v>
      </c>
      <c r="R18" s="2">
        <v>7.0606590000000002</v>
      </c>
      <c r="S18" s="2">
        <v>7.0722810000000003</v>
      </c>
      <c r="T18" s="2">
        <v>1.8132269999999999</v>
      </c>
      <c r="U18" s="2">
        <v>2.4327130000000001</v>
      </c>
      <c r="V18" s="2">
        <v>2.4315579999999999</v>
      </c>
      <c r="W18" s="2">
        <v>2.170061</v>
      </c>
      <c r="X18" s="2">
        <v>0.849881</v>
      </c>
      <c r="Y18" s="2">
        <v>0.80079869999999997</v>
      </c>
      <c r="Z18" s="2">
        <v>0.73511249999999995</v>
      </c>
      <c r="AA18" s="2">
        <v>0.68914410000000004</v>
      </c>
      <c r="AB18" s="2">
        <v>5.0187330000000001</v>
      </c>
      <c r="AC18" s="2">
        <v>4.1766889999999997</v>
      </c>
      <c r="AD18" s="2">
        <v>4.1890910000000003</v>
      </c>
      <c r="AE18" s="2">
        <v>4.1551349999999996</v>
      </c>
      <c r="AF18" s="2">
        <v>13.670439999999999</v>
      </c>
      <c r="AG18" s="2">
        <v>14.48081</v>
      </c>
      <c r="AH18" s="2">
        <v>17.787990000000001</v>
      </c>
      <c r="AI18" s="2">
        <v>10.86697</v>
      </c>
      <c r="AJ18" s="2">
        <v>10.977930000000001</v>
      </c>
      <c r="AK18" s="2">
        <v>12.16098</v>
      </c>
      <c r="AL18" s="3" t="e">
        <v>#N/A</v>
      </c>
      <c r="AM18" s="3" t="e">
        <v>#N/A</v>
      </c>
      <c r="AN18" s="2">
        <v>15.82287</v>
      </c>
      <c r="AO18" s="2">
        <v>16.802399999999999</v>
      </c>
      <c r="AP18" s="2">
        <v>15.710850000000001</v>
      </c>
      <c r="AQ18" s="2">
        <v>15.624890000000001</v>
      </c>
      <c r="AR18" s="2">
        <v>-0.62062930000000005</v>
      </c>
      <c r="AS18" s="2">
        <v>-0.56148149999999997</v>
      </c>
      <c r="AT18" s="2">
        <v>-0.69060619999999995</v>
      </c>
      <c r="AU18" s="2">
        <v>-0.88319550000000002</v>
      </c>
      <c r="AV18" s="1" t="s">
        <v>49</v>
      </c>
      <c r="AW18" s="3">
        <v>1.65</v>
      </c>
      <c r="AX18" s="3">
        <v>110.5</v>
      </c>
      <c r="AY18" s="2">
        <v>-1.7952319999999999</v>
      </c>
      <c r="AZ18" s="2">
        <v>11.99259</v>
      </c>
      <c r="BA18" s="2">
        <v>-16.277609999999999</v>
      </c>
      <c r="BB18" s="2">
        <v>53.171790000000001</v>
      </c>
      <c r="BC18" s="2">
        <v>34.948430000000002</v>
      </c>
      <c r="BD18" s="3">
        <v>68.44</v>
      </c>
      <c r="BE18" s="2">
        <v>64.406760000000006</v>
      </c>
      <c r="BF18" s="3">
        <v>113.46</v>
      </c>
      <c r="BG18" s="2">
        <v>-0.82848670000000002</v>
      </c>
      <c r="BH18" s="2">
        <v>31.371289999999998</v>
      </c>
      <c r="BI18" s="2">
        <v>31.297350000000002</v>
      </c>
      <c r="BJ18" s="2">
        <v>31.372479999999999</v>
      </c>
      <c r="BK18" s="2">
        <v>31.86289</v>
      </c>
      <c r="BL18" s="2">
        <v>18</v>
      </c>
      <c r="BM18" s="2">
        <v>17</v>
      </c>
      <c r="BN18" s="4">
        <v>20</v>
      </c>
      <c r="BO18" s="4">
        <v>1</v>
      </c>
      <c r="BP18" s="4">
        <v>1</v>
      </c>
      <c r="BQ18" s="4">
        <v>19</v>
      </c>
      <c r="BR18" s="2">
        <v>4.7619049999999996</v>
      </c>
      <c r="BS18" s="4">
        <v>8</v>
      </c>
      <c r="BT18" s="4">
        <v>1</v>
      </c>
      <c r="BU18" s="4">
        <v>20</v>
      </c>
      <c r="BV18" s="2">
        <v>40</v>
      </c>
      <c r="BW18" s="2">
        <v>7.9952800000000002</v>
      </c>
      <c r="BX18" s="2">
        <v>601.99519999999995</v>
      </c>
      <c r="BY18" s="3">
        <v>1.170391</v>
      </c>
      <c r="BZ18" s="3">
        <v>0.1944187</v>
      </c>
      <c r="CA18" s="2">
        <v>1.20984</v>
      </c>
      <c r="CB18" s="3">
        <v>0.1944187</v>
      </c>
      <c r="CC18" s="3">
        <v>15.1778</v>
      </c>
      <c r="CD18" s="3">
        <v>16.341619999999999</v>
      </c>
      <c r="CE18" s="2">
        <v>7.6678870000000003</v>
      </c>
      <c r="CF18" s="3">
        <v>14002.78</v>
      </c>
      <c r="CG18" s="3">
        <v>15377.03</v>
      </c>
      <c r="CH18" s="2">
        <v>9.8140830000000001</v>
      </c>
      <c r="CI18" s="3">
        <v>104.3797</v>
      </c>
      <c r="CJ18" s="2">
        <v>5.8634760000000004</v>
      </c>
      <c r="CK18" s="3">
        <v>145149</v>
      </c>
      <c r="CL18" s="3">
        <v>146545.60000000001</v>
      </c>
      <c r="CM18" s="2">
        <v>0.96216199999999996</v>
      </c>
      <c r="CN18" s="3">
        <v>93.0899</v>
      </c>
      <c r="CO18" s="3">
        <v>105.7714</v>
      </c>
      <c r="CP18" s="3">
        <v>108.4592</v>
      </c>
      <c r="CQ18" s="2">
        <v>20.872389999999999</v>
      </c>
      <c r="CR18" s="2">
        <v>6.3803910000000004</v>
      </c>
      <c r="CS18" s="2">
        <v>3.7440419999999999</v>
      </c>
      <c r="CT18" s="2">
        <v>13.622820000000001</v>
      </c>
      <c r="CU18" s="2">
        <v>106.42310000000001</v>
      </c>
      <c r="CV18" s="3">
        <v>0.15711349999999999</v>
      </c>
      <c r="CW18" s="2">
        <v>22.43909</v>
      </c>
      <c r="CX18" s="2">
        <v>3.8864879999999999</v>
      </c>
      <c r="CY18" s="2">
        <v>34.418149999999997</v>
      </c>
      <c r="CZ18" s="2">
        <v>21.505050000000001</v>
      </c>
    </row>
    <row r="19" spans="1:104" ht="15" customHeight="1" x14ac:dyDescent="0.2">
      <c r="A19" s="1">
        <f t="shared" si="0"/>
        <v>13</v>
      </c>
      <c r="B19" s="1" t="s">
        <v>51</v>
      </c>
      <c r="C19" s="1" t="s">
        <v>50</v>
      </c>
      <c r="D19" s="1" t="s">
        <v>3</v>
      </c>
      <c r="E19" s="1" t="s">
        <v>52</v>
      </c>
      <c r="F19" s="1" t="s">
        <v>53</v>
      </c>
      <c r="G19" s="2">
        <v>62708.09</v>
      </c>
      <c r="H19" s="2">
        <v>75.534899999999993</v>
      </c>
      <c r="I19" s="2">
        <v>47366.49</v>
      </c>
      <c r="J19" s="3">
        <v>6.1680000000000001</v>
      </c>
      <c r="K19" s="3">
        <v>0</v>
      </c>
      <c r="L19" s="2">
        <v>6.4850849999999998</v>
      </c>
      <c r="M19" s="2">
        <v>6.9714660000000004</v>
      </c>
      <c r="N19" s="2">
        <v>6.9714660000000004</v>
      </c>
      <c r="O19" s="2">
        <v>6.9714660000000004</v>
      </c>
      <c r="P19" s="2">
        <v>11.637740000000001</v>
      </c>
      <c r="Q19" s="2">
        <v>10.267709999999999</v>
      </c>
      <c r="R19" s="2">
        <v>9.4171530000000008</v>
      </c>
      <c r="S19" s="2">
        <v>9.0705880000000008</v>
      </c>
      <c r="T19" s="2">
        <v>5.6498710000000001</v>
      </c>
      <c r="U19" s="2">
        <v>5.5568939999999998</v>
      </c>
      <c r="V19" s="2">
        <v>5.4731759999999996</v>
      </c>
      <c r="W19" s="2">
        <v>5.4000779999999997</v>
      </c>
      <c r="X19" s="2">
        <v>2.1872340000000001</v>
      </c>
      <c r="Y19" s="2">
        <v>2.0649479999999998</v>
      </c>
      <c r="Z19" s="2">
        <v>1.9275</v>
      </c>
      <c r="AA19" s="2">
        <v>1.8141179999999999</v>
      </c>
      <c r="AB19" s="2">
        <v>5.5567570000000002</v>
      </c>
      <c r="AC19" s="2">
        <v>4.2352650000000001</v>
      </c>
      <c r="AD19" s="2">
        <v>4.1100219999999998</v>
      </c>
      <c r="AE19" s="2">
        <v>4.128285</v>
      </c>
      <c r="AF19" s="2">
        <v>2.0633560000000002</v>
      </c>
      <c r="AG19" s="2">
        <v>3.2091669999999999</v>
      </c>
      <c r="AH19" s="2">
        <v>3.0474109999999999</v>
      </c>
      <c r="AI19" s="2">
        <v>3.7684319999999998</v>
      </c>
      <c r="AJ19" s="2">
        <v>5.9979940000000003</v>
      </c>
      <c r="AK19" s="2">
        <v>5.7687340000000003</v>
      </c>
      <c r="AL19" s="3">
        <v>2.0942769999999999</v>
      </c>
      <c r="AM19" s="3">
        <v>1.9527600000000001</v>
      </c>
      <c r="AN19" s="2">
        <v>14.00756</v>
      </c>
      <c r="AO19" s="2">
        <v>19.586970000000001</v>
      </c>
      <c r="AP19" s="2">
        <v>22.962900000000001</v>
      </c>
      <c r="AQ19" s="2">
        <v>23.85801</v>
      </c>
      <c r="AR19" s="2">
        <v>3.0517699999999999</v>
      </c>
      <c r="AS19" s="2">
        <v>2.5142890000000002</v>
      </c>
      <c r="AT19" s="2">
        <v>2.544807</v>
      </c>
      <c r="AU19" s="2">
        <v>2.5474139999999998</v>
      </c>
      <c r="AV19" s="1" t="s">
        <v>6</v>
      </c>
      <c r="AW19" s="3">
        <v>1.2272730000000001</v>
      </c>
      <c r="AX19" s="3">
        <v>7.2</v>
      </c>
      <c r="AY19" s="2">
        <v>16.73151</v>
      </c>
      <c r="AZ19" s="2">
        <v>20.111080000000001</v>
      </c>
      <c r="BA19" s="2">
        <v>4.5761979999999998</v>
      </c>
      <c r="BB19" s="2">
        <v>18.16093</v>
      </c>
      <c r="BC19" s="2">
        <v>22.62425</v>
      </c>
      <c r="BD19" s="3">
        <v>3.956</v>
      </c>
      <c r="BE19" s="2">
        <v>55.915080000000003</v>
      </c>
      <c r="BF19" s="3">
        <v>6.2569999999999997</v>
      </c>
      <c r="BG19" s="2">
        <v>-1.4224049999999999</v>
      </c>
      <c r="BH19" s="2">
        <v>75.461839999999995</v>
      </c>
      <c r="BI19" s="2">
        <v>71.43047</v>
      </c>
      <c r="BJ19" s="2">
        <v>67.25506</v>
      </c>
      <c r="BK19" s="2">
        <v>65.438500000000005</v>
      </c>
      <c r="BL19" s="2">
        <v>19</v>
      </c>
      <c r="BM19" s="2">
        <v>17</v>
      </c>
      <c r="BN19" s="4">
        <v>22</v>
      </c>
      <c r="BO19" s="4">
        <v>1</v>
      </c>
      <c r="BP19" s="4">
        <v>0</v>
      </c>
      <c r="BQ19" s="4">
        <v>22</v>
      </c>
      <c r="BR19" s="2">
        <v>4.3478260000000004</v>
      </c>
      <c r="BS19" s="4">
        <v>19</v>
      </c>
      <c r="BT19" s="4">
        <v>0</v>
      </c>
      <c r="BU19" s="4">
        <v>22</v>
      </c>
      <c r="BV19" s="2">
        <v>86.363640000000004</v>
      </c>
      <c r="BW19" s="2">
        <v>7.6769299999999996</v>
      </c>
      <c r="BX19" s="2">
        <v>10166.68</v>
      </c>
      <c r="BY19" s="3">
        <v>25.387280000000001</v>
      </c>
      <c r="BZ19" s="3">
        <v>0.2497106</v>
      </c>
      <c r="CA19" s="2">
        <v>0.930813</v>
      </c>
      <c r="CB19" s="3">
        <v>0.2497106</v>
      </c>
      <c r="CC19" s="3">
        <v>0.59176430000000002</v>
      </c>
      <c r="CD19" s="3">
        <v>0.59922370000000003</v>
      </c>
      <c r="CE19" s="2">
        <v>1.2605310000000001</v>
      </c>
      <c r="CF19" s="3">
        <v>12715.43</v>
      </c>
      <c r="CG19" s="3">
        <v>12896.21</v>
      </c>
      <c r="CH19" s="2">
        <v>1.4217500000000001</v>
      </c>
      <c r="CI19" s="3">
        <v>7.0730969999999997</v>
      </c>
      <c r="CJ19" s="2">
        <v>1.7941590000000001</v>
      </c>
      <c r="CK19" s="3">
        <v>107898.4</v>
      </c>
      <c r="CL19" s="3">
        <v>106023.6</v>
      </c>
      <c r="CM19" s="2">
        <v>-1.737547</v>
      </c>
      <c r="CN19" s="3">
        <v>5.3762020000000001</v>
      </c>
      <c r="CO19" s="3">
        <v>6.0565499999999997</v>
      </c>
      <c r="CP19" s="3">
        <v>6.0578070000000004</v>
      </c>
      <c r="CQ19" s="2">
        <v>14.727830000000001</v>
      </c>
      <c r="CR19" s="2">
        <v>1.8401620000000001</v>
      </c>
      <c r="CS19" s="2">
        <v>1.819026</v>
      </c>
      <c r="CT19" s="2">
        <v>12.65479</v>
      </c>
      <c r="CU19" s="2">
        <v>138.4374</v>
      </c>
      <c r="CV19" s="3">
        <v>0.22076480000000001</v>
      </c>
      <c r="CW19" s="2">
        <v>-20.683599999999998</v>
      </c>
      <c r="CX19" s="2">
        <v>-22.311769999999999</v>
      </c>
      <c r="CY19" s="2">
        <v>-9.4507510000000003</v>
      </c>
      <c r="CZ19" s="2">
        <v>21.727270000000001</v>
      </c>
    </row>
    <row r="20" spans="1:104" ht="15" customHeight="1" x14ac:dyDescent="0.2">
      <c r="A20" s="1">
        <f t="shared" si="0"/>
        <v>14</v>
      </c>
      <c r="B20" s="1" t="s">
        <v>55</v>
      </c>
      <c r="C20" s="1" t="s">
        <v>54</v>
      </c>
      <c r="D20" s="1" t="s">
        <v>20</v>
      </c>
      <c r="E20" s="1" t="s">
        <v>4</v>
      </c>
      <c r="F20" s="1" t="s">
        <v>5</v>
      </c>
      <c r="G20" s="2">
        <v>55696.78</v>
      </c>
      <c r="H20" s="2">
        <v>98.077600000000004</v>
      </c>
      <c r="I20" s="2">
        <v>54626.06</v>
      </c>
      <c r="J20" s="3">
        <v>3.3849999999999998</v>
      </c>
      <c r="K20" s="3">
        <v>0</v>
      </c>
      <c r="L20" s="2">
        <v>3.2496309999999999</v>
      </c>
      <c r="M20" s="2">
        <v>4.4313149999999997</v>
      </c>
      <c r="N20" s="2">
        <v>5.3175780000000001</v>
      </c>
      <c r="O20" s="2">
        <v>6.2038399999999996</v>
      </c>
      <c r="P20" s="2">
        <v>6.2801489999999998</v>
      </c>
      <c r="Q20" s="2">
        <v>5.7732679999999998</v>
      </c>
      <c r="R20" s="2">
        <v>5.3497050000000002</v>
      </c>
      <c r="S20" s="2">
        <v>4.948321</v>
      </c>
      <c r="T20" s="2" t="e">
        <v>#N/A</v>
      </c>
      <c r="U20" s="2" t="e">
        <v>#N/A</v>
      </c>
      <c r="V20" s="2" t="e">
        <v>#N/A</v>
      </c>
      <c r="W20" s="2" t="e">
        <v>#N/A</v>
      </c>
      <c r="X20" s="2">
        <v>0.62918220000000002</v>
      </c>
      <c r="Y20" s="2">
        <v>0.58412419999999998</v>
      </c>
      <c r="Z20" s="2">
        <v>0.5377284</v>
      </c>
      <c r="AA20" s="2">
        <v>0.5</v>
      </c>
      <c r="AB20" s="2" t="e">
        <v>#N/A</v>
      </c>
      <c r="AC20" s="2" t="e">
        <v>#N/A</v>
      </c>
      <c r="AD20" s="2" t="e">
        <v>#N/A</v>
      </c>
      <c r="AE20" s="2" t="e">
        <v>#N/A</v>
      </c>
      <c r="AF20" s="2" t="e">
        <v>#N/A</v>
      </c>
      <c r="AG20" s="2" t="e">
        <v>#N/A</v>
      </c>
      <c r="AH20" s="2" t="e">
        <v>#N/A</v>
      </c>
      <c r="AI20" s="2" t="e">
        <v>#N/A</v>
      </c>
      <c r="AJ20" s="2" t="e">
        <v>#N/A</v>
      </c>
      <c r="AK20" s="2" t="e">
        <v>#N/A</v>
      </c>
      <c r="AL20" s="3">
        <v>0.82504580000000005</v>
      </c>
      <c r="AM20" s="3">
        <v>0.75063219999999997</v>
      </c>
      <c r="AN20" s="2" t="e">
        <v>#N/A</v>
      </c>
      <c r="AO20" s="2" t="e">
        <v>#N/A</v>
      </c>
      <c r="AP20" s="2" t="e">
        <v>#N/A</v>
      </c>
      <c r="AQ20" s="2" t="e">
        <v>#N/A</v>
      </c>
      <c r="AR20" s="2" t="e">
        <v>#N/A</v>
      </c>
      <c r="AS20" s="2" t="e">
        <v>#N/A</v>
      </c>
      <c r="AT20" s="2" t="e">
        <v>#N/A</v>
      </c>
      <c r="AU20" s="2" t="e">
        <v>#N/A</v>
      </c>
      <c r="AV20" s="1" t="s">
        <v>6</v>
      </c>
      <c r="AW20" s="3">
        <v>1.3846149999999999</v>
      </c>
      <c r="AX20" s="3">
        <v>4.5999999999999996</v>
      </c>
      <c r="AY20" s="2">
        <v>35.893639999999998</v>
      </c>
      <c r="AZ20" s="2">
        <v>10.11774</v>
      </c>
      <c r="BA20" s="2">
        <v>7.0545410000000004</v>
      </c>
      <c r="BB20" s="2">
        <v>25.930060000000001</v>
      </c>
      <c r="BC20" s="2">
        <v>20.78501</v>
      </c>
      <c r="BD20" s="3">
        <v>2.3239999999999998</v>
      </c>
      <c r="BE20" s="2">
        <v>45.654049999999998</v>
      </c>
      <c r="BF20" s="3">
        <v>3.8725000000000001</v>
      </c>
      <c r="BG20" s="2">
        <v>-12.588760000000001</v>
      </c>
      <c r="BH20" s="2">
        <v>23.634329999999999</v>
      </c>
      <c r="BI20" s="2">
        <v>30.32142</v>
      </c>
      <c r="BJ20" s="2">
        <v>32.058860000000003</v>
      </c>
      <c r="BK20" s="2">
        <v>35.686770000000003</v>
      </c>
      <c r="BL20" s="2">
        <v>25</v>
      </c>
      <c r="BM20" s="2">
        <v>15</v>
      </c>
      <c r="BN20" s="4">
        <v>26</v>
      </c>
      <c r="BO20" s="4">
        <v>1</v>
      </c>
      <c r="BP20" s="4">
        <v>2</v>
      </c>
      <c r="BQ20" s="4">
        <v>24</v>
      </c>
      <c r="BR20" s="2">
        <v>3.7037040000000001</v>
      </c>
      <c r="BS20" s="4">
        <v>17</v>
      </c>
      <c r="BT20" s="4">
        <v>1</v>
      </c>
      <c r="BU20" s="4">
        <v>26</v>
      </c>
      <c r="BV20" s="2">
        <v>65.384609999999995</v>
      </c>
      <c r="BW20" s="2">
        <v>11.8104</v>
      </c>
      <c r="BX20" s="2">
        <v>16454</v>
      </c>
      <c r="BY20" s="3">
        <v>47.800069999999998</v>
      </c>
      <c r="BZ20" s="3">
        <v>0.29050740000000003</v>
      </c>
      <c r="CA20" s="2">
        <v>1.70655</v>
      </c>
      <c r="CB20" s="3">
        <v>0.29050740000000003</v>
      </c>
      <c r="CC20" s="3">
        <v>0.56664749999999997</v>
      </c>
      <c r="CD20" s="3">
        <v>0.58158319999999997</v>
      </c>
      <c r="CE20" s="2">
        <v>2.6358009999999998</v>
      </c>
      <c r="CF20" s="3">
        <v>30601.23</v>
      </c>
      <c r="CG20" s="3">
        <v>32310.62</v>
      </c>
      <c r="CH20" s="2">
        <v>5.5860279999999998</v>
      </c>
      <c r="CI20" s="3">
        <v>4.6456520000000001</v>
      </c>
      <c r="CJ20" s="2">
        <v>-0.98268990000000001</v>
      </c>
      <c r="CK20" s="3">
        <v>55727.58</v>
      </c>
      <c r="CL20" s="3">
        <v>55788.160000000003</v>
      </c>
      <c r="CM20" s="2">
        <v>0.108707</v>
      </c>
      <c r="CN20" s="3">
        <v>3.0787499999999999</v>
      </c>
      <c r="CO20" s="3">
        <v>3.2001559999999998</v>
      </c>
      <c r="CP20" s="3">
        <v>3.1939609999999998</v>
      </c>
      <c r="CQ20" s="2">
        <v>9.9472159999999992</v>
      </c>
      <c r="CR20" s="2">
        <v>5.7760829999999999</v>
      </c>
      <c r="CS20" s="2">
        <v>5.981255</v>
      </c>
      <c r="CT20" s="2">
        <v>3.9433600000000002</v>
      </c>
      <c r="CU20" s="2">
        <v>143.45840000000001</v>
      </c>
      <c r="CV20" s="3">
        <v>0.25757039999999998</v>
      </c>
      <c r="CW20" s="2">
        <v>7.3406450000000003</v>
      </c>
      <c r="CX20" s="2">
        <v>1.5245569999999999</v>
      </c>
      <c r="CY20" s="2">
        <v>2.0341490000000002</v>
      </c>
      <c r="CZ20" s="2">
        <v>21.91919</v>
      </c>
    </row>
    <row r="21" spans="1:104" ht="15" customHeight="1" x14ac:dyDescent="0.2">
      <c r="A21" s="1">
        <f t="shared" si="0"/>
        <v>15</v>
      </c>
      <c r="B21" s="1" t="s">
        <v>57</v>
      </c>
      <c r="C21" s="1" t="s">
        <v>56</v>
      </c>
      <c r="D21" s="1" t="s">
        <v>33</v>
      </c>
      <c r="E21" s="1" t="s">
        <v>10</v>
      </c>
      <c r="F21" s="1" t="s">
        <v>11</v>
      </c>
      <c r="G21" s="2">
        <v>267280.7</v>
      </c>
      <c r="H21" s="2">
        <v>99.024000000000001</v>
      </c>
      <c r="I21" s="2">
        <v>264672</v>
      </c>
      <c r="J21" s="3">
        <v>663</v>
      </c>
      <c r="K21" s="3">
        <v>0</v>
      </c>
      <c r="L21" s="2">
        <v>0.87481149999999996</v>
      </c>
      <c r="M21" s="2">
        <v>0.97435899999999998</v>
      </c>
      <c r="N21" s="2">
        <v>1.116139</v>
      </c>
      <c r="O21" s="2">
        <v>1.3304739999999999</v>
      </c>
      <c r="P21" s="2">
        <v>46.888260000000002</v>
      </c>
      <c r="Q21" s="2">
        <v>35.153759999999998</v>
      </c>
      <c r="R21" s="2">
        <v>29.284220000000001</v>
      </c>
      <c r="S21" s="2">
        <v>22.579979999999999</v>
      </c>
      <c r="T21" s="2">
        <v>28.13916</v>
      </c>
      <c r="U21" s="2">
        <v>28.762810000000002</v>
      </c>
      <c r="V21" s="2">
        <v>23.54448</v>
      </c>
      <c r="W21" s="2">
        <v>18.83381</v>
      </c>
      <c r="X21" s="2">
        <v>29.952559999999998</v>
      </c>
      <c r="Y21" s="2">
        <v>24.557480000000002</v>
      </c>
      <c r="Z21" s="2">
        <v>20.318719999999999</v>
      </c>
      <c r="AA21" s="2">
        <v>16.119620000000001</v>
      </c>
      <c r="AB21" s="2">
        <v>31.097560000000001</v>
      </c>
      <c r="AC21" s="2">
        <v>37.139360000000003</v>
      </c>
      <c r="AD21" s="2">
        <v>26.913150000000002</v>
      </c>
      <c r="AE21" s="2">
        <v>22.664290000000001</v>
      </c>
      <c r="AF21" s="2">
        <v>1.7429300000000001</v>
      </c>
      <c r="AG21" s="2">
        <v>2.7184560000000002</v>
      </c>
      <c r="AH21" s="2">
        <v>3.4288129999999999</v>
      </c>
      <c r="AI21" s="2">
        <v>1.7265729999999999</v>
      </c>
      <c r="AJ21" s="2">
        <v>2.6791459999999998</v>
      </c>
      <c r="AK21" s="2">
        <v>3.3685239999999999</v>
      </c>
      <c r="AL21" s="3">
        <v>1.4589479999999999</v>
      </c>
      <c r="AM21" s="3">
        <v>1.200836</v>
      </c>
      <c r="AN21" s="2">
        <v>33.459119999999999</v>
      </c>
      <c r="AO21" s="2">
        <v>34.762160000000002</v>
      </c>
      <c r="AP21" s="2">
        <v>37.679670000000002</v>
      </c>
      <c r="AQ21" s="2">
        <v>40.231079999999999</v>
      </c>
      <c r="AR21" s="2">
        <v>-0.52990420000000005</v>
      </c>
      <c r="AS21" s="2">
        <v>-0.27249479999999998</v>
      </c>
      <c r="AT21" s="2">
        <v>-0.34545940000000003</v>
      </c>
      <c r="AU21" s="2">
        <v>-0.33708660000000001</v>
      </c>
      <c r="AV21" s="1" t="s">
        <v>6</v>
      </c>
      <c r="AW21" s="3">
        <v>1.2647060000000001</v>
      </c>
      <c r="AX21" s="3">
        <v>750</v>
      </c>
      <c r="AY21" s="2">
        <v>13.12218</v>
      </c>
      <c r="AZ21" s="2">
        <v>69.857320000000001</v>
      </c>
      <c r="BA21" s="2">
        <v>24</v>
      </c>
      <c r="BB21" s="2">
        <v>45.44258</v>
      </c>
      <c r="BC21" s="2">
        <v>31.59984</v>
      </c>
      <c r="BD21" s="3">
        <v>375.75</v>
      </c>
      <c r="BE21" s="2">
        <v>76.447109999999995</v>
      </c>
      <c r="BF21" s="3">
        <v>698.1</v>
      </c>
      <c r="BG21" s="2">
        <v>-5.0279319999999998</v>
      </c>
      <c r="BH21" s="2">
        <v>40.284230000000001</v>
      </c>
      <c r="BI21" s="2">
        <v>34.303620000000002</v>
      </c>
      <c r="BJ21" s="2">
        <v>33.020180000000003</v>
      </c>
      <c r="BK21" s="2">
        <v>30.827470000000002</v>
      </c>
      <c r="BL21" s="2">
        <v>30</v>
      </c>
      <c r="BM21" s="2">
        <v>28</v>
      </c>
      <c r="BN21" s="4">
        <v>34</v>
      </c>
      <c r="BO21" s="4">
        <v>0</v>
      </c>
      <c r="BP21" s="4">
        <v>2</v>
      </c>
      <c r="BQ21" s="4">
        <v>33</v>
      </c>
      <c r="BR21" s="2">
        <v>0</v>
      </c>
      <c r="BS21" s="4">
        <v>27</v>
      </c>
      <c r="BT21" s="4">
        <v>1</v>
      </c>
      <c r="BU21" s="4">
        <v>34</v>
      </c>
      <c r="BV21" s="2">
        <v>79.411770000000004</v>
      </c>
      <c r="BW21" s="2">
        <v>10.1823</v>
      </c>
      <c r="BX21" s="2">
        <v>403.13819999999998</v>
      </c>
      <c r="BY21" s="3">
        <v>0.71191870000000002</v>
      </c>
      <c r="BZ21" s="3">
        <v>0.17659420000000001</v>
      </c>
      <c r="CA21" s="2">
        <v>1.7966599999999999</v>
      </c>
      <c r="CB21" s="3">
        <v>0.17659420000000001</v>
      </c>
      <c r="CC21" s="3">
        <v>18.599499999999999</v>
      </c>
      <c r="CD21" s="3">
        <v>18.804490000000001</v>
      </c>
      <c r="CE21" s="2">
        <v>1.102149</v>
      </c>
      <c r="CF21" s="3">
        <v>8467.8940000000002</v>
      </c>
      <c r="CG21" s="3">
        <v>8517.3819999999996</v>
      </c>
      <c r="CH21" s="2">
        <v>0.58442349999999998</v>
      </c>
      <c r="CI21" s="3">
        <v>726.71429999999998</v>
      </c>
      <c r="CJ21" s="2">
        <v>3.20425</v>
      </c>
      <c r="CK21" s="3">
        <v>26320.1</v>
      </c>
      <c r="CL21" s="3">
        <v>26495.03</v>
      </c>
      <c r="CM21" s="2">
        <v>0.66462759999999999</v>
      </c>
      <c r="CN21" s="3">
        <v>573.96640000000002</v>
      </c>
      <c r="CO21" s="3">
        <v>631.94510000000002</v>
      </c>
      <c r="CP21" s="3">
        <v>666.26919999999996</v>
      </c>
      <c r="CQ21" s="2">
        <v>15.511990000000001</v>
      </c>
      <c r="CR21" s="2">
        <v>4.9141760000000003</v>
      </c>
      <c r="CS21" s="2">
        <v>-0.49067739999999999</v>
      </c>
      <c r="CT21" s="2">
        <v>10.10141</v>
      </c>
      <c r="CU21" s="2">
        <v>365.91629999999998</v>
      </c>
      <c r="CV21" s="3">
        <v>0.13690340000000001</v>
      </c>
      <c r="CW21" s="2">
        <v>18.136330000000001</v>
      </c>
      <c r="CX21" s="2">
        <v>6.5025209999999998</v>
      </c>
      <c r="CY21" s="2">
        <v>13.71641</v>
      </c>
      <c r="CZ21" s="2">
        <v>22</v>
      </c>
    </row>
    <row r="22" spans="1:104" ht="15" customHeight="1" x14ac:dyDescent="0.2">
      <c r="A22" s="1">
        <f t="shared" si="0"/>
        <v>16</v>
      </c>
      <c r="B22" s="1" t="s">
        <v>59</v>
      </c>
      <c r="C22" s="1" t="s">
        <v>58</v>
      </c>
      <c r="D22" s="1" t="s">
        <v>28</v>
      </c>
      <c r="E22" s="1" t="s">
        <v>60</v>
      </c>
      <c r="F22" s="1" t="s">
        <v>61</v>
      </c>
      <c r="G22" s="2">
        <v>62819.62</v>
      </c>
      <c r="H22" s="2">
        <v>82.077200000000005</v>
      </c>
      <c r="I22" s="2">
        <v>51560.59</v>
      </c>
      <c r="J22" s="3">
        <v>106.38</v>
      </c>
      <c r="K22" s="3">
        <v>0</v>
      </c>
      <c r="L22" s="2">
        <v>3.7601049999999998</v>
      </c>
      <c r="M22" s="2">
        <v>4.1455159999999998</v>
      </c>
      <c r="N22" s="2">
        <v>4.602519</v>
      </c>
      <c r="O22" s="2">
        <v>4.9679190000000002</v>
      </c>
      <c r="P22" s="2">
        <v>14.240959999999999</v>
      </c>
      <c r="Q22" s="2">
        <v>13.280900000000001</v>
      </c>
      <c r="R22" s="2">
        <v>12.033939999999999</v>
      </c>
      <c r="S22" s="2">
        <v>11.46485</v>
      </c>
      <c r="T22" s="2">
        <v>7.1989179999999999</v>
      </c>
      <c r="U22" s="2">
        <v>7.0300729999999998</v>
      </c>
      <c r="V22" s="2">
        <v>6.4264599999999996</v>
      </c>
      <c r="W22" s="2">
        <v>6.0541609999999997</v>
      </c>
      <c r="X22" s="2">
        <v>2.3127620000000002</v>
      </c>
      <c r="Y22" s="2">
        <v>2.1425299999999998</v>
      </c>
      <c r="Z22" s="2">
        <v>1.97</v>
      </c>
      <c r="AA22" s="2">
        <v>1.8215749999999999</v>
      </c>
      <c r="AB22" s="2">
        <v>7.3234849999999998</v>
      </c>
      <c r="AC22" s="2">
        <v>7.113829</v>
      </c>
      <c r="AD22" s="2">
        <v>6.6613990000000003</v>
      </c>
      <c r="AE22" s="2">
        <v>6.3843360000000002</v>
      </c>
      <c r="AF22" s="2">
        <v>6.0457359999999998</v>
      </c>
      <c r="AG22" s="2">
        <v>6.4463809999999997</v>
      </c>
      <c r="AH22" s="2">
        <v>7.2111400000000003</v>
      </c>
      <c r="AI22" s="2">
        <v>7.7515080000000003</v>
      </c>
      <c r="AJ22" s="2">
        <v>8.0340769999999999</v>
      </c>
      <c r="AK22" s="2">
        <v>8.7975539999999999</v>
      </c>
      <c r="AL22" s="3">
        <v>0.74066290000000001</v>
      </c>
      <c r="AM22" s="3">
        <v>0.67900369999999999</v>
      </c>
      <c r="AN22" s="2">
        <v>16.562629999999999</v>
      </c>
      <c r="AO22" s="2">
        <v>17.421980000000001</v>
      </c>
      <c r="AP22" s="2">
        <v>17.892320000000002</v>
      </c>
      <c r="AQ22" s="2">
        <v>17.946100000000001</v>
      </c>
      <c r="AR22" s="2">
        <v>1.8162510000000001</v>
      </c>
      <c r="AS22" s="2">
        <v>1.547015</v>
      </c>
      <c r="AT22" s="2">
        <v>1.269998</v>
      </c>
      <c r="AU22" s="2">
        <v>1.0917129999999999</v>
      </c>
      <c r="AV22" s="1" t="s">
        <v>6</v>
      </c>
      <c r="AW22" s="3">
        <v>1.1499999999999999</v>
      </c>
      <c r="AX22" s="3">
        <v>125</v>
      </c>
      <c r="AY22" s="2">
        <v>17.503299999999999</v>
      </c>
      <c r="AZ22" s="2">
        <v>16.13242</v>
      </c>
      <c r="BA22" s="2">
        <v>17.853159999999999</v>
      </c>
      <c r="BB22" s="2">
        <v>25.211860000000001</v>
      </c>
      <c r="BC22" s="2">
        <v>14.031510000000001</v>
      </c>
      <c r="BD22" s="3">
        <v>80.84</v>
      </c>
      <c r="BE22" s="2">
        <v>31.59328</v>
      </c>
      <c r="BF22" s="3">
        <v>112.4</v>
      </c>
      <c r="BG22" s="2">
        <v>-5.3558770000000004</v>
      </c>
      <c r="BH22" s="2">
        <v>53.682639999999999</v>
      </c>
      <c r="BI22" s="2">
        <v>54.762990000000002</v>
      </c>
      <c r="BJ22" s="2">
        <v>55.451309999999999</v>
      </c>
      <c r="BK22" s="2">
        <v>56.087580000000003</v>
      </c>
      <c r="BL22" s="2">
        <v>17</v>
      </c>
      <c r="BM22" s="2">
        <v>15</v>
      </c>
      <c r="BN22" s="4">
        <v>20</v>
      </c>
      <c r="BO22" s="4">
        <v>0</v>
      </c>
      <c r="BP22" s="4">
        <v>1</v>
      </c>
      <c r="BQ22" s="4">
        <v>20</v>
      </c>
      <c r="BR22" s="2">
        <v>0</v>
      </c>
      <c r="BS22" s="4">
        <v>18</v>
      </c>
      <c r="BT22" s="4">
        <v>1</v>
      </c>
      <c r="BU22" s="4">
        <v>20</v>
      </c>
      <c r="BV22" s="2">
        <v>90</v>
      </c>
      <c r="BW22" s="2">
        <v>7.6669999999999998</v>
      </c>
      <c r="BX22" s="2">
        <v>590.52099999999996</v>
      </c>
      <c r="BY22" s="3">
        <v>0.90959789999999996</v>
      </c>
      <c r="BZ22" s="3">
        <v>0.15403310000000001</v>
      </c>
      <c r="CA22" s="2">
        <v>1.1645799999999999</v>
      </c>
      <c r="CB22" s="3">
        <v>0.15403310000000001</v>
      </c>
      <c r="CC22" s="3">
        <v>7.8832579999999997</v>
      </c>
      <c r="CD22" s="3">
        <v>8.0449660000000005</v>
      </c>
      <c r="CE22" s="2">
        <v>2.051282</v>
      </c>
      <c r="CF22" s="3">
        <v>7510.4930000000004</v>
      </c>
      <c r="CG22" s="3">
        <v>7856.152</v>
      </c>
      <c r="CH22" s="2">
        <v>4.6023610000000001</v>
      </c>
      <c r="CI22" s="3">
        <v>122.9474</v>
      </c>
      <c r="CJ22" s="2">
        <v>1.669478</v>
      </c>
      <c r="CK22" s="3">
        <v>64218.7</v>
      </c>
      <c r="CL22" s="3">
        <v>66327.199999999997</v>
      </c>
      <c r="CM22" s="2">
        <v>3.2833100000000002</v>
      </c>
      <c r="CN22" s="3">
        <v>101.2474</v>
      </c>
      <c r="CO22" s="3">
        <v>108.30710000000001</v>
      </c>
      <c r="CP22" s="3">
        <v>106.8023</v>
      </c>
      <c r="CQ22" s="2">
        <v>5.0693510000000002</v>
      </c>
      <c r="CR22" s="2">
        <v>-1.7792520000000001</v>
      </c>
      <c r="CS22" s="2">
        <v>-0.39541720000000002</v>
      </c>
      <c r="CT22" s="2">
        <v>6.9726710000000001</v>
      </c>
      <c r="CU22" s="2">
        <v>86.395920000000004</v>
      </c>
      <c r="CV22" s="3">
        <v>0.13753009999999999</v>
      </c>
      <c r="CW22" s="2" t="e">
        <v>#N/A</v>
      </c>
      <c r="CX22" s="2">
        <v>7.3565189999999996</v>
      </c>
      <c r="CY22" s="2" t="e">
        <v>#N/A</v>
      </c>
      <c r="CZ22" s="2">
        <v>22.454550000000001</v>
      </c>
    </row>
    <row r="23" spans="1:104" ht="15" customHeight="1" x14ac:dyDescent="0.2">
      <c r="A23" s="1">
        <f t="shared" si="0"/>
        <v>17</v>
      </c>
      <c r="B23" s="1" t="s">
        <v>63</v>
      </c>
      <c r="C23" s="1" t="s">
        <v>62</v>
      </c>
      <c r="D23" s="1" t="s">
        <v>28</v>
      </c>
      <c r="E23" s="1" t="s">
        <v>29</v>
      </c>
      <c r="F23" s="1" t="s">
        <v>30</v>
      </c>
      <c r="G23" s="2">
        <v>210083.1</v>
      </c>
      <c r="H23" s="2">
        <v>24.419599999999999</v>
      </c>
      <c r="I23" s="2">
        <v>51301.46</v>
      </c>
      <c r="J23" s="3">
        <v>1990</v>
      </c>
      <c r="K23" s="3">
        <v>0</v>
      </c>
      <c r="L23" s="2">
        <v>0.65326640000000002</v>
      </c>
      <c r="M23" s="2">
        <v>0.75376889999999996</v>
      </c>
      <c r="N23" s="2">
        <v>0.85427140000000001</v>
      </c>
      <c r="O23" s="2">
        <v>0.9273536</v>
      </c>
      <c r="P23" s="2">
        <v>62.013089999999998</v>
      </c>
      <c r="Q23" s="2">
        <v>52.563459999999999</v>
      </c>
      <c r="R23" s="2">
        <v>46.727020000000003</v>
      </c>
      <c r="S23" s="2">
        <v>42.673369999999998</v>
      </c>
      <c r="T23" s="2">
        <v>27.02862</v>
      </c>
      <c r="U23" s="2">
        <v>31.873999999999999</v>
      </c>
      <c r="V23" s="2">
        <v>27.782710000000002</v>
      </c>
      <c r="W23" s="2">
        <v>24.908259999999999</v>
      </c>
      <c r="X23" s="2">
        <v>16.75648</v>
      </c>
      <c r="Y23" s="2">
        <v>13.85933</v>
      </c>
      <c r="Z23" s="2">
        <v>11.800890000000001</v>
      </c>
      <c r="AA23" s="2">
        <v>10.012280000000001</v>
      </c>
      <c r="AB23" s="2">
        <v>50.709319999999998</v>
      </c>
      <c r="AC23" s="2">
        <v>45.809780000000003</v>
      </c>
      <c r="AD23" s="2">
        <v>40.431820000000002</v>
      </c>
      <c r="AE23" s="2">
        <v>36.703150000000001</v>
      </c>
      <c r="AF23" s="2">
        <v>1.9274009999999999</v>
      </c>
      <c r="AG23" s="2">
        <v>2.2282389999999999</v>
      </c>
      <c r="AH23" s="2">
        <v>2.4968729999999999</v>
      </c>
      <c r="AI23" s="2">
        <v>1.8256220000000001</v>
      </c>
      <c r="AJ23" s="2">
        <v>2.0863079999999998</v>
      </c>
      <c r="AK23" s="2">
        <v>2.3069470000000001</v>
      </c>
      <c r="AL23" s="3">
        <v>4.9606349999999999</v>
      </c>
      <c r="AM23" s="3">
        <v>4.4075220000000002</v>
      </c>
      <c r="AN23" s="2">
        <v>45.716259999999998</v>
      </c>
      <c r="AO23" s="2">
        <v>45.652619999999999</v>
      </c>
      <c r="AP23" s="2">
        <v>46.183950000000003</v>
      </c>
      <c r="AQ23" s="2">
        <v>46.58905</v>
      </c>
      <c r="AR23" s="2">
        <v>-1.732278</v>
      </c>
      <c r="AS23" s="2">
        <v>-1.7769839999999999</v>
      </c>
      <c r="AT23" s="2">
        <v>-1.890042</v>
      </c>
      <c r="AU23" s="2">
        <v>-2.050643</v>
      </c>
      <c r="AV23" s="1" t="s">
        <v>49</v>
      </c>
      <c r="AW23" s="3">
        <v>1.6904760000000001</v>
      </c>
      <c r="AX23" s="3">
        <v>1950</v>
      </c>
      <c r="AY23" s="2">
        <v>-2.0100470000000001</v>
      </c>
      <c r="AZ23" s="2">
        <v>26.366849999999999</v>
      </c>
      <c r="BA23" s="2">
        <v>12.92872</v>
      </c>
      <c r="BB23" s="2">
        <v>86.504220000000004</v>
      </c>
      <c r="BC23" s="2">
        <v>37.716259999999998</v>
      </c>
      <c r="BD23" s="3">
        <v>1037</v>
      </c>
      <c r="BE23" s="2">
        <v>91.899699999999996</v>
      </c>
      <c r="BF23" s="3">
        <v>2036</v>
      </c>
      <c r="BG23" s="2">
        <v>-2.2593320000000001</v>
      </c>
      <c r="BH23" s="2">
        <v>40.544060000000002</v>
      </c>
      <c r="BI23" s="2">
        <v>40.858510000000003</v>
      </c>
      <c r="BJ23" s="2">
        <v>39.314039999999999</v>
      </c>
      <c r="BK23" s="2">
        <v>38.714199999999998</v>
      </c>
      <c r="BL23" s="2">
        <v>20</v>
      </c>
      <c r="BM23" s="2">
        <v>19</v>
      </c>
      <c r="BN23" s="4">
        <v>21</v>
      </c>
      <c r="BO23" s="4">
        <v>0</v>
      </c>
      <c r="BP23" s="4">
        <v>0</v>
      </c>
      <c r="BQ23" s="4">
        <v>21</v>
      </c>
      <c r="BR23" s="2">
        <v>0</v>
      </c>
      <c r="BS23" s="4">
        <v>8</v>
      </c>
      <c r="BT23" s="4">
        <v>1</v>
      </c>
      <c r="BU23" s="4">
        <v>21</v>
      </c>
      <c r="BV23" s="2">
        <v>38.095239999999997</v>
      </c>
      <c r="BW23" s="2">
        <v>9.1417099999999998</v>
      </c>
      <c r="BX23" s="2">
        <v>105.5694</v>
      </c>
      <c r="BY23" s="3">
        <v>6.4083810000000005E-2</v>
      </c>
      <c r="BZ23" s="3">
        <v>6.0703020000000003E-2</v>
      </c>
      <c r="CA23" s="2">
        <v>0.78759900000000005</v>
      </c>
      <c r="CB23" s="3">
        <v>6.0703020000000003E-2</v>
      </c>
      <c r="CC23" s="3">
        <v>36.136650000000003</v>
      </c>
      <c r="CD23" s="3">
        <v>37.693210000000001</v>
      </c>
      <c r="CE23" s="2">
        <v>4.3074130000000004</v>
      </c>
      <c r="CF23" s="3">
        <v>5350.1360000000004</v>
      </c>
      <c r="CG23" s="3">
        <v>5566.0020000000004</v>
      </c>
      <c r="CH23" s="2">
        <v>4.03477</v>
      </c>
      <c r="CI23" s="3">
        <v>1732.095</v>
      </c>
      <c r="CJ23" s="2">
        <v>12.58042</v>
      </c>
      <c r="CK23" s="3">
        <v>13165.12</v>
      </c>
      <c r="CL23" s="3">
        <v>13564.17</v>
      </c>
      <c r="CM23" s="2">
        <v>3.0311349999999999</v>
      </c>
      <c r="CN23" s="3">
        <v>1671.7260000000001</v>
      </c>
      <c r="CO23" s="3">
        <v>1955.9490000000001</v>
      </c>
      <c r="CP23" s="3">
        <v>1938.3</v>
      </c>
      <c r="CQ23" s="2">
        <v>19.038679999999999</v>
      </c>
      <c r="CR23" s="2">
        <v>1.7408969999999999</v>
      </c>
      <c r="CS23" s="2">
        <v>2.6673079999999998</v>
      </c>
      <c r="CT23" s="2">
        <v>17.001799999999999</v>
      </c>
      <c r="CU23" s="2">
        <v>108.9046</v>
      </c>
      <c r="CV23" s="3">
        <v>5.1838790000000003E-2</v>
      </c>
      <c r="CW23" s="2" t="e">
        <v>#N/A</v>
      </c>
      <c r="CX23" s="2">
        <v>6.5629759999999999</v>
      </c>
      <c r="CY23" s="2" t="e">
        <v>#N/A</v>
      </c>
      <c r="CZ23" s="2">
        <v>22.535350000000001</v>
      </c>
    </row>
    <row r="24" spans="1:104" ht="15" customHeight="1" x14ac:dyDescent="0.2">
      <c r="A24" s="1">
        <f t="shared" si="0"/>
        <v>18</v>
      </c>
      <c r="B24" s="1" t="s">
        <v>65</v>
      </c>
      <c r="C24" s="1" t="s">
        <v>64</v>
      </c>
      <c r="D24" s="1" t="s">
        <v>66</v>
      </c>
      <c r="E24" s="1" t="s">
        <v>4</v>
      </c>
      <c r="F24" s="1" t="s">
        <v>5</v>
      </c>
      <c r="G24" s="2">
        <v>35771.46</v>
      </c>
      <c r="H24" s="2" t="e">
        <v>#N/A</v>
      </c>
      <c r="I24" s="2" t="e">
        <v>#N/A</v>
      </c>
      <c r="J24" s="3">
        <v>9.9659999999999993</v>
      </c>
      <c r="K24" s="3">
        <v>0</v>
      </c>
      <c r="L24" s="2">
        <v>8.0272930000000002</v>
      </c>
      <c r="M24" s="2">
        <v>9.2313869999999998</v>
      </c>
      <c r="N24" s="2">
        <v>9.5324109999999997</v>
      </c>
      <c r="O24" s="2">
        <v>9.5324109999999997</v>
      </c>
      <c r="P24" s="2">
        <v>9.0599989999999995</v>
      </c>
      <c r="Q24" s="2">
        <v>7.317615</v>
      </c>
      <c r="R24" s="2">
        <v>7.1911509999999996</v>
      </c>
      <c r="S24" s="2">
        <v>7.0669519999999997</v>
      </c>
      <c r="T24" s="2" t="e">
        <v>#N/A</v>
      </c>
      <c r="U24" s="2" t="e">
        <v>#N/A</v>
      </c>
      <c r="V24" s="2" t="e">
        <v>#N/A</v>
      </c>
      <c r="W24" s="2" t="e">
        <v>#N/A</v>
      </c>
      <c r="X24" s="2">
        <v>1.1642520000000001</v>
      </c>
      <c r="Y24" s="2">
        <v>1.1588369999999999</v>
      </c>
      <c r="Z24" s="2">
        <v>1.1073329999999999</v>
      </c>
      <c r="AA24" s="2">
        <v>1.0647439999999999</v>
      </c>
      <c r="AB24" s="2" t="e">
        <v>#N/A</v>
      </c>
      <c r="AC24" s="2" t="e">
        <v>#N/A</v>
      </c>
      <c r="AD24" s="2" t="e">
        <v>#N/A</v>
      </c>
      <c r="AE24" s="2" t="e">
        <v>#N/A</v>
      </c>
      <c r="AF24" s="2" t="e">
        <v>#N/A</v>
      </c>
      <c r="AG24" s="2" t="e">
        <v>#N/A</v>
      </c>
      <c r="AH24" s="2" t="e">
        <v>#N/A</v>
      </c>
      <c r="AI24" s="2" t="e">
        <v>#N/A</v>
      </c>
      <c r="AJ24" s="2" t="e">
        <v>#N/A</v>
      </c>
      <c r="AK24" s="2" t="e">
        <v>#N/A</v>
      </c>
      <c r="AL24" s="3">
        <v>0.65674049999999995</v>
      </c>
      <c r="AM24" s="3">
        <v>0.64550560000000001</v>
      </c>
      <c r="AN24" s="2" t="e">
        <v>#N/A</v>
      </c>
      <c r="AO24" s="2" t="e">
        <v>#N/A</v>
      </c>
      <c r="AP24" s="2" t="e">
        <v>#N/A</v>
      </c>
      <c r="AQ24" s="2" t="e">
        <v>#N/A</v>
      </c>
      <c r="AR24" s="2" t="e">
        <v>#N/A</v>
      </c>
      <c r="AS24" s="2" t="e">
        <v>#N/A</v>
      </c>
      <c r="AT24" s="2" t="e">
        <v>#N/A</v>
      </c>
      <c r="AU24" s="2" t="e">
        <v>#N/A</v>
      </c>
      <c r="AV24" s="1" t="s">
        <v>6</v>
      </c>
      <c r="AW24" s="3">
        <v>1.3653850000000001</v>
      </c>
      <c r="AX24" s="3">
        <v>12.684839999999999</v>
      </c>
      <c r="AY24" s="2">
        <v>27.281179999999999</v>
      </c>
      <c r="AZ24" s="2">
        <v>15.836270000000001</v>
      </c>
      <c r="BA24" s="2">
        <v>11.20124</v>
      </c>
      <c r="BB24" s="2">
        <v>18.699369999999998</v>
      </c>
      <c r="BC24" s="2">
        <v>-0.63808560000000003</v>
      </c>
      <c r="BD24" s="3">
        <v>8.1850000000000005</v>
      </c>
      <c r="BE24" s="2">
        <v>21.759309999999999</v>
      </c>
      <c r="BF24" s="3">
        <v>12.157999999999999</v>
      </c>
      <c r="BG24" s="2">
        <v>-18.02929</v>
      </c>
      <c r="BH24" s="2">
        <v>70.476190000000003</v>
      </c>
      <c r="BI24" s="2">
        <v>67.566389999999998</v>
      </c>
      <c r="BJ24" s="2">
        <v>68.769199999999998</v>
      </c>
      <c r="BK24" s="2">
        <v>68.596779999999995</v>
      </c>
      <c r="BL24" s="2">
        <v>24</v>
      </c>
      <c r="BM24" s="2">
        <v>19</v>
      </c>
      <c r="BN24" s="4">
        <v>26</v>
      </c>
      <c r="BO24" s="4">
        <v>2</v>
      </c>
      <c r="BP24" s="4">
        <v>0</v>
      </c>
      <c r="BQ24" s="4">
        <v>24</v>
      </c>
      <c r="BR24" s="2">
        <v>7.6923079999999997</v>
      </c>
      <c r="BS24" s="4">
        <v>18</v>
      </c>
      <c r="BT24" s="4">
        <v>0</v>
      </c>
      <c r="BU24" s="4">
        <v>26</v>
      </c>
      <c r="BV24" s="2">
        <v>69.230770000000007</v>
      </c>
      <c r="BW24" s="2">
        <v>7.3336600000000001</v>
      </c>
      <c r="BX24" s="2">
        <v>3589.35</v>
      </c>
      <c r="BY24" s="3">
        <v>5.8761020000000004</v>
      </c>
      <c r="BZ24" s="3">
        <v>0.1637094</v>
      </c>
      <c r="CA24" s="2">
        <v>0.99538199999999999</v>
      </c>
      <c r="CB24" s="3">
        <v>0.1637094</v>
      </c>
      <c r="CC24" s="3">
        <v>1.2587109999999999</v>
      </c>
      <c r="CD24" s="3">
        <v>1.3547560000000001</v>
      </c>
      <c r="CE24" s="2">
        <v>7.6303479999999997</v>
      </c>
      <c r="CF24" s="3">
        <v>6236.982</v>
      </c>
      <c r="CG24" s="3">
        <v>6481.0280000000002</v>
      </c>
      <c r="CH24" s="2">
        <v>3.91289</v>
      </c>
      <c r="CI24" s="3">
        <v>12.84285</v>
      </c>
      <c r="CJ24" s="2">
        <v>-1.2303170000000001</v>
      </c>
      <c r="CK24" s="3">
        <v>11512.9</v>
      </c>
      <c r="CL24" s="3">
        <v>11678.4</v>
      </c>
      <c r="CM24" s="2">
        <v>1.437497</v>
      </c>
      <c r="CN24" s="3">
        <v>10.088939999999999</v>
      </c>
      <c r="CO24" s="3">
        <v>9.7100779999999993</v>
      </c>
      <c r="CP24" s="3">
        <v>9.6462310000000002</v>
      </c>
      <c r="CQ24" s="2">
        <v>-1.218599</v>
      </c>
      <c r="CR24" s="2">
        <v>2.6356220000000001</v>
      </c>
      <c r="CS24" s="2">
        <v>3.3149600000000001</v>
      </c>
      <c r="CT24" s="2">
        <v>-3.7552539999999999</v>
      </c>
      <c r="CU24" s="2">
        <v>43.979019999999998</v>
      </c>
      <c r="CV24" s="3">
        <v>0.1229444</v>
      </c>
      <c r="CW24" s="2">
        <v>12.764609999999999</v>
      </c>
      <c r="CX24" s="2">
        <v>3.1553879999999999</v>
      </c>
      <c r="CY24" s="2">
        <v>7.5424870000000004</v>
      </c>
      <c r="CZ24" s="2">
        <v>23.021049999999999</v>
      </c>
    </row>
    <row r="25" spans="1:104" ht="15" customHeight="1" x14ac:dyDescent="0.2">
      <c r="A25" s="1">
        <f t="shared" si="0"/>
        <v>19</v>
      </c>
      <c r="B25" s="1" t="s">
        <v>68</v>
      </c>
      <c r="C25" s="1" t="s">
        <v>67</v>
      </c>
      <c r="D25" s="1" t="s">
        <v>28</v>
      </c>
      <c r="E25" s="1" t="s">
        <v>29</v>
      </c>
      <c r="F25" s="1" t="s">
        <v>69</v>
      </c>
      <c r="G25" s="2">
        <v>228909.8</v>
      </c>
      <c r="H25" s="2">
        <v>43.408200000000001</v>
      </c>
      <c r="I25" s="2">
        <v>99365.63</v>
      </c>
      <c r="J25" s="3">
        <v>427.1</v>
      </c>
      <c r="K25" s="3">
        <v>0</v>
      </c>
      <c r="L25" s="2">
        <v>1.4048229999999999</v>
      </c>
      <c r="M25" s="2">
        <v>1.512526</v>
      </c>
      <c r="N25" s="2">
        <v>1.653009</v>
      </c>
      <c r="O25" s="2">
        <v>1.813393</v>
      </c>
      <c r="P25" s="2">
        <v>37.930729999999997</v>
      </c>
      <c r="Q25" s="2">
        <v>35.414589999999997</v>
      </c>
      <c r="R25" s="2">
        <v>32.65907</v>
      </c>
      <c r="S25" s="2">
        <v>30.014060000000001</v>
      </c>
      <c r="T25" s="2">
        <v>20.19041</v>
      </c>
      <c r="U25" s="2">
        <v>23.54569</v>
      </c>
      <c r="V25" s="2">
        <v>21.434439999999999</v>
      </c>
      <c r="W25" s="2">
        <v>19.650279999999999</v>
      </c>
      <c r="X25" s="2">
        <v>8.4490750000000006</v>
      </c>
      <c r="Y25" s="2">
        <v>7.5551550000000001</v>
      </c>
      <c r="Z25" s="2">
        <v>6.8665580000000004</v>
      </c>
      <c r="AA25" s="2">
        <v>6.1800879999999996</v>
      </c>
      <c r="AB25" s="2">
        <v>32.52131</v>
      </c>
      <c r="AC25" s="2">
        <v>27.43394</v>
      </c>
      <c r="AD25" s="2">
        <v>25.994910000000001</v>
      </c>
      <c r="AE25" s="2">
        <v>24.083100000000002</v>
      </c>
      <c r="AF25" s="2">
        <v>2.8625379999999998</v>
      </c>
      <c r="AG25" s="2">
        <v>3.1937489999999999</v>
      </c>
      <c r="AH25" s="2">
        <v>3.425805</v>
      </c>
      <c r="AI25" s="2">
        <v>2.877335</v>
      </c>
      <c r="AJ25" s="2">
        <v>3.174865</v>
      </c>
      <c r="AK25" s="2">
        <v>3.360007</v>
      </c>
      <c r="AL25" s="3">
        <v>3.9372500000000001</v>
      </c>
      <c r="AM25" s="3">
        <v>3.6189450000000001</v>
      </c>
      <c r="AN25" s="2">
        <v>23.504470000000001</v>
      </c>
      <c r="AO25" s="2">
        <v>23.69079</v>
      </c>
      <c r="AP25" s="2">
        <v>23.99625</v>
      </c>
      <c r="AQ25" s="2">
        <v>24.197369999999999</v>
      </c>
      <c r="AR25" s="2">
        <v>0.3372753</v>
      </c>
      <c r="AS25" s="2">
        <v>0.1210841</v>
      </c>
      <c r="AT25" s="2">
        <v>-0.12749160000000001</v>
      </c>
      <c r="AU25" s="2">
        <v>-0.38480310000000001</v>
      </c>
      <c r="AV25" s="1" t="s">
        <v>49</v>
      </c>
      <c r="AW25" s="3">
        <v>1.8518520000000001</v>
      </c>
      <c r="AX25" s="3">
        <v>418</v>
      </c>
      <c r="AY25" s="2">
        <v>-2.1306509999999999</v>
      </c>
      <c r="AZ25" s="2">
        <v>21.333449999999999</v>
      </c>
      <c r="BA25" s="2">
        <v>9.6999999999999993</v>
      </c>
      <c r="BB25" s="2">
        <v>29.699369999999998</v>
      </c>
      <c r="BC25" s="2">
        <v>28.02758</v>
      </c>
      <c r="BD25" s="3">
        <v>300.7</v>
      </c>
      <c r="BE25" s="2">
        <v>42.035249999999998</v>
      </c>
      <c r="BF25" s="3">
        <v>442.6</v>
      </c>
      <c r="BG25" s="2">
        <v>-3.5020349999999998</v>
      </c>
      <c r="BH25" s="2">
        <v>53.295830000000002</v>
      </c>
      <c r="BI25" s="2">
        <v>53.282209999999999</v>
      </c>
      <c r="BJ25" s="2">
        <v>53.239530000000002</v>
      </c>
      <c r="BK25" s="2">
        <v>53.44867</v>
      </c>
      <c r="BL25" s="2">
        <v>24</v>
      </c>
      <c r="BM25" s="2">
        <v>20</v>
      </c>
      <c r="BN25" s="4">
        <v>27</v>
      </c>
      <c r="BO25" s="4">
        <v>1</v>
      </c>
      <c r="BP25" s="4">
        <v>3</v>
      </c>
      <c r="BQ25" s="4">
        <v>24</v>
      </c>
      <c r="BR25" s="2">
        <v>3.5714290000000002</v>
      </c>
      <c r="BS25" s="4">
        <v>8</v>
      </c>
      <c r="BT25" s="4">
        <v>4</v>
      </c>
      <c r="BU25" s="4">
        <v>27</v>
      </c>
      <c r="BV25" s="2">
        <v>29.629629999999999</v>
      </c>
      <c r="BW25" s="2">
        <v>6.6137199999999998</v>
      </c>
      <c r="BX25" s="2">
        <v>535.96310000000005</v>
      </c>
      <c r="BY25" s="3">
        <v>0.35230669999999997</v>
      </c>
      <c r="BZ25" s="3">
        <v>6.5733379999999994E-2</v>
      </c>
      <c r="CA25" s="2">
        <v>0.82458500000000001</v>
      </c>
      <c r="CB25" s="3">
        <v>6.5733379999999994E-2</v>
      </c>
      <c r="CC25" s="3">
        <v>11.85345</v>
      </c>
      <c r="CD25" s="3">
        <v>12.102679999999999</v>
      </c>
      <c r="CE25" s="2">
        <v>2.1025779999999998</v>
      </c>
      <c r="CF25" s="3">
        <v>7930.2690000000002</v>
      </c>
      <c r="CG25" s="3">
        <v>8162.2979999999998</v>
      </c>
      <c r="CH25" s="2">
        <v>2.9258609999999998</v>
      </c>
      <c r="CI25" s="3">
        <v>382.86959999999999</v>
      </c>
      <c r="CJ25" s="2">
        <v>9.1755630000000004</v>
      </c>
      <c r="CK25" s="3">
        <v>40332.28</v>
      </c>
      <c r="CL25" s="3">
        <v>41287.72</v>
      </c>
      <c r="CM25" s="2">
        <v>2.3689269999999998</v>
      </c>
      <c r="CN25" s="3">
        <v>375.8023</v>
      </c>
      <c r="CO25" s="3">
        <v>415.76769999999999</v>
      </c>
      <c r="CP25" s="3">
        <v>408.0788</v>
      </c>
      <c r="CQ25" s="2">
        <v>13.650180000000001</v>
      </c>
      <c r="CR25" s="2">
        <v>2.7256369999999999</v>
      </c>
      <c r="CS25" s="2">
        <v>4.6611549999999999</v>
      </c>
      <c r="CT25" s="2">
        <v>10.63467</v>
      </c>
      <c r="CU25" s="2">
        <v>128.79069999999999</v>
      </c>
      <c r="CV25" s="3">
        <v>5.6262649999999997E-2</v>
      </c>
      <c r="CW25" s="2" t="e">
        <v>#N/A</v>
      </c>
      <c r="CX25" s="2">
        <v>5.8333539999999999</v>
      </c>
      <c r="CY25" s="2" t="e">
        <v>#N/A</v>
      </c>
      <c r="CZ25" s="2">
        <v>23.06061</v>
      </c>
    </row>
    <row r="26" spans="1:104" ht="15" customHeight="1" x14ac:dyDescent="0.2">
      <c r="A26" s="1">
        <f t="shared" si="0"/>
        <v>20</v>
      </c>
      <c r="B26" s="1" t="s">
        <v>71</v>
      </c>
      <c r="C26" s="1" t="s">
        <v>70</v>
      </c>
      <c r="D26" s="1" t="s">
        <v>28</v>
      </c>
      <c r="E26" s="1" t="s">
        <v>72</v>
      </c>
      <c r="F26" s="1" t="s">
        <v>73</v>
      </c>
      <c r="G26" s="2">
        <v>85986.25</v>
      </c>
      <c r="H26" s="2">
        <v>96.965100000000007</v>
      </c>
      <c r="I26" s="2">
        <v>83376.66</v>
      </c>
      <c r="J26" s="3">
        <v>164.2</v>
      </c>
      <c r="K26" s="3">
        <v>0</v>
      </c>
      <c r="L26" s="2">
        <v>1.7965899999999999</v>
      </c>
      <c r="M26" s="2">
        <v>1.9457979999999999</v>
      </c>
      <c r="N26" s="2">
        <v>2.070646</v>
      </c>
      <c r="O26" s="2">
        <v>2.2076739999999999</v>
      </c>
      <c r="P26" s="2">
        <v>27.110610000000001</v>
      </c>
      <c r="Q26" s="2">
        <v>24.99239</v>
      </c>
      <c r="R26" s="2">
        <v>22.900980000000001</v>
      </c>
      <c r="S26" s="2">
        <v>21.26943</v>
      </c>
      <c r="T26" s="2">
        <v>10.857760000000001</v>
      </c>
      <c r="U26" s="2">
        <v>12.34577</v>
      </c>
      <c r="V26" s="2">
        <v>11.48556</v>
      </c>
      <c r="W26" s="2">
        <v>10.64222</v>
      </c>
      <c r="X26" s="2">
        <v>3.6113300000000002</v>
      </c>
      <c r="Y26" s="2">
        <v>3.3578730000000001</v>
      </c>
      <c r="Z26" s="2">
        <v>3.1098479999999999</v>
      </c>
      <c r="AA26" s="2">
        <v>2.8746499999999999</v>
      </c>
      <c r="AB26" s="2">
        <v>14.79092</v>
      </c>
      <c r="AC26" s="2">
        <v>13.38223</v>
      </c>
      <c r="AD26" s="2">
        <v>12.606479999999999</v>
      </c>
      <c r="AE26" s="2">
        <v>11.841889999999999</v>
      </c>
      <c r="AF26" s="2">
        <v>2.599955</v>
      </c>
      <c r="AG26" s="2">
        <v>2.9081549999999998</v>
      </c>
      <c r="AH26" s="2">
        <v>3.238766</v>
      </c>
      <c r="AI26" s="2">
        <v>2.9042539999999999</v>
      </c>
      <c r="AJ26" s="2">
        <v>3.221069</v>
      </c>
      <c r="AK26" s="2">
        <v>3.5463290000000001</v>
      </c>
      <c r="AL26" s="3">
        <v>3.2598189999999998</v>
      </c>
      <c r="AM26" s="3">
        <v>2.9832260000000002</v>
      </c>
      <c r="AN26" s="2">
        <v>24.479520000000001</v>
      </c>
      <c r="AO26" s="2">
        <v>26.328700000000001</v>
      </c>
      <c r="AP26" s="2">
        <v>26.644390000000001</v>
      </c>
      <c r="AQ26" s="2">
        <v>26.965440000000001</v>
      </c>
      <c r="AR26" s="2">
        <v>1.400344</v>
      </c>
      <c r="AS26" s="2">
        <v>1.2935540000000001</v>
      </c>
      <c r="AT26" s="2">
        <v>1.115774</v>
      </c>
      <c r="AU26" s="2">
        <v>0.92296820000000002</v>
      </c>
      <c r="AV26" s="1" t="s">
        <v>6</v>
      </c>
      <c r="AW26" s="3">
        <v>1.48</v>
      </c>
      <c r="AX26" s="3">
        <v>179</v>
      </c>
      <c r="AY26" s="2">
        <v>9.0134030000000003</v>
      </c>
      <c r="AZ26" s="2">
        <v>13.43558</v>
      </c>
      <c r="BA26" s="2">
        <v>7.9</v>
      </c>
      <c r="BB26" s="2">
        <v>28.161100000000001</v>
      </c>
      <c r="BC26" s="2">
        <v>24.018129999999999</v>
      </c>
      <c r="BD26" s="3">
        <v>114.44</v>
      </c>
      <c r="BE26" s="2">
        <v>43.481290000000001</v>
      </c>
      <c r="BF26" s="3">
        <v>167.94</v>
      </c>
      <c r="BG26" s="2">
        <v>-2.2269899999999998</v>
      </c>
      <c r="BH26" s="2">
        <v>48.685400000000001</v>
      </c>
      <c r="BI26" s="2">
        <v>48.674950000000003</v>
      </c>
      <c r="BJ26" s="2">
        <v>47.502960000000002</v>
      </c>
      <c r="BK26" s="2">
        <v>46.593490000000003</v>
      </c>
      <c r="BL26" s="2">
        <v>23</v>
      </c>
      <c r="BM26" s="2">
        <v>20</v>
      </c>
      <c r="BN26" s="4">
        <v>25</v>
      </c>
      <c r="BO26" s="4">
        <v>0</v>
      </c>
      <c r="BP26" s="4">
        <v>1</v>
      </c>
      <c r="BQ26" s="4">
        <v>24</v>
      </c>
      <c r="BR26" s="2">
        <v>0</v>
      </c>
      <c r="BS26" s="4">
        <v>16</v>
      </c>
      <c r="BT26" s="4">
        <v>2</v>
      </c>
      <c r="BU26" s="4">
        <v>25</v>
      </c>
      <c r="BV26" s="2">
        <v>64</v>
      </c>
      <c r="BW26" s="2">
        <v>6.0989800000000001</v>
      </c>
      <c r="BX26" s="2">
        <v>523.66780000000006</v>
      </c>
      <c r="BY26" s="3">
        <v>0.72789369999999998</v>
      </c>
      <c r="BZ26" s="3">
        <v>0.13899909999999999</v>
      </c>
      <c r="CA26" s="2">
        <v>0.72958599999999996</v>
      </c>
      <c r="CB26" s="3">
        <v>0.13899909999999999</v>
      </c>
      <c r="CC26" s="3">
        <v>6.4490540000000003</v>
      </c>
      <c r="CD26" s="3">
        <v>6.5694169999999996</v>
      </c>
      <c r="CE26" s="2">
        <v>1.8663639999999999</v>
      </c>
      <c r="CF26" s="3">
        <v>5134.9880000000003</v>
      </c>
      <c r="CG26" s="3">
        <v>5192.0230000000001</v>
      </c>
      <c r="CH26" s="2">
        <v>1.1107210000000001</v>
      </c>
      <c r="CI26" s="3">
        <v>164.1942</v>
      </c>
      <c r="CJ26" s="2">
        <v>9.0172410000000003</v>
      </c>
      <c r="CK26" s="3">
        <v>29985.57</v>
      </c>
      <c r="CL26" s="3">
        <v>29624.34</v>
      </c>
      <c r="CM26" s="2">
        <v>-1.204693</v>
      </c>
      <c r="CN26" s="3">
        <v>145.42310000000001</v>
      </c>
      <c r="CO26" s="3">
        <v>160.85140000000001</v>
      </c>
      <c r="CP26" s="3">
        <v>159.85769999999999</v>
      </c>
      <c r="CQ26" s="2">
        <v>12.91193</v>
      </c>
      <c r="CR26" s="2">
        <v>2.0817999999999999</v>
      </c>
      <c r="CS26" s="2">
        <v>2.7163620000000002</v>
      </c>
      <c r="CT26" s="2">
        <v>10.609260000000001</v>
      </c>
      <c r="CU26" s="2">
        <v>103.2161</v>
      </c>
      <c r="CV26" s="3">
        <v>0.1200379</v>
      </c>
      <c r="CW26" s="2">
        <v>-100</v>
      </c>
      <c r="CX26" s="2">
        <v>2.541868</v>
      </c>
      <c r="CY26" s="2" t="e">
        <v>#N/A</v>
      </c>
      <c r="CZ26" s="2">
        <v>23.33333</v>
      </c>
    </row>
    <row r="27" spans="1:104" ht="15" customHeight="1" x14ac:dyDescent="0.2">
      <c r="A27" s="1">
        <f t="shared" si="0"/>
        <v>21</v>
      </c>
      <c r="B27" s="1" t="s">
        <v>75</v>
      </c>
      <c r="C27" s="1" t="s">
        <v>74</v>
      </c>
      <c r="D27" s="1" t="s">
        <v>9</v>
      </c>
      <c r="E27" s="1" t="s">
        <v>76</v>
      </c>
      <c r="F27" s="1" t="s">
        <v>77</v>
      </c>
      <c r="G27" s="2">
        <v>55423.13</v>
      </c>
      <c r="H27" s="2">
        <v>76.253200000000007</v>
      </c>
      <c r="I27" s="2">
        <v>42261.91</v>
      </c>
      <c r="J27" s="3">
        <v>44.73</v>
      </c>
      <c r="K27" s="3">
        <v>0</v>
      </c>
      <c r="L27" s="2">
        <v>4.1359269999999997</v>
      </c>
      <c r="M27" s="2">
        <v>4.1359269999999997</v>
      </c>
      <c r="N27" s="2">
        <v>4.2477090000000004</v>
      </c>
      <c r="O27" s="2">
        <v>4.3035990000000002</v>
      </c>
      <c r="P27" s="2">
        <v>10.32391</v>
      </c>
      <c r="Q27" s="2">
        <v>13.12022</v>
      </c>
      <c r="R27" s="2">
        <v>11.74208</v>
      </c>
      <c r="S27" s="2">
        <v>10.45093</v>
      </c>
      <c r="T27" s="2">
        <v>4.8852880000000001</v>
      </c>
      <c r="U27" s="2">
        <v>6.5851069999999998</v>
      </c>
      <c r="V27" s="2">
        <v>6.2671650000000003</v>
      </c>
      <c r="W27" s="2">
        <v>5.8431709999999999</v>
      </c>
      <c r="X27" s="2">
        <v>2.3128540000000002</v>
      </c>
      <c r="Y27" s="2">
        <v>2.2034479999999999</v>
      </c>
      <c r="Z27" s="2">
        <v>2.0518350000000001</v>
      </c>
      <c r="AA27" s="2">
        <v>1.848347</v>
      </c>
      <c r="AB27" s="2">
        <v>5.3542180000000004</v>
      </c>
      <c r="AC27" s="2">
        <v>6.2289859999999999</v>
      </c>
      <c r="AD27" s="2">
        <v>5.9051980000000004</v>
      </c>
      <c r="AE27" s="2">
        <v>5.3674819999999999</v>
      </c>
      <c r="AF27" s="2">
        <v>4.3790610000000001</v>
      </c>
      <c r="AG27" s="2">
        <v>4.5987520000000002</v>
      </c>
      <c r="AH27" s="2">
        <v>5.1031899999999997</v>
      </c>
      <c r="AI27" s="2">
        <v>5.8054920000000001</v>
      </c>
      <c r="AJ27" s="2">
        <v>6.1258340000000002</v>
      </c>
      <c r="AK27" s="2">
        <v>6.7223629999999996</v>
      </c>
      <c r="AL27" s="3">
        <v>12.18092</v>
      </c>
      <c r="AM27" s="3">
        <v>11.022589999999999</v>
      </c>
      <c r="AN27" s="2">
        <v>13.35614</v>
      </c>
      <c r="AO27" s="2">
        <v>12.781510000000001</v>
      </c>
      <c r="AP27" s="2">
        <v>13.29738</v>
      </c>
      <c r="AQ27" s="2">
        <v>13.51112</v>
      </c>
      <c r="AR27" s="2">
        <v>1.429319</v>
      </c>
      <c r="AS27" s="2">
        <v>1.617985</v>
      </c>
      <c r="AT27" s="2">
        <v>1.5623130000000001</v>
      </c>
      <c r="AU27" s="2">
        <v>1.4074059999999999</v>
      </c>
      <c r="AV27" s="1" t="s">
        <v>78</v>
      </c>
      <c r="AW27" s="3">
        <v>1.566667</v>
      </c>
      <c r="AX27" s="3">
        <v>51</v>
      </c>
      <c r="AY27" s="2">
        <v>14.017440000000001</v>
      </c>
      <c r="AZ27" s="2">
        <v>16.7943</v>
      </c>
      <c r="BA27" s="2">
        <v>1.0809679999999999</v>
      </c>
      <c r="BB27" s="2">
        <v>25.153890000000001</v>
      </c>
      <c r="BC27" s="2">
        <v>27.146100000000001</v>
      </c>
      <c r="BD27" s="3">
        <v>29.675000000000001</v>
      </c>
      <c r="BE27" s="2">
        <v>50.732950000000002</v>
      </c>
      <c r="BF27" s="3">
        <v>45.03</v>
      </c>
      <c r="BG27" s="2">
        <v>-0.66621900000000001</v>
      </c>
      <c r="BH27" s="2">
        <v>42.698929999999997</v>
      </c>
      <c r="BI27" s="2">
        <v>55.612020000000001</v>
      </c>
      <c r="BJ27" s="2">
        <v>51.454509999999999</v>
      </c>
      <c r="BK27" s="2">
        <v>46.844270000000002</v>
      </c>
      <c r="BL27" s="2">
        <v>12</v>
      </c>
      <c r="BM27" s="2">
        <v>11</v>
      </c>
      <c r="BN27" s="4">
        <v>15</v>
      </c>
      <c r="BO27" s="4">
        <v>0</v>
      </c>
      <c r="BP27" s="4">
        <v>1</v>
      </c>
      <c r="BQ27" s="4">
        <v>14</v>
      </c>
      <c r="BR27" s="2">
        <v>0</v>
      </c>
      <c r="BS27" s="4">
        <v>8</v>
      </c>
      <c r="BT27" s="4">
        <v>1</v>
      </c>
      <c r="BU27" s="4">
        <v>15</v>
      </c>
      <c r="BV27" s="2">
        <v>53.33334</v>
      </c>
      <c r="BW27" s="2">
        <v>7.9919799999999999</v>
      </c>
      <c r="BX27" s="2">
        <v>1239.059</v>
      </c>
      <c r="BY27" s="3">
        <v>2.5157579999999999</v>
      </c>
      <c r="BZ27" s="3">
        <v>0.20303769999999999</v>
      </c>
      <c r="CA27" s="2">
        <v>1.11592</v>
      </c>
      <c r="CB27" s="3">
        <v>0.20303769999999999</v>
      </c>
      <c r="CC27" s="3">
        <v>3.2943760000000002</v>
      </c>
      <c r="CD27" s="3">
        <v>3.3970829999999999</v>
      </c>
      <c r="CE27" s="2">
        <v>3.1176330000000001</v>
      </c>
      <c r="CF27" s="3">
        <v>6547.482</v>
      </c>
      <c r="CG27" s="3">
        <v>6753.3379999999997</v>
      </c>
      <c r="CH27" s="2">
        <v>3.14405</v>
      </c>
      <c r="CI27" s="3">
        <v>48.785710000000002</v>
      </c>
      <c r="CJ27" s="2">
        <v>4.5387979999999999</v>
      </c>
      <c r="CK27" s="3">
        <v>85683.41</v>
      </c>
      <c r="CL27" s="3">
        <v>87504.72</v>
      </c>
      <c r="CM27" s="2">
        <v>2.1256330000000001</v>
      </c>
      <c r="CN27" s="3">
        <v>39.369590000000002</v>
      </c>
      <c r="CO27" s="3">
        <v>42.641860000000001</v>
      </c>
      <c r="CP27" s="3">
        <v>43.045769999999997</v>
      </c>
      <c r="CQ27" s="2">
        <v>13.615600000000001</v>
      </c>
      <c r="CR27" s="2">
        <v>4.8969149999999999</v>
      </c>
      <c r="CS27" s="2">
        <v>3.912652</v>
      </c>
      <c r="CT27" s="2">
        <v>8.3116649999999996</v>
      </c>
      <c r="CU27" s="2">
        <v>87.342250000000007</v>
      </c>
      <c r="CV27" s="3">
        <v>0.1575917</v>
      </c>
      <c r="CW27" s="2">
        <v>3.955997</v>
      </c>
      <c r="CX27" s="2">
        <v>1.7967930000000001</v>
      </c>
      <c r="CY27" s="2">
        <v>9.7311969999999999</v>
      </c>
      <c r="CZ27" s="2">
        <v>23.353529999999999</v>
      </c>
    </row>
    <row r="28" spans="1:104" ht="15" customHeight="1" x14ac:dyDescent="0.2">
      <c r="A28" s="1">
        <f t="shared" si="0"/>
        <v>22</v>
      </c>
      <c r="B28" s="1" t="s">
        <v>80</v>
      </c>
      <c r="C28" s="1" t="s">
        <v>79</v>
      </c>
      <c r="D28" s="1" t="s">
        <v>3</v>
      </c>
      <c r="E28" s="1" t="s">
        <v>41</v>
      </c>
      <c r="F28" s="1" t="s">
        <v>42</v>
      </c>
      <c r="G28" s="2">
        <v>50592.25</v>
      </c>
      <c r="H28" s="2">
        <v>69.0976</v>
      </c>
      <c r="I28" s="2">
        <v>34958.03</v>
      </c>
      <c r="J28" s="3">
        <v>16.09</v>
      </c>
      <c r="K28" s="3">
        <v>0</v>
      </c>
      <c r="L28" s="2">
        <v>8.3281539999999996</v>
      </c>
      <c r="M28" s="2">
        <v>8.3281539999999996</v>
      </c>
      <c r="N28" s="2">
        <v>8.5456800000000008</v>
      </c>
      <c r="O28" s="2">
        <v>8.3903049999999997</v>
      </c>
      <c r="P28" s="2">
        <v>3.0272809999999999</v>
      </c>
      <c r="Q28" s="2">
        <v>3.4826839999999999</v>
      </c>
      <c r="R28" s="2">
        <v>3.264354</v>
      </c>
      <c r="S28" s="2">
        <v>3.082376</v>
      </c>
      <c r="T28" s="2">
        <v>0.5658183</v>
      </c>
      <c r="U28" s="2">
        <v>0.90912649999999995</v>
      </c>
      <c r="V28" s="2">
        <v>0.76072260000000003</v>
      </c>
      <c r="W28" s="2">
        <v>0.63884620000000003</v>
      </c>
      <c r="X28" s="2">
        <v>0.71438120000000005</v>
      </c>
      <c r="Y28" s="2">
        <v>0.62509720000000002</v>
      </c>
      <c r="Z28" s="2">
        <v>0.54952190000000001</v>
      </c>
      <c r="AA28" s="2">
        <v>0.47986879999999998</v>
      </c>
      <c r="AB28" s="2">
        <v>2.516883</v>
      </c>
      <c r="AC28" s="2">
        <v>2.3943449999999999</v>
      </c>
      <c r="AD28" s="2">
        <v>2.3781430000000001</v>
      </c>
      <c r="AE28" s="2">
        <v>2.8228070000000001</v>
      </c>
      <c r="AF28" s="2">
        <v>39.435879999999997</v>
      </c>
      <c r="AG28" s="2">
        <v>46.2331</v>
      </c>
      <c r="AH28" s="2">
        <v>59.087409999999998</v>
      </c>
      <c r="AI28" s="2">
        <v>18.513729999999999</v>
      </c>
      <c r="AJ28" s="2">
        <v>18.869150000000001</v>
      </c>
      <c r="AK28" s="2">
        <v>21.260999999999999</v>
      </c>
      <c r="AL28" s="3" t="e">
        <v>#N/A</v>
      </c>
      <c r="AM28" s="3" t="e">
        <v>#N/A</v>
      </c>
      <c r="AN28" s="2">
        <v>15.740959999999999</v>
      </c>
      <c r="AO28" s="2">
        <v>14.297940000000001</v>
      </c>
      <c r="AP28" s="2">
        <v>14.28575</v>
      </c>
      <c r="AQ28" s="2">
        <v>14.56996</v>
      </c>
      <c r="AR28" s="2">
        <v>-0.90928399999999998</v>
      </c>
      <c r="AS28" s="2">
        <v>-1.027393</v>
      </c>
      <c r="AT28" s="2">
        <v>-1.103197</v>
      </c>
      <c r="AU28" s="2">
        <v>-1.136601</v>
      </c>
      <c r="AV28" s="1" t="s">
        <v>6</v>
      </c>
      <c r="AW28" s="3">
        <v>1.2173909999999999</v>
      </c>
      <c r="AX28" s="3">
        <v>21</v>
      </c>
      <c r="AY28" s="2">
        <v>30.51585</v>
      </c>
      <c r="AZ28" s="2">
        <v>17.948720000000002</v>
      </c>
      <c r="BA28" s="2">
        <v>-3.0238800000000001</v>
      </c>
      <c r="BB28" s="2">
        <v>36.448439999999998</v>
      </c>
      <c r="BC28" s="2">
        <v>21.305789999999998</v>
      </c>
      <c r="BD28" s="3">
        <v>11.157999999999999</v>
      </c>
      <c r="BE28" s="2">
        <v>44.20147</v>
      </c>
      <c r="BF28" s="3">
        <v>17.786000000000001</v>
      </c>
      <c r="BG28" s="2">
        <v>-9.5355869999999996</v>
      </c>
      <c r="BH28" s="2">
        <v>24.69144</v>
      </c>
      <c r="BI28" s="2">
        <v>27.781490000000002</v>
      </c>
      <c r="BJ28" s="2">
        <v>27.376380000000001</v>
      </c>
      <c r="BK28" s="2">
        <v>27.21576</v>
      </c>
      <c r="BL28" s="2">
        <v>19</v>
      </c>
      <c r="BM28" s="2">
        <v>19</v>
      </c>
      <c r="BN28" s="4">
        <v>23</v>
      </c>
      <c r="BO28" s="4">
        <v>0</v>
      </c>
      <c r="BP28" s="4">
        <v>1</v>
      </c>
      <c r="BQ28" s="4">
        <v>22</v>
      </c>
      <c r="BR28" s="2">
        <v>0</v>
      </c>
      <c r="BS28" s="4">
        <v>18</v>
      </c>
      <c r="BT28" s="4">
        <v>0</v>
      </c>
      <c r="BU28" s="4">
        <v>23</v>
      </c>
      <c r="BV28" s="2">
        <v>78.260869999999997</v>
      </c>
      <c r="BW28" s="2">
        <v>10.2408</v>
      </c>
      <c r="BX28" s="2">
        <v>3144.3290000000002</v>
      </c>
      <c r="BY28" s="3">
        <v>10.69913</v>
      </c>
      <c r="BZ28" s="3">
        <v>0.3402676</v>
      </c>
      <c r="CA28" s="2">
        <v>1.24231</v>
      </c>
      <c r="CB28" s="3">
        <v>0.3402676</v>
      </c>
      <c r="CC28" s="3">
        <v>4.7288410000000001</v>
      </c>
      <c r="CD28" s="3">
        <v>4.6853150000000001</v>
      </c>
      <c r="CE28" s="2">
        <v>-0.9204388</v>
      </c>
      <c r="CF28" s="3">
        <v>19330.14</v>
      </c>
      <c r="CG28" s="3">
        <v>19508.439999999999</v>
      </c>
      <c r="CH28" s="2">
        <v>0.9224057</v>
      </c>
      <c r="CI28" s="3">
        <v>21.40645</v>
      </c>
      <c r="CJ28" s="2">
        <v>-1.89873</v>
      </c>
      <c r="CK28" s="3">
        <v>183543.8</v>
      </c>
      <c r="CL28" s="3">
        <v>184068.7</v>
      </c>
      <c r="CM28" s="2">
        <v>0.28597119999999998</v>
      </c>
      <c r="CN28" s="3">
        <v>14.77847</v>
      </c>
      <c r="CO28" s="3">
        <v>15.05902</v>
      </c>
      <c r="CP28" s="3">
        <v>15.209770000000001</v>
      </c>
      <c r="CQ28" s="2">
        <v>8.8745589999999996</v>
      </c>
      <c r="CR28" s="2">
        <v>6.8462490000000003</v>
      </c>
      <c r="CS28" s="2">
        <v>5.7872769999999996</v>
      </c>
      <c r="CT28" s="2">
        <v>1.8983479999999999</v>
      </c>
      <c r="CU28" s="2">
        <v>158.00579999999999</v>
      </c>
      <c r="CV28" s="3">
        <v>0.31231229999999999</v>
      </c>
      <c r="CW28" s="2" t="e">
        <v>#N/A</v>
      </c>
      <c r="CX28" s="2">
        <v>2.9025189999999998</v>
      </c>
      <c r="CY28" s="2" t="e">
        <v>#N/A</v>
      </c>
      <c r="CZ28" s="2">
        <v>23.505050000000001</v>
      </c>
    </row>
    <row r="29" spans="1:104" ht="15" customHeight="1" x14ac:dyDescent="0.2">
      <c r="A29" s="1">
        <f t="shared" si="0"/>
        <v>23</v>
      </c>
      <c r="B29" s="1" t="s">
        <v>82</v>
      </c>
      <c r="C29" s="1" t="s">
        <v>81</v>
      </c>
      <c r="D29" s="1" t="s">
        <v>20</v>
      </c>
      <c r="E29" s="1" t="s">
        <v>52</v>
      </c>
      <c r="F29" s="1" t="s">
        <v>53</v>
      </c>
      <c r="G29" s="2">
        <v>77034.05</v>
      </c>
      <c r="H29" s="2">
        <v>96.559799999999996</v>
      </c>
      <c r="I29" s="2">
        <v>74383.929999999993</v>
      </c>
      <c r="J29" s="3">
        <v>11.95</v>
      </c>
      <c r="K29" s="3">
        <v>0</v>
      </c>
      <c r="L29" s="2">
        <v>4.1004189999999996</v>
      </c>
      <c r="M29" s="2">
        <v>4.2895399999999997</v>
      </c>
      <c r="N29" s="2">
        <v>4.5188280000000001</v>
      </c>
      <c r="O29" s="2">
        <v>4.7698749999999999</v>
      </c>
      <c r="P29" s="2">
        <v>18.106059999999999</v>
      </c>
      <c r="Q29" s="2">
        <v>16.59722</v>
      </c>
      <c r="R29" s="2">
        <v>16.14865</v>
      </c>
      <c r="S29" s="2">
        <v>14.75309</v>
      </c>
      <c r="T29" s="2">
        <v>8.5641590000000001</v>
      </c>
      <c r="U29" s="2">
        <v>8.9640140000000006</v>
      </c>
      <c r="V29" s="2">
        <v>8.7703340000000001</v>
      </c>
      <c r="W29" s="2">
        <v>8.3597590000000004</v>
      </c>
      <c r="X29" s="2">
        <v>1.7806379999999999</v>
      </c>
      <c r="Y29" s="2">
        <v>1.720839</v>
      </c>
      <c r="Z29" s="2">
        <v>1.6239079999999999</v>
      </c>
      <c r="AA29" s="2">
        <v>1.5935980000000001</v>
      </c>
      <c r="AB29" s="2">
        <v>8.0787130000000005</v>
      </c>
      <c r="AC29" s="2">
        <v>7.2344340000000003</v>
      </c>
      <c r="AD29" s="2">
        <v>6.9883040000000003</v>
      </c>
      <c r="AE29" s="2">
        <v>6.5959219999999998</v>
      </c>
      <c r="AF29" s="2">
        <v>-2.7322600000000001</v>
      </c>
      <c r="AG29" s="2">
        <v>-0.47298800000000002</v>
      </c>
      <c r="AH29" s="2">
        <v>0.18185399999999999</v>
      </c>
      <c r="AI29" s="2">
        <v>-4.5870509999999998</v>
      </c>
      <c r="AJ29" s="2">
        <v>-0.81113860000000004</v>
      </c>
      <c r="AK29" s="2">
        <v>0.31767190000000001</v>
      </c>
      <c r="AL29" s="3">
        <v>2.0471910000000002</v>
      </c>
      <c r="AM29" s="3">
        <v>2.0017290000000001</v>
      </c>
      <c r="AN29" s="2">
        <v>24.519449999999999</v>
      </c>
      <c r="AO29" s="2">
        <v>26.039090000000002</v>
      </c>
      <c r="AP29" s="2">
        <v>27.054880000000001</v>
      </c>
      <c r="AQ29" s="2">
        <v>27.75122</v>
      </c>
      <c r="AR29" s="2">
        <v>3.3073030000000001</v>
      </c>
      <c r="AS29" s="2">
        <v>3.6246339999999999</v>
      </c>
      <c r="AT29" s="2">
        <v>3.6562109999999999</v>
      </c>
      <c r="AU29" s="2">
        <v>3.574144</v>
      </c>
      <c r="AV29" s="1" t="s">
        <v>49</v>
      </c>
      <c r="AW29" s="3">
        <v>1.6481479999999999</v>
      </c>
      <c r="AX29" s="3">
        <v>12.4</v>
      </c>
      <c r="AY29" s="2">
        <v>3.7656900000000002</v>
      </c>
      <c r="AZ29" s="2">
        <v>10.36824</v>
      </c>
      <c r="BA29" s="2">
        <v>8.0385679999999997</v>
      </c>
      <c r="BB29" s="2">
        <v>20.755859999999998</v>
      </c>
      <c r="BC29" s="2">
        <v>9.3321079999999998</v>
      </c>
      <c r="BD29" s="3">
        <v>9.09</v>
      </c>
      <c r="BE29" s="2">
        <v>31.463149999999999</v>
      </c>
      <c r="BF29" s="3">
        <v>12.065</v>
      </c>
      <c r="BG29" s="2">
        <v>-0.95316769999999995</v>
      </c>
      <c r="BH29" s="2">
        <v>72.764390000000006</v>
      </c>
      <c r="BI29" s="2">
        <v>71.610110000000006</v>
      </c>
      <c r="BJ29" s="2">
        <v>72.623050000000006</v>
      </c>
      <c r="BK29" s="2">
        <v>70.473920000000007</v>
      </c>
      <c r="BL29" s="2">
        <v>24</v>
      </c>
      <c r="BM29" s="2">
        <v>22</v>
      </c>
      <c r="BN29" s="4">
        <v>27</v>
      </c>
      <c r="BO29" s="4">
        <v>1</v>
      </c>
      <c r="BP29" s="4">
        <v>2</v>
      </c>
      <c r="BQ29" s="4">
        <v>25</v>
      </c>
      <c r="BR29" s="2">
        <v>3.5714290000000002</v>
      </c>
      <c r="BS29" s="4">
        <v>12</v>
      </c>
      <c r="BT29" s="4">
        <v>1</v>
      </c>
      <c r="BU29" s="4">
        <v>27</v>
      </c>
      <c r="BV29" s="2">
        <v>44.444450000000003</v>
      </c>
      <c r="BW29" s="2">
        <v>6.6747899999999998</v>
      </c>
      <c r="BX29" s="2">
        <v>6446.3639999999996</v>
      </c>
      <c r="BY29" s="3">
        <v>11.94506</v>
      </c>
      <c r="BZ29" s="3">
        <v>0.1852992</v>
      </c>
      <c r="CA29" s="2">
        <v>0.56386499999999995</v>
      </c>
      <c r="CB29" s="3">
        <v>0.1852992</v>
      </c>
      <c r="CC29" s="3">
        <v>0.70787089999999997</v>
      </c>
      <c r="CD29" s="3">
        <v>0.72195980000000004</v>
      </c>
      <c r="CE29" s="2">
        <v>1.990318</v>
      </c>
      <c r="CF29" s="3">
        <v>8864.7890000000007</v>
      </c>
      <c r="CG29" s="3">
        <v>8942.6890000000003</v>
      </c>
      <c r="CH29" s="2">
        <v>0.87876319999999997</v>
      </c>
      <c r="CI29" s="3">
        <v>11.98119</v>
      </c>
      <c r="CJ29" s="2">
        <v>3.4955379999999998</v>
      </c>
      <c r="CK29" s="3">
        <v>51598.75</v>
      </c>
      <c r="CL29" s="3">
        <v>53676.73</v>
      </c>
      <c r="CM29" s="2">
        <v>4.0271879999999998</v>
      </c>
      <c r="CN29" s="3">
        <v>10.94139</v>
      </c>
      <c r="CO29" s="3">
        <v>11.691369999999999</v>
      </c>
      <c r="CP29" s="3">
        <v>11.641730000000001</v>
      </c>
      <c r="CQ29" s="2">
        <v>9.2182639999999996</v>
      </c>
      <c r="CR29" s="2">
        <v>2.2121309999999998</v>
      </c>
      <c r="CS29" s="2">
        <v>2.647948</v>
      </c>
      <c r="CT29" s="2">
        <v>6.8544980000000004</v>
      </c>
      <c r="CU29" s="2">
        <v>127.95229999999999</v>
      </c>
      <c r="CV29" s="3">
        <v>0.16609840000000001</v>
      </c>
      <c r="CW29" s="2">
        <v>34.4086</v>
      </c>
      <c r="CX29" s="2" t="e">
        <v>#N/A</v>
      </c>
      <c r="CY29" s="2">
        <v>10.64415</v>
      </c>
      <c r="CZ29" s="2">
        <v>23.626259999999998</v>
      </c>
    </row>
    <row r="30" spans="1:104" ht="15" customHeight="1" x14ac:dyDescent="0.2">
      <c r="A30" s="1">
        <f t="shared" si="0"/>
        <v>24</v>
      </c>
      <c r="B30" s="1" t="s">
        <v>84</v>
      </c>
      <c r="C30" s="1" t="s">
        <v>83</v>
      </c>
      <c r="D30" s="1" t="s">
        <v>9</v>
      </c>
      <c r="E30" s="1" t="s">
        <v>85</v>
      </c>
      <c r="F30" s="1" t="s">
        <v>86</v>
      </c>
      <c r="G30" s="2">
        <v>99609.49</v>
      </c>
      <c r="H30" s="2">
        <v>64.752499999999998</v>
      </c>
      <c r="I30" s="2">
        <v>64499.64</v>
      </c>
      <c r="J30" s="3">
        <v>19.975999999999999</v>
      </c>
      <c r="K30" s="3">
        <v>0</v>
      </c>
      <c r="L30" s="2">
        <v>3.5042049999999998</v>
      </c>
      <c r="M30" s="2">
        <v>3.8546260000000001</v>
      </c>
      <c r="N30" s="2">
        <v>4.4803759999999997</v>
      </c>
      <c r="O30" s="2">
        <v>4.8307969999999996</v>
      </c>
      <c r="P30" s="2">
        <v>10.915850000000001</v>
      </c>
      <c r="Q30" s="2">
        <v>11.81676</v>
      </c>
      <c r="R30" s="2">
        <v>10.56207</v>
      </c>
      <c r="S30" s="2">
        <v>9.4672990000000006</v>
      </c>
      <c r="T30" s="2">
        <v>5.8536260000000002</v>
      </c>
      <c r="U30" s="2">
        <v>5.8486750000000001</v>
      </c>
      <c r="V30" s="2">
        <v>5.4299189999999999</v>
      </c>
      <c r="W30" s="2">
        <v>5.0833259999999996</v>
      </c>
      <c r="X30" s="2">
        <v>2.0482230000000001</v>
      </c>
      <c r="Y30" s="2">
        <v>1.9375359999999999</v>
      </c>
      <c r="Z30" s="2">
        <v>1.8045169999999999</v>
      </c>
      <c r="AA30" s="2">
        <v>1.6454690000000001</v>
      </c>
      <c r="AB30" s="2">
        <v>3.1890420000000002</v>
      </c>
      <c r="AC30" s="2">
        <v>3.109391</v>
      </c>
      <c r="AD30" s="2">
        <v>2.9406300000000001</v>
      </c>
      <c r="AE30" s="2">
        <v>2.877094</v>
      </c>
      <c r="AF30" s="2">
        <v>6.7416210000000003</v>
      </c>
      <c r="AG30" s="2">
        <v>8.0726910000000007</v>
      </c>
      <c r="AH30" s="2">
        <v>8.7190619999999992</v>
      </c>
      <c r="AI30" s="2">
        <v>16.232659999999999</v>
      </c>
      <c r="AJ30" s="2">
        <v>19.129169999999998</v>
      </c>
      <c r="AK30" s="2">
        <v>20.525269999999999</v>
      </c>
      <c r="AL30" s="3">
        <v>2.8967839999999998</v>
      </c>
      <c r="AM30" s="3">
        <v>2.8260869999999998</v>
      </c>
      <c r="AN30" s="2">
        <v>35.142859999999999</v>
      </c>
      <c r="AO30" s="2">
        <v>36.636200000000002</v>
      </c>
      <c r="AP30" s="2">
        <v>38.037219999999998</v>
      </c>
      <c r="AQ30" s="2">
        <v>39.298229999999997</v>
      </c>
      <c r="AR30" s="2">
        <v>3.5422060000000002</v>
      </c>
      <c r="AS30" s="2">
        <v>3.4196499999999999</v>
      </c>
      <c r="AT30" s="2">
        <v>3.138442</v>
      </c>
      <c r="AU30" s="2">
        <v>2.9239470000000001</v>
      </c>
      <c r="AV30" s="1" t="s">
        <v>6</v>
      </c>
      <c r="AW30" s="3">
        <v>1.2272730000000001</v>
      </c>
      <c r="AX30" s="3">
        <v>26</v>
      </c>
      <c r="AY30" s="2">
        <v>30.156179999999999</v>
      </c>
      <c r="AZ30" s="2">
        <v>16.396509999999999</v>
      </c>
      <c r="BA30" s="2">
        <v>2.8541159999999999</v>
      </c>
      <c r="BB30" s="2">
        <v>5.4365040000000002</v>
      </c>
      <c r="BC30" s="2">
        <v>7.1788790000000002</v>
      </c>
      <c r="BD30" s="3">
        <v>17.350000000000001</v>
      </c>
      <c r="BE30" s="2">
        <v>15.135439999999999</v>
      </c>
      <c r="BF30" s="3">
        <v>23.125</v>
      </c>
      <c r="BG30" s="2">
        <v>-13.6173</v>
      </c>
      <c r="BH30" s="2">
        <v>38.209330000000001</v>
      </c>
      <c r="BI30" s="2">
        <v>42.461840000000002</v>
      </c>
      <c r="BJ30" s="2">
        <v>50.892330000000001</v>
      </c>
      <c r="BK30" s="2">
        <v>50.093200000000003</v>
      </c>
      <c r="BL30" s="2">
        <v>16</v>
      </c>
      <c r="BM30" s="2">
        <v>16</v>
      </c>
      <c r="BN30" s="4">
        <v>22</v>
      </c>
      <c r="BO30" s="4">
        <v>1</v>
      </c>
      <c r="BP30" s="4">
        <v>0</v>
      </c>
      <c r="BQ30" s="4">
        <v>21</v>
      </c>
      <c r="BR30" s="2">
        <v>4.5454549999999996</v>
      </c>
      <c r="BS30" s="4">
        <v>19</v>
      </c>
      <c r="BT30" s="4">
        <v>1</v>
      </c>
      <c r="BU30" s="4">
        <v>22</v>
      </c>
      <c r="BV30" s="2">
        <v>86.363640000000004</v>
      </c>
      <c r="BW30" s="2">
        <v>5.9907300000000001</v>
      </c>
      <c r="BX30" s="2">
        <v>4986.4579999999996</v>
      </c>
      <c r="BY30" s="3">
        <v>7.3263889999999998</v>
      </c>
      <c r="BZ30" s="3">
        <v>0.14692569999999999</v>
      </c>
      <c r="CA30" s="2">
        <v>0.74495100000000003</v>
      </c>
      <c r="CB30" s="3">
        <v>0.14692569999999999</v>
      </c>
      <c r="CC30" s="3">
        <v>1.6736390000000001</v>
      </c>
      <c r="CD30" s="3">
        <v>1.807358</v>
      </c>
      <c r="CE30" s="2">
        <v>7.9897520000000002</v>
      </c>
      <c r="CF30" s="3">
        <v>21729.85</v>
      </c>
      <c r="CG30" s="3">
        <v>22144.41</v>
      </c>
      <c r="CH30" s="2">
        <v>1.9078250000000001</v>
      </c>
      <c r="CI30" s="3">
        <v>25.754999999999999</v>
      </c>
      <c r="CJ30" s="2">
        <v>0.95127819999999996</v>
      </c>
      <c r="CK30" s="3">
        <v>115269.1</v>
      </c>
      <c r="CL30" s="3">
        <v>112066.8</v>
      </c>
      <c r="CM30" s="2">
        <v>-2.778095</v>
      </c>
      <c r="CN30" s="3">
        <v>20.184200000000001</v>
      </c>
      <c r="CO30" s="3">
        <v>20.6831</v>
      </c>
      <c r="CP30" s="3">
        <v>19.67473</v>
      </c>
      <c r="CQ30" s="2">
        <v>-1.031482</v>
      </c>
      <c r="CR30" s="2">
        <v>-3.4187259999999999</v>
      </c>
      <c r="CS30" s="2">
        <v>1.5312429999999999</v>
      </c>
      <c r="CT30" s="2">
        <v>2.4717449999999999</v>
      </c>
      <c r="CU30" s="2">
        <v>165.5301</v>
      </c>
      <c r="CV30" s="3">
        <v>0.1661791</v>
      </c>
      <c r="CW30" s="2">
        <v>4.323728</v>
      </c>
      <c r="CX30" s="2">
        <v>0.15759380000000001</v>
      </c>
      <c r="CY30" s="2">
        <v>8.3829390000000004</v>
      </c>
      <c r="CZ30" s="2">
        <v>23.74747</v>
      </c>
    </row>
    <row r="31" spans="1:104" ht="15" customHeight="1" x14ac:dyDescent="0.2">
      <c r="A31" s="1">
        <f t="shared" si="0"/>
        <v>25</v>
      </c>
      <c r="B31" s="1" t="s">
        <v>88</v>
      </c>
      <c r="C31" s="1" t="s">
        <v>87</v>
      </c>
      <c r="D31" s="1" t="s">
        <v>28</v>
      </c>
      <c r="E31" s="1" t="s">
        <v>14</v>
      </c>
      <c r="F31" s="1" t="s">
        <v>89</v>
      </c>
      <c r="G31" s="2">
        <v>95064.13</v>
      </c>
      <c r="H31" s="2">
        <v>92.258899999999997</v>
      </c>
      <c r="I31" s="2">
        <v>87705.13</v>
      </c>
      <c r="J31" s="3">
        <v>166.46</v>
      </c>
      <c r="K31" s="3">
        <v>0</v>
      </c>
      <c r="L31" s="2">
        <v>1.892347</v>
      </c>
      <c r="M31" s="2">
        <v>2.0425330000000002</v>
      </c>
      <c r="N31" s="2">
        <v>2.2394980000000002</v>
      </c>
      <c r="O31" s="2">
        <v>2.5171209999999999</v>
      </c>
      <c r="P31" s="2">
        <v>23.412099999999999</v>
      </c>
      <c r="Q31" s="2">
        <v>20.92521</v>
      </c>
      <c r="R31" s="2">
        <v>19.392769999999999</v>
      </c>
      <c r="S31" s="2">
        <v>18.054749999999999</v>
      </c>
      <c r="T31" s="2">
        <v>12.192030000000001</v>
      </c>
      <c r="U31" s="2">
        <v>13.99292</v>
      </c>
      <c r="V31" s="2">
        <v>13.02692</v>
      </c>
      <c r="W31" s="2">
        <v>11.83278</v>
      </c>
      <c r="X31" s="2">
        <v>3.6553369999999998</v>
      </c>
      <c r="Y31" s="2">
        <v>3.4126650000000001</v>
      </c>
      <c r="Z31" s="2">
        <v>3.1540370000000002</v>
      </c>
      <c r="AA31" s="2">
        <v>2.8929640000000001</v>
      </c>
      <c r="AB31" s="2">
        <v>21.164660000000001</v>
      </c>
      <c r="AC31" s="2">
        <v>16.42389</v>
      </c>
      <c r="AD31" s="2">
        <v>15.73873</v>
      </c>
      <c r="AE31" s="2">
        <v>14.883150000000001</v>
      </c>
      <c r="AF31" s="2">
        <v>3.726035</v>
      </c>
      <c r="AG31" s="2">
        <v>4.4403090000000001</v>
      </c>
      <c r="AH31" s="2">
        <v>4.9475949999999997</v>
      </c>
      <c r="AI31" s="2">
        <v>4.0859680000000003</v>
      </c>
      <c r="AJ31" s="2">
        <v>4.756786</v>
      </c>
      <c r="AK31" s="2">
        <v>5.1762579999999998</v>
      </c>
      <c r="AL31" s="3">
        <v>3.699999</v>
      </c>
      <c r="AM31" s="3">
        <v>3.422749</v>
      </c>
      <c r="AN31" s="2">
        <v>19.511209999999998</v>
      </c>
      <c r="AO31" s="2">
        <v>20.66517</v>
      </c>
      <c r="AP31" s="2">
        <v>20.71116</v>
      </c>
      <c r="AQ31" s="2">
        <v>21.20909</v>
      </c>
      <c r="AR31" s="2">
        <v>0.99652830000000003</v>
      </c>
      <c r="AS31" s="2">
        <v>1.2326330000000001</v>
      </c>
      <c r="AT31" s="2">
        <v>0.866703</v>
      </c>
      <c r="AU31" s="2">
        <v>0.52271579999999995</v>
      </c>
      <c r="AV31" s="1" t="s">
        <v>6</v>
      </c>
      <c r="AW31" s="3">
        <v>1.5</v>
      </c>
      <c r="AX31" s="3">
        <v>175</v>
      </c>
      <c r="AY31" s="2">
        <v>5.130363</v>
      </c>
      <c r="AZ31" s="2">
        <v>16.308869999999999</v>
      </c>
      <c r="BA31" s="2">
        <v>5</v>
      </c>
      <c r="BB31" s="2">
        <v>47.440219999999997</v>
      </c>
      <c r="BC31" s="2">
        <v>27.340890000000002</v>
      </c>
      <c r="BD31" s="3">
        <v>110.14</v>
      </c>
      <c r="BE31" s="2">
        <v>51.134929999999997</v>
      </c>
      <c r="BF31" s="3">
        <v>167.98</v>
      </c>
      <c r="BG31" s="2">
        <v>-0.90486409999999995</v>
      </c>
      <c r="BH31" s="2">
        <v>43.785690000000002</v>
      </c>
      <c r="BI31" s="2">
        <v>44.320749999999997</v>
      </c>
      <c r="BJ31" s="2">
        <v>44.002380000000002</v>
      </c>
      <c r="BK31" s="2">
        <v>44.562539999999998</v>
      </c>
      <c r="BL31" s="2">
        <v>22</v>
      </c>
      <c r="BM31" s="2">
        <v>21</v>
      </c>
      <c r="BN31" s="4">
        <v>23</v>
      </c>
      <c r="BO31" s="4">
        <v>1</v>
      </c>
      <c r="BP31" s="4">
        <v>1</v>
      </c>
      <c r="BQ31" s="4">
        <v>21</v>
      </c>
      <c r="BR31" s="2">
        <v>4.3478260000000004</v>
      </c>
      <c r="BS31" s="4">
        <v>16</v>
      </c>
      <c r="BT31" s="4">
        <v>3</v>
      </c>
      <c r="BU31" s="4">
        <v>23</v>
      </c>
      <c r="BV31" s="2">
        <v>69.565219999999997</v>
      </c>
      <c r="BW31" s="2">
        <v>7.5074199999999998</v>
      </c>
      <c r="BX31" s="2">
        <v>571.09299999999996</v>
      </c>
      <c r="BY31" s="3">
        <v>0.83397639999999995</v>
      </c>
      <c r="BZ31" s="3">
        <v>0.14603160000000001</v>
      </c>
      <c r="CA31" s="2">
        <v>0.98639500000000002</v>
      </c>
      <c r="CB31" s="3">
        <v>0.14603160000000001</v>
      </c>
      <c r="CC31" s="3">
        <v>7.7962879999999997</v>
      </c>
      <c r="CD31" s="3">
        <v>7.8541210000000001</v>
      </c>
      <c r="CE31" s="2">
        <v>0.74181560000000002</v>
      </c>
      <c r="CF31" s="3">
        <v>6037.6459999999997</v>
      </c>
      <c r="CG31" s="3">
        <v>6081.8019999999997</v>
      </c>
      <c r="CH31" s="2">
        <v>0.73134900000000003</v>
      </c>
      <c r="CI31" s="3">
        <v>167.33330000000001</v>
      </c>
      <c r="CJ31" s="2">
        <v>4.5816780000000001</v>
      </c>
      <c r="CK31" s="3">
        <v>35971.620000000003</v>
      </c>
      <c r="CL31" s="3">
        <v>36056.449999999997</v>
      </c>
      <c r="CM31" s="2">
        <v>0.23583170000000001</v>
      </c>
      <c r="CN31" s="3">
        <v>145.5821</v>
      </c>
      <c r="CO31" s="3">
        <v>160.64830000000001</v>
      </c>
      <c r="CP31" s="3">
        <v>163.13919999999999</v>
      </c>
      <c r="CQ31" s="2">
        <v>14.34098</v>
      </c>
      <c r="CR31" s="2">
        <v>3.61768</v>
      </c>
      <c r="CS31" s="2">
        <v>2.0355460000000001</v>
      </c>
      <c r="CT31" s="2">
        <v>10.348929999999999</v>
      </c>
      <c r="CU31" s="2">
        <v>116.7907</v>
      </c>
      <c r="CV31" s="3">
        <v>0.1228547</v>
      </c>
      <c r="CW31" s="2" t="e">
        <v>#N/A</v>
      </c>
      <c r="CX31" s="2">
        <v>2.0308540000000002</v>
      </c>
      <c r="CY31" s="2" t="e">
        <v>#N/A</v>
      </c>
      <c r="CZ31" s="2">
        <v>23.9495</v>
      </c>
    </row>
    <row r="32" spans="1:104" ht="15" customHeight="1" x14ac:dyDescent="0.2">
      <c r="A32" s="1">
        <f t="shared" si="0"/>
        <v>26</v>
      </c>
      <c r="B32" s="1" t="s">
        <v>91</v>
      </c>
      <c r="C32" s="1" t="s">
        <v>90</v>
      </c>
      <c r="D32" s="1" t="s">
        <v>9</v>
      </c>
      <c r="E32" s="1" t="s">
        <v>29</v>
      </c>
      <c r="F32" s="1" t="s">
        <v>30</v>
      </c>
      <c r="G32" s="2">
        <v>32000.400000000001</v>
      </c>
      <c r="H32" s="2">
        <v>88.218900000000005</v>
      </c>
      <c r="I32" s="2">
        <v>28230.400000000001</v>
      </c>
      <c r="J32" s="3">
        <v>177.78</v>
      </c>
      <c r="K32" s="3">
        <v>0</v>
      </c>
      <c r="L32" s="2">
        <v>0.39374510000000001</v>
      </c>
      <c r="M32" s="2">
        <v>0.29530879999999998</v>
      </c>
      <c r="N32" s="2">
        <v>0.83248960000000005</v>
      </c>
      <c r="O32" s="2">
        <v>1.7171620000000001</v>
      </c>
      <c r="P32" s="2">
        <v>142.22399999999999</v>
      </c>
      <c r="Q32" s="2" t="e">
        <v>#N/A</v>
      </c>
      <c r="R32" s="2">
        <v>42.856110000000001</v>
      </c>
      <c r="S32" s="2">
        <v>23.23922</v>
      </c>
      <c r="T32" s="2">
        <v>13.32179</v>
      </c>
      <c r="U32" s="2">
        <v>34.069679999999998</v>
      </c>
      <c r="V32" s="2">
        <v>13.888479999999999</v>
      </c>
      <c r="W32" s="2">
        <v>10.80786</v>
      </c>
      <c r="X32" s="2">
        <v>6.5264319999999998</v>
      </c>
      <c r="Y32" s="2">
        <v>7.2640380000000002</v>
      </c>
      <c r="Z32" s="2">
        <v>6.1738780000000002</v>
      </c>
      <c r="AA32" s="2">
        <v>5.0275439999999998</v>
      </c>
      <c r="AB32" s="2" t="e">
        <v>#N/A</v>
      </c>
      <c r="AC32" s="2">
        <v>16.828959999999999</v>
      </c>
      <c r="AD32" s="2">
        <v>16.014340000000001</v>
      </c>
      <c r="AE32" s="2">
        <v>12.44678</v>
      </c>
      <c r="AF32" s="2">
        <v>2.6471300000000002</v>
      </c>
      <c r="AG32" s="2">
        <v>2.8746559999999999</v>
      </c>
      <c r="AH32" s="2">
        <v>4.8195300000000003</v>
      </c>
      <c r="AI32" s="2">
        <v>2.8563369999999999</v>
      </c>
      <c r="AJ32" s="2">
        <v>3.0654140000000001</v>
      </c>
      <c r="AK32" s="2">
        <v>5.0541780000000003</v>
      </c>
      <c r="AL32" s="3" t="e">
        <v>#N/A</v>
      </c>
      <c r="AM32" s="3">
        <v>0.91185400000000005</v>
      </c>
      <c r="AN32" s="2">
        <v>8.5424900000000008</v>
      </c>
      <c r="AO32" s="2">
        <v>4.8318190000000003</v>
      </c>
      <c r="AP32" s="2">
        <v>10.747529999999999</v>
      </c>
      <c r="AQ32" s="2">
        <v>12.42798</v>
      </c>
      <c r="AR32" s="2">
        <v>1.3910560000000001</v>
      </c>
      <c r="AS32" s="2">
        <v>2.4953609999999999</v>
      </c>
      <c r="AT32" s="2">
        <v>0.86426800000000004</v>
      </c>
      <c r="AU32" s="2">
        <v>0.50177130000000003</v>
      </c>
      <c r="AV32" s="1" t="s">
        <v>49</v>
      </c>
      <c r="AW32" s="3">
        <v>1.85</v>
      </c>
      <c r="AX32" s="3">
        <v>174.5</v>
      </c>
      <c r="AY32" s="2">
        <v>-1.844978</v>
      </c>
      <c r="AZ32" s="2">
        <v>-9.1291410000000006</v>
      </c>
      <c r="BA32" s="2">
        <v>63.443219999999997</v>
      </c>
      <c r="BB32" s="2">
        <v>5.344868</v>
      </c>
      <c r="BC32" s="2">
        <v>39.479050000000001</v>
      </c>
      <c r="BD32" s="3">
        <v>93.4</v>
      </c>
      <c r="BE32" s="2">
        <v>90.342609999999993</v>
      </c>
      <c r="BF32" s="3">
        <v>181.88</v>
      </c>
      <c r="BG32" s="2">
        <v>-2.2542360000000001</v>
      </c>
      <c r="BH32" s="2">
        <v>63.858759999999997</v>
      </c>
      <c r="BI32" s="2" t="e">
        <v>#N/A</v>
      </c>
      <c r="BJ32" s="2">
        <v>37.758159999999997</v>
      </c>
      <c r="BK32" s="2">
        <v>40.523029999999999</v>
      </c>
      <c r="BL32" s="2">
        <v>28</v>
      </c>
      <c r="BM32" s="2">
        <v>27</v>
      </c>
      <c r="BN32" s="4">
        <v>30</v>
      </c>
      <c r="BO32" s="4">
        <v>0</v>
      </c>
      <c r="BP32" s="4">
        <v>1</v>
      </c>
      <c r="BQ32" s="4">
        <v>28</v>
      </c>
      <c r="BR32" s="2">
        <v>0</v>
      </c>
      <c r="BS32" s="4">
        <v>9</v>
      </c>
      <c r="BT32" s="4">
        <v>5</v>
      </c>
      <c r="BU32" s="4">
        <v>30</v>
      </c>
      <c r="BV32" s="2">
        <v>30</v>
      </c>
      <c r="BW32" s="2">
        <v>9.8772900000000003</v>
      </c>
      <c r="BX32" s="2">
        <v>180</v>
      </c>
      <c r="BY32" s="3">
        <v>0.65535810000000005</v>
      </c>
      <c r="BZ32" s="3">
        <v>0.36408780000000002</v>
      </c>
      <c r="CA32" s="2">
        <v>0.84030099999999996</v>
      </c>
      <c r="CB32" s="3">
        <v>0.36408780000000002</v>
      </c>
      <c r="CC32" s="3">
        <v>-2.1755339999999999</v>
      </c>
      <c r="CD32" s="3">
        <v>-2.1701959999999998</v>
      </c>
      <c r="CE32" s="2">
        <v>-0.2453506</v>
      </c>
      <c r="CF32" s="3">
        <v>-300.48509999999999</v>
      </c>
      <c r="CG32" s="3">
        <v>-240.50020000000001</v>
      </c>
      <c r="CH32" s="2">
        <v>-19.962710000000001</v>
      </c>
      <c r="CI32" s="3">
        <v>149.94290000000001</v>
      </c>
      <c r="CJ32" s="2">
        <v>16.377659999999999</v>
      </c>
      <c r="CK32" s="3">
        <v>20999.27</v>
      </c>
      <c r="CL32" s="3">
        <v>21149.96</v>
      </c>
      <c r="CM32" s="2">
        <v>0.7175684</v>
      </c>
      <c r="CN32" s="3">
        <v>142.08789999999999</v>
      </c>
      <c r="CO32" s="3">
        <v>164.26669999999999</v>
      </c>
      <c r="CP32" s="3">
        <v>166.88149999999999</v>
      </c>
      <c r="CQ32" s="2">
        <v>25.119730000000001</v>
      </c>
      <c r="CR32" s="2">
        <v>8.2264660000000003</v>
      </c>
      <c r="CS32" s="2">
        <v>6.5306660000000001</v>
      </c>
      <c r="CT32" s="2">
        <v>15.60919</v>
      </c>
      <c r="CU32" s="2">
        <v>73.717690000000005</v>
      </c>
      <c r="CV32" s="3">
        <v>0.23036490000000001</v>
      </c>
      <c r="CW32" s="2">
        <v>63.804519999999997</v>
      </c>
      <c r="CX32" s="2">
        <v>4.9660900000000003</v>
      </c>
      <c r="CY32" s="2" t="e">
        <v>#N/A</v>
      </c>
      <c r="CZ32" s="2">
        <v>24.010100000000001</v>
      </c>
    </row>
    <row r="33" spans="1:104" ht="15" customHeight="1" x14ac:dyDescent="0.2">
      <c r="A33" s="1">
        <f t="shared" si="0"/>
        <v>27</v>
      </c>
      <c r="B33" s="1" t="s">
        <v>93</v>
      </c>
      <c r="C33" s="1" t="s">
        <v>92</v>
      </c>
      <c r="D33" s="1" t="s">
        <v>28</v>
      </c>
      <c r="E33" s="1" t="s">
        <v>10</v>
      </c>
      <c r="F33" s="1" t="s">
        <v>94</v>
      </c>
      <c r="G33" s="2">
        <v>61294.8</v>
      </c>
      <c r="H33" s="2">
        <v>81.833799999999997</v>
      </c>
      <c r="I33" s="2">
        <v>50159.87</v>
      </c>
      <c r="J33" s="3">
        <v>143.46</v>
      </c>
      <c r="K33" s="3">
        <v>0</v>
      </c>
      <c r="L33" s="2">
        <v>0.9410288</v>
      </c>
      <c r="M33" s="2">
        <v>1.397602</v>
      </c>
      <c r="N33" s="2">
        <v>1.7809839999999999</v>
      </c>
      <c r="O33" s="2">
        <v>2.1260279999999998</v>
      </c>
      <c r="P33" s="2">
        <v>53.529850000000003</v>
      </c>
      <c r="Q33" s="2">
        <v>28.807230000000001</v>
      </c>
      <c r="R33" s="2">
        <v>22.627759999999999</v>
      </c>
      <c r="S33" s="2">
        <v>18.82677</v>
      </c>
      <c r="T33" s="2">
        <v>14.387549999999999</v>
      </c>
      <c r="U33" s="2">
        <v>13.76178</v>
      </c>
      <c r="V33" s="2">
        <v>11.30527</v>
      </c>
      <c r="W33" s="2">
        <v>9.3923009999999998</v>
      </c>
      <c r="X33" s="2">
        <v>5.8722880000000002</v>
      </c>
      <c r="Y33" s="2">
        <v>5.3023540000000002</v>
      </c>
      <c r="Z33" s="2">
        <v>4.6729640000000003</v>
      </c>
      <c r="AA33" s="2">
        <v>4.0755679999999996</v>
      </c>
      <c r="AB33" s="2">
        <v>20.798220000000001</v>
      </c>
      <c r="AC33" s="2">
        <v>15.802630000000001</v>
      </c>
      <c r="AD33" s="2">
        <v>16.19492</v>
      </c>
      <c r="AE33" s="2">
        <v>14.42562</v>
      </c>
      <c r="AF33" s="2">
        <v>4.3703200000000004</v>
      </c>
      <c r="AG33" s="2">
        <v>4.7111929999999997</v>
      </c>
      <c r="AH33" s="2">
        <v>5.8294680000000003</v>
      </c>
      <c r="AI33" s="2">
        <v>4.2722110000000004</v>
      </c>
      <c r="AJ33" s="2">
        <v>4.481446</v>
      </c>
      <c r="AK33" s="2">
        <v>5.3452609999999998</v>
      </c>
      <c r="AL33" s="3">
        <v>1.020044</v>
      </c>
      <c r="AM33" s="3">
        <v>0.80093769999999997</v>
      </c>
      <c r="AN33" s="2">
        <v>18.234829999999999</v>
      </c>
      <c r="AO33" s="2">
        <v>18.88119</v>
      </c>
      <c r="AP33" s="2">
        <v>19.78276</v>
      </c>
      <c r="AQ33" s="2">
        <v>20.69979</v>
      </c>
      <c r="AR33" s="2">
        <v>-4.0334200000000002E-3</v>
      </c>
      <c r="AS33" s="2">
        <v>-0.31603120000000001</v>
      </c>
      <c r="AT33" s="2">
        <v>-0.57957789999999998</v>
      </c>
      <c r="AU33" s="2">
        <v>-0.85081309999999999</v>
      </c>
      <c r="AV33" s="1" t="s">
        <v>6</v>
      </c>
      <c r="AW33" s="3">
        <v>1.2222219999999999</v>
      </c>
      <c r="AX33" s="3">
        <v>161</v>
      </c>
      <c r="AY33" s="2">
        <v>12.2264</v>
      </c>
      <c r="AZ33" s="2">
        <v>18.406330000000001</v>
      </c>
      <c r="BA33" s="2">
        <v>24</v>
      </c>
      <c r="BB33" s="2">
        <v>52.27684</v>
      </c>
      <c r="BC33" s="2">
        <v>22.699280000000002</v>
      </c>
      <c r="BD33" s="3">
        <v>89.41</v>
      </c>
      <c r="BE33" s="2">
        <v>60.45185</v>
      </c>
      <c r="BF33" s="3">
        <v>145.52000000000001</v>
      </c>
      <c r="BG33" s="2">
        <v>-1.41561</v>
      </c>
      <c r="BH33" s="2">
        <v>51.52646</v>
      </c>
      <c r="BI33" s="2">
        <v>39.459249999999997</v>
      </c>
      <c r="BJ33" s="2">
        <v>39.66919</v>
      </c>
      <c r="BK33" s="2">
        <v>39.890169999999998</v>
      </c>
      <c r="BL33" s="2">
        <v>17</v>
      </c>
      <c r="BM33" s="2">
        <v>16</v>
      </c>
      <c r="BN33" s="4">
        <v>18</v>
      </c>
      <c r="BO33" s="4">
        <v>0</v>
      </c>
      <c r="BP33" s="4">
        <v>1</v>
      </c>
      <c r="BQ33" s="4">
        <v>17</v>
      </c>
      <c r="BR33" s="2">
        <v>0</v>
      </c>
      <c r="BS33" s="4">
        <v>15</v>
      </c>
      <c r="BT33" s="4">
        <v>0</v>
      </c>
      <c r="BU33" s="4">
        <v>18</v>
      </c>
      <c r="BV33" s="2">
        <v>83.333330000000004</v>
      </c>
      <c r="BW33" s="2">
        <v>9.5097900000000006</v>
      </c>
      <c r="BX33" s="2">
        <v>427.26060000000001</v>
      </c>
      <c r="BY33" s="3">
        <v>0.67275759999999996</v>
      </c>
      <c r="BZ33" s="3">
        <v>0.1574584</v>
      </c>
      <c r="CA33" s="2">
        <v>1.27837</v>
      </c>
      <c r="CB33" s="3">
        <v>0.1574584</v>
      </c>
      <c r="CC33" s="3">
        <v>5.0177959999999997</v>
      </c>
      <c r="CD33" s="3">
        <v>5.026478</v>
      </c>
      <c r="CE33" s="2">
        <v>0.1730323</v>
      </c>
      <c r="CF33" s="3">
        <v>3081.3560000000002</v>
      </c>
      <c r="CG33" s="3">
        <v>3066.4609999999998</v>
      </c>
      <c r="CH33" s="2">
        <v>-0.48340559999999999</v>
      </c>
      <c r="CI33" s="3">
        <v>155.33330000000001</v>
      </c>
      <c r="CJ33" s="2">
        <v>3.6480670000000002</v>
      </c>
      <c r="CK33" s="3">
        <v>22872.74</v>
      </c>
      <c r="CL33" s="3">
        <v>23095.74</v>
      </c>
      <c r="CM33" s="2">
        <v>0.97494130000000001</v>
      </c>
      <c r="CN33" s="3">
        <v>126.3434</v>
      </c>
      <c r="CO33" s="3">
        <v>139.65729999999999</v>
      </c>
      <c r="CP33" s="3">
        <v>139.14609999999999</v>
      </c>
      <c r="CQ33" s="2">
        <v>13.54772</v>
      </c>
      <c r="CR33" s="2">
        <v>2.7229190000000001</v>
      </c>
      <c r="CS33" s="2">
        <v>3.1002519999999998</v>
      </c>
      <c r="CT33" s="2">
        <v>10.53786</v>
      </c>
      <c r="CU33" s="2">
        <v>80.082449999999994</v>
      </c>
      <c r="CV33" s="3">
        <v>0.1306513</v>
      </c>
      <c r="CW33" s="2" t="e">
        <v>#N/A</v>
      </c>
      <c r="CX33" s="2">
        <v>3.8966159999999999</v>
      </c>
      <c r="CY33" s="2" t="e">
        <v>#N/A</v>
      </c>
      <c r="CZ33" s="2">
        <v>24.0303</v>
      </c>
    </row>
    <row r="34" spans="1:104" ht="15" customHeight="1" x14ac:dyDescent="0.2">
      <c r="A34" s="1">
        <f t="shared" si="0"/>
        <v>28</v>
      </c>
      <c r="B34" s="1" t="s">
        <v>96</v>
      </c>
      <c r="C34" s="1" t="s">
        <v>95</v>
      </c>
      <c r="D34" s="1" t="s">
        <v>9</v>
      </c>
      <c r="E34" s="1" t="s">
        <v>4</v>
      </c>
      <c r="F34" s="1" t="s">
        <v>97</v>
      </c>
      <c r="G34" s="2">
        <v>85986.55</v>
      </c>
      <c r="H34" s="2">
        <v>99.570499999999996</v>
      </c>
      <c r="I34" s="2">
        <v>85617.24</v>
      </c>
      <c r="J34" s="3">
        <v>213.2</v>
      </c>
      <c r="K34" s="3">
        <v>0</v>
      </c>
      <c r="L34" s="2">
        <v>5.347092</v>
      </c>
      <c r="M34" s="2">
        <v>5.6285179999999997</v>
      </c>
      <c r="N34" s="2">
        <v>6.0689799999999998</v>
      </c>
      <c r="O34" s="2">
        <v>6.5900559999999997</v>
      </c>
      <c r="P34" s="2">
        <v>13.111929999999999</v>
      </c>
      <c r="Q34" s="2">
        <v>9.1228069999999999</v>
      </c>
      <c r="R34" s="2">
        <v>8.2237220000000004</v>
      </c>
      <c r="S34" s="2">
        <v>7.5966509999999996</v>
      </c>
      <c r="T34" s="2">
        <v>10.61443</v>
      </c>
      <c r="U34" s="2">
        <v>7.3108250000000004</v>
      </c>
      <c r="V34" s="2">
        <v>7.0650370000000002</v>
      </c>
      <c r="W34" s="2">
        <v>6.8015569999999999</v>
      </c>
      <c r="X34" s="2">
        <v>1.6722950000000001</v>
      </c>
      <c r="Y34" s="2">
        <v>1.415699</v>
      </c>
      <c r="Z34" s="2">
        <v>1.2783310000000001</v>
      </c>
      <c r="AA34" s="2">
        <v>1.148274</v>
      </c>
      <c r="AB34" s="2" t="e">
        <v>#N/A</v>
      </c>
      <c r="AC34" s="2" t="e">
        <v>#N/A</v>
      </c>
      <c r="AD34" s="2" t="e">
        <v>#N/A</v>
      </c>
      <c r="AE34" s="2" t="e">
        <v>#N/A</v>
      </c>
      <c r="AF34" s="2">
        <v>4.5400470000000004</v>
      </c>
      <c r="AG34" s="2">
        <v>4.8952770000000001</v>
      </c>
      <c r="AH34" s="2">
        <v>5.1056100000000004</v>
      </c>
      <c r="AI34" s="2">
        <v>5.648123</v>
      </c>
      <c r="AJ34" s="2">
        <v>6.0900530000000002</v>
      </c>
      <c r="AK34" s="2">
        <v>6.3517219999999996</v>
      </c>
      <c r="AL34" s="3">
        <v>0.48022130000000002</v>
      </c>
      <c r="AM34" s="3">
        <v>0.4346834</v>
      </c>
      <c r="AN34" s="2">
        <v>6.2952310000000002</v>
      </c>
      <c r="AO34" s="2">
        <v>9.2109459999999999</v>
      </c>
      <c r="AP34" s="2">
        <v>9.1099449999999997</v>
      </c>
      <c r="AQ34" s="2">
        <v>9.0594380000000001</v>
      </c>
      <c r="AR34" s="2">
        <v>2.1854990000000001</v>
      </c>
      <c r="AS34" s="2">
        <v>1.434274</v>
      </c>
      <c r="AT34" s="2">
        <v>1.3860539999999999</v>
      </c>
      <c r="AU34" s="2">
        <v>1.334363</v>
      </c>
      <c r="AV34" s="1" t="s">
        <v>6</v>
      </c>
      <c r="AW34" s="3">
        <v>1.2941180000000001</v>
      </c>
      <c r="AX34" s="3">
        <v>254</v>
      </c>
      <c r="AY34" s="2">
        <v>19.136959999999998</v>
      </c>
      <c r="AZ34" s="2">
        <v>15.51824</v>
      </c>
      <c r="BA34" s="2">
        <v>18.71283</v>
      </c>
      <c r="BB34" s="2">
        <v>17.065670000000001</v>
      </c>
      <c r="BC34" s="2">
        <v>6.1224460000000001</v>
      </c>
      <c r="BD34" s="3">
        <v>156.22</v>
      </c>
      <c r="BE34" s="2">
        <v>36.474209999999999</v>
      </c>
      <c r="BF34" s="3">
        <v>228.4</v>
      </c>
      <c r="BG34" s="2">
        <v>-6.6549899999999997</v>
      </c>
      <c r="BH34" s="2">
        <v>70.432400000000001</v>
      </c>
      <c r="BI34" s="2">
        <v>51.496389999999998</v>
      </c>
      <c r="BJ34" s="2">
        <v>50.047089999999997</v>
      </c>
      <c r="BK34" s="2">
        <v>50.876309999999997</v>
      </c>
      <c r="BL34" s="2">
        <v>14</v>
      </c>
      <c r="BM34" s="2">
        <v>7</v>
      </c>
      <c r="BN34" s="4">
        <v>17</v>
      </c>
      <c r="BO34" s="4">
        <v>0</v>
      </c>
      <c r="BP34" s="4">
        <v>0</v>
      </c>
      <c r="BQ34" s="4">
        <v>17</v>
      </c>
      <c r="BR34" s="2">
        <v>0</v>
      </c>
      <c r="BS34" s="4">
        <v>13</v>
      </c>
      <c r="BT34" s="4">
        <v>0</v>
      </c>
      <c r="BU34" s="4">
        <v>17</v>
      </c>
      <c r="BV34" s="2">
        <v>76.470590000000001</v>
      </c>
      <c r="BW34" s="2">
        <v>8.5887700000000002</v>
      </c>
      <c r="BX34" s="2">
        <v>403.31400000000002</v>
      </c>
      <c r="BY34" s="3">
        <v>0.9503703</v>
      </c>
      <c r="BZ34" s="3">
        <v>0.2356403</v>
      </c>
      <c r="CA34" s="2">
        <v>1.1920500000000001</v>
      </c>
      <c r="CB34" s="3">
        <v>0.2356403</v>
      </c>
      <c r="CC34" s="3">
        <v>24.1739</v>
      </c>
      <c r="CD34" s="3">
        <v>23.725000000000001</v>
      </c>
      <c r="CE34" s="2">
        <v>-1.8569770000000001</v>
      </c>
      <c r="CF34" s="3">
        <v>14423.01</v>
      </c>
      <c r="CG34" s="3">
        <v>14888.54</v>
      </c>
      <c r="CH34" s="2">
        <v>3.2277110000000002</v>
      </c>
      <c r="CI34" s="3">
        <v>249.13159999999999</v>
      </c>
      <c r="CJ34" s="2">
        <v>1.954162</v>
      </c>
      <c r="CK34" s="3">
        <v>157526.79999999999</v>
      </c>
      <c r="CL34" s="3">
        <v>159439.79999999999</v>
      </c>
      <c r="CM34" s="2">
        <v>1.214445</v>
      </c>
      <c r="CN34" s="3">
        <v>205.45230000000001</v>
      </c>
      <c r="CO34" s="3">
        <v>212.63200000000001</v>
      </c>
      <c r="CP34" s="3">
        <v>208.9435</v>
      </c>
      <c r="CQ34" s="2">
        <v>3.7710309999999998</v>
      </c>
      <c r="CR34" s="2">
        <v>0.26713609999999999</v>
      </c>
      <c r="CS34" s="2">
        <v>2.0371790000000001</v>
      </c>
      <c r="CT34" s="2">
        <v>3.4945729999999999</v>
      </c>
      <c r="CU34" s="2">
        <v>181.625</v>
      </c>
      <c r="CV34" s="3">
        <v>0.21122489999999999</v>
      </c>
      <c r="CW34" s="2">
        <v>-7.7401869999999997</v>
      </c>
      <c r="CX34" s="2">
        <v>0.52772929999999996</v>
      </c>
      <c r="CY34" s="2">
        <v>2.5219269999999998</v>
      </c>
      <c r="CZ34" s="2">
        <v>24.181819999999998</v>
      </c>
    </row>
    <row r="35" spans="1:104" ht="15" customHeight="1" x14ac:dyDescent="0.2">
      <c r="A35" s="1">
        <f t="shared" si="0"/>
        <v>29</v>
      </c>
      <c r="B35" s="1" t="s">
        <v>99</v>
      </c>
      <c r="C35" s="1" t="s">
        <v>98</v>
      </c>
      <c r="D35" s="1" t="s">
        <v>9</v>
      </c>
      <c r="E35" s="1" t="s">
        <v>100</v>
      </c>
      <c r="F35" s="1" t="s">
        <v>101</v>
      </c>
      <c r="G35" s="2">
        <v>153735</v>
      </c>
      <c r="H35" s="2">
        <v>83.305700000000002</v>
      </c>
      <c r="I35" s="2">
        <v>128070</v>
      </c>
      <c r="J35" s="3">
        <v>125.14</v>
      </c>
      <c r="K35" s="3">
        <v>0</v>
      </c>
      <c r="L35" s="2">
        <v>1.5982099999999999</v>
      </c>
      <c r="M35" s="2">
        <v>1.642336</v>
      </c>
      <c r="N35" s="2">
        <v>1.762027</v>
      </c>
      <c r="O35" s="2">
        <v>1.8778969999999999</v>
      </c>
      <c r="P35" s="2">
        <v>30.671569999999999</v>
      </c>
      <c r="Q35" s="2">
        <v>23.790870000000002</v>
      </c>
      <c r="R35" s="2">
        <v>20.249189999999999</v>
      </c>
      <c r="S35" s="2">
        <v>17.165839999999999</v>
      </c>
      <c r="T35" s="2">
        <v>18.026160000000001</v>
      </c>
      <c r="U35" s="2">
        <v>15.1976</v>
      </c>
      <c r="V35" s="2">
        <v>13.19988</v>
      </c>
      <c r="W35" s="2">
        <v>11.445819999999999</v>
      </c>
      <c r="X35" s="2">
        <v>3.6471689999999999</v>
      </c>
      <c r="Y35" s="2">
        <v>3.4950429999999999</v>
      </c>
      <c r="Z35" s="2">
        <v>3.2845149999999999</v>
      </c>
      <c r="AA35" s="2">
        <v>3.0150579999999998</v>
      </c>
      <c r="AB35" s="2">
        <v>25.945170000000001</v>
      </c>
      <c r="AC35" s="2">
        <v>24.111750000000001</v>
      </c>
      <c r="AD35" s="2">
        <v>19.800630000000002</v>
      </c>
      <c r="AE35" s="2">
        <v>16.546790000000001</v>
      </c>
      <c r="AF35" s="2">
        <v>3.2958880000000002</v>
      </c>
      <c r="AG35" s="2">
        <v>4.2851949999999999</v>
      </c>
      <c r="AH35" s="2">
        <v>5.2295100000000003</v>
      </c>
      <c r="AI35" s="2">
        <v>3.2178290000000001</v>
      </c>
      <c r="AJ35" s="2">
        <v>4.099361</v>
      </c>
      <c r="AK35" s="2">
        <v>4.9469900000000004</v>
      </c>
      <c r="AL35" s="3">
        <v>1.286092</v>
      </c>
      <c r="AM35" s="3">
        <v>1.0840749999999999</v>
      </c>
      <c r="AN35" s="2">
        <v>22.08943</v>
      </c>
      <c r="AO35" s="2">
        <v>31.727740000000001</v>
      </c>
      <c r="AP35" s="2">
        <v>32.867420000000003</v>
      </c>
      <c r="AQ35" s="2">
        <v>33.881979999999999</v>
      </c>
      <c r="AR35" s="2">
        <v>0.66121859999999999</v>
      </c>
      <c r="AS35" s="2">
        <v>-0.36866660000000001</v>
      </c>
      <c r="AT35" s="2">
        <v>-0.59838179999999996</v>
      </c>
      <c r="AU35" s="2">
        <v>-0.65366299999999999</v>
      </c>
      <c r="AV35" s="1" t="s">
        <v>6</v>
      </c>
      <c r="AW35" s="3">
        <v>1.357143</v>
      </c>
      <c r="AX35" s="3">
        <v>136</v>
      </c>
      <c r="AY35" s="2">
        <v>8.6782819999999994</v>
      </c>
      <c r="AZ35" s="2">
        <v>14.69069</v>
      </c>
      <c r="BA35" s="2">
        <v>19.7</v>
      </c>
      <c r="BB35" s="2">
        <v>43.954909999999998</v>
      </c>
      <c r="BC35" s="2">
        <v>29.826750000000001</v>
      </c>
      <c r="BD35" s="3">
        <v>79.58</v>
      </c>
      <c r="BE35" s="2">
        <v>57.25056</v>
      </c>
      <c r="BF35" s="3">
        <v>127.2</v>
      </c>
      <c r="BG35" s="2">
        <v>-1.619494</v>
      </c>
      <c r="BH35" s="2">
        <v>48.987659999999998</v>
      </c>
      <c r="BI35" s="2">
        <v>38.782069999999997</v>
      </c>
      <c r="BJ35" s="2">
        <v>35.128619999999998</v>
      </c>
      <c r="BK35" s="2">
        <v>32.413539999999998</v>
      </c>
      <c r="BL35" s="2">
        <v>28</v>
      </c>
      <c r="BM35" s="2">
        <v>25</v>
      </c>
      <c r="BN35" s="4">
        <v>28</v>
      </c>
      <c r="BO35" s="4">
        <v>3</v>
      </c>
      <c r="BP35" s="4">
        <v>1</v>
      </c>
      <c r="BQ35" s="4">
        <v>24</v>
      </c>
      <c r="BR35" s="2">
        <v>10.71429</v>
      </c>
      <c r="BS35" s="4">
        <v>20</v>
      </c>
      <c r="BT35" s="4">
        <v>0</v>
      </c>
      <c r="BU35" s="4">
        <v>28</v>
      </c>
      <c r="BV35" s="2">
        <v>71.428569999999993</v>
      </c>
      <c r="BW35" s="2">
        <v>8.89255</v>
      </c>
      <c r="BX35" s="2">
        <v>1228.5039999999999</v>
      </c>
      <c r="BY35" s="3">
        <v>1.82829</v>
      </c>
      <c r="BZ35" s="3">
        <v>0.14882239999999999</v>
      </c>
      <c r="CA35" s="2">
        <v>1.23888</v>
      </c>
      <c r="CB35" s="3">
        <v>0.14882239999999999</v>
      </c>
      <c r="CC35" s="3">
        <v>5.3537090000000003</v>
      </c>
      <c r="CD35" s="3">
        <v>5.2229089999999996</v>
      </c>
      <c r="CE35" s="2">
        <v>-2.4431530000000001</v>
      </c>
      <c r="CF35" s="3">
        <v>8823.0390000000007</v>
      </c>
      <c r="CG35" s="3">
        <v>8705.2829999999994</v>
      </c>
      <c r="CH35" s="2">
        <v>-1.334643</v>
      </c>
      <c r="CI35" s="3">
        <v>121.91670000000001</v>
      </c>
      <c r="CJ35" s="2">
        <v>11.55161</v>
      </c>
      <c r="CK35" s="3">
        <v>32412.19</v>
      </c>
      <c r="CL35" s="3">
        <v>31226.44</v>
      </c>
      <c r="CM35" s="2">
        <v>-3.6583600000000001</v>
      </c>
      <c r="CN35" s="3">
        <v>108.68640000000001</v>
      </c>
      <c r="CO35" s="3">
        <v>122.8784</v>
      </c>
      <c r="CP35" s="3">
        <v>123.5115</v>
      </c>
      <c r="CQ35" s="2">
        <v>15.138629999999999</v>
      </c>
      <c r="CR35" s="2">
        <v>1.840484</v>
      </c>
      <c r="CS35" s="2">
        <v>1.3184670000000001</v>
      </c>
      <c r="CT35" s="2">
        <v>13.05782</v>
      </c>
      <c r="CU35" s="2">
        <v>194.49180000000001</v>
      </c>
      <c r="CV35" s="3">
        <v>0.12651109999999999</v>
      </c>
      <c r="CW35" s="2">
        <v>15.206950000000001</v>
      </c>
      <c r="CX35" s="2">
        <v>1.397659</v>
      </c>
      <c r="CY35" s="2">
        <v>0.60402160000000005</v>
      </c>
      <c r="CZ35" s="2">
        <v>24.212119999999999</v>
      </c>
    </row>
    <row r="36" spans="1:104" ht="15" customHeight="1" x14ac:dyDescent="0.2">
      <c r="A36" s="1">
        <f t="shared" si="0"/>
        <v>30</v>
      </c>
      <c r="B36" s="1" t="s">
        <v>103</v>
      </c>
      <c r="C36" s="1" t="s">
        <v>102</v>
      </c>
      <c r="D36" s="1" t="s">
        <v>9</v>
      </c>
      <c r="E36" s="1" t="s">
        <v>41</v>
      </c>
      <c r="F36" s="1" t="s">
        <v>42</v>
      </c>
      <c r="G36" s="2">
        <v>25350.9</v>
      </c>
      <c r="H36" s="2">
        <v>97.524500000000003</v>
      </c>
      <c r="I36" s="2">
        <v>24723.34</v>
      </c>
      <c r="J36" s="3">
        <v>122.94</v>
      </c>
      <c r="K36" s="3">
        <v>0</v>
      </c>
      <c r="L36" s="2">
        <v>7.0766220000000004</v>
      </c>
      <c r="M36" s="2">
        <v>7.3694490000000004</v>
      </c>
      <c r="N36" s="2">
        <v>7.4263870000000001</v>
      </c>
      <c r="O36" s="2">
        <v>7.7273459999999998</v>
      </c>
      <c r="P36" s="2">
        <v>4.1491730000000002</v>
      </c>
      <c r="Q36" s="2">
        <v>3.7709950000000001</v>
      </c>
      <c r="R36" s="2">
        <v>3.8144589999999998</v>
      </c>
      <c r="S36" s="2">
        <v>3.6941109999999999</v>
      </c>
      <c r="T36" s="2">
        <v>0.52496169999999998</v>
      </c>
      <c r="U36" s="2">
        <v>0.63043870000000002</v>
      </c>
      <c r="V36" s="2">
        <v>0.58999009999999996</v>
      </c>
      <c r="W36" s="2">
        <v>0.55453870000000005</v>
      </c>
      <c r="X36" s="2">
        <v>0.3726584</v>
      </c>
      <c r="Y36" s="2">
        <v>0.36309940000000002</v>
      </c>
      <c r="Z36" s="2">
        <v>0.34128140000000001</v>
      </c>
      <c r="AA36" s="2">
        <v>0.32082460000000002</v>
      </c>
      <c r="AB36" s="2">
        <v>2.0627520000000001</v>
      </c>
      <c r="AC36" s="2">
        <v>1.7544519999999999</v>
      </c>
      <c r="AD36" s="2">
        <v>1.6914359999999999</v>
      </c>
      <c r="AE36" s="2">
        <v>1.419467</v>
      </c>
      <c r="AF36" s="2">
        <v>-74.076009999999997</v>
      </c>
      <c r="AG36" s="2">
        <v>-55.298380000000002</v>
      </c>
      <c r="AH36" s="2">
        <v>-55.873829999999998</v>
      </c>
      <c r="AI36" s="2">
        <v>39.622990000000001</v>
      </c>
      <c r="AJ36" s="2">
        <v>36.248040000000003</v>
      </c>
      <c r="AK36" s="2">
        <v>39.703049999999998</v>
      </c>
      <c r="AL36" s="3">
        <v>0.43470439999999999</v>
      </c>
      <c r="AM36" s="3">
        <v>0.43588539999999998</v>
      </c>
      <c r="AN36" s="2">
        <v>16.75564</v>
      </c>
      <c r="AO36" s="2">
        <v>16.39255</v>
      </c>
      <c r="AP36" s="2">
        <v>15.453939999999999</v>
      </c>
      <c r="AQ36" s="2">
        <v>14.897779999999999</v>
      </c>
      <c r="AR36" s="2">
        <v>-0.91937729999999995</v>
      </c>
      <c r="AS36" s="2">
        <v>-0.77730279999999996</v>
      </c>
      <c r="AT36" s="2">
        <v>-0.86875139999999995</v>
      </c>
      <c r="AU36" s="2">
        <v>-0.88718750000000002</v>
      </c>
      <c r="AV36" s="1" t="s">
        <v>6</v>
      </c>
      <c r="AW36" s="3">
        <v>1.521739</v>
      </c>
      <c r="AX36" s="3">
        <v>152.5</v>
      </c>
      <c r="AY36" s="2">
        <v>24.044250000000002</v>
      </c>
      <c r="AZ36" s="2">
        <v>9.6287430000000001</v>
      </c>
      <c r="BA36" s="2">
        <v>8.7859309999999997</v>
      </c>
      <c r="BB36" s="2">
        <v>-3.5159289999999999</v>
      </c>
      <c r="BC36" s="2">
        <v>5.6004170000000002</v>
      </c>
      <c r="BD36" s="3">
        <v>112.84</v>
      </c>
      <c r="BE36" s="2">
        <v>8.9507340000000006</v>
      </c>
      <c r="BF36" s="3">
        <v>153.74</v>
      </c>
      <c r="BG36" s="2">
        <v>-20.033819999999999</v>
      </c>
      <c r="BH36" s="2">
        <v>28.79974</v>
      </c>
      <c r="BI36" s="2">
        <v>26.952390000000001</v>
      </c>
      <c r="BJ36" s="2">
        <v>28.867319999999999</v>
      </c>
      <c r="BK36" s="2">
        <v>28.503409999999999</v>
      </c>
      <c r="BL36" s="2">
        <v>19</v>
      </c>
      <c r="BM36" s="2">
        <v>17</v>
      </c>
      <c r="BN36" s="4">
        <v>23</v>
      </c>
      <c r="BO36" s="4">
        <v>0</v>
      </c>
      <c r="BP36" s="4">
        <v>1</v>
      </c>
      <c r="BQ36" s="4">
        <v>23</v>
      </c>
      <c r="BR36" s="2">
        <v>0</v>
      </c>
      <c r="BS36" s="4">
        <v>14</v>
      </c>
      <c r="BT36" s="4">
        <v>2</v>
      </c>
      <c r="BU36" s="4">
        <v>23</v>
      </c>
      <c r="BV36" s="2">
        <v>60.86956</v>
      </c>
      <c r="BW36" s="2">
        <v>10.010899999999999</v>
      </c>
      <c r="BX36" s="2">
        <v>206.2054</v>
      </c>
      <c r="BY36" s="3">
        <v>1.1112169999999999</v>
      </c>
      <c r="BZ36" s="3">
        <v>0.53888849999999999</v>
      </c>
      <c r="CA36" s="2">
        <v>1.2846299999999999</v>
      </c>
      <c r="CB36" s="3">
        <v>0.53888849999999999</v>
      </c>
      <c r="CC36" s="3">
        <v>30.61337</v>
      </c>
      <c r="CD36" s="3">
        <v>32.18929</v>
      </c>
      <c r="CE36" s="2">
        <v>5.1478149999999996</v>
      </c>
      <c r="CF36" s="3">
        <v>21354.81</v>
      </c>
      <c r="CG36" s="3">
        <v>23312.17</v>
      </c>
      <c r="CH36" s="2">
        <v>9.1658950000000008</v>
      </c>
      <c r="CI36" s="3">
        <v>174.07140000000001</v>
      </c>
      <c r="CJ36" s="2">
        <v>-12.39228</v>
      </c>
      <c r="CK36" s="3">
        <v>294218.40000000002</v>
      </c>
      <c r="CL36" s="3">
        <v>304425.90000000002</v>
      </c>
      <c r="CM36" s="2">
        <v>3.46936</v>
      </c>
      <c r="CN36" s="3">
        <v>122.07729999999999</v>
      </c>
      <c r="CO36" s="3">
        <v>122.9314</v>
      </c>
      <c r="CP36" s="3">
        <v>124.0046</v>
      </c>
      <c r="CQ36" s="2">
        <v>0.7066846</v>
      </c>
      <c r="CR36" s="2">
        <v>7.0095060000000004E-3</v>
      </c>
      <c r="CS36" s="2">
        <v>-0.85852150000000005</v>
      </c>
      <c r="CT36" s="2">
        <v>0.69962740000000001</v>
      </c>
      <c r="CU36" s="2">
        <v>125.68429999999999</v>
      </c>
      <c r="CV36" s="3">
        <v>0.49577850000000001</v>
      </c>
      <c r="CW36" s="2">
        <v>22.323709999999998</v>
      </c>
      <c r="CX36" s="2">
        <v>4.949916</v>
      </c>
      <c r="CY36" s="2">
        <v>10.10975</v>
      </c>
      <c r="CZ36" s="2">
        <v>24.828279999999999</v>
      </c>
    </row>
    <row r="37" spans="1:104" ht="15" customHeight="1" x14ac:dyDescent="0.2">
      <c r="A37" s="1">
        <f t="shared" si="0"/>
        <v>31</v>
      </c>
      <c r="B37" s="1" t="s">
        <v>105</v>
      </c>
      <c r="C37" s="1" t="s">
        <v>104</v>
      </c>
      <c r="D37" s="1" t="s">
        <v>9</v>
      </c>
      <c r="E37" s="1" t="s">
        <v>4</v>
      </c>
      <c r="F37" s="1" t="s">
        <v>106</v>
      </c>
      <c r="G37" s="2">
        <v>46890.45</v>
      </c>
      <c r="H37" s="2">
        <v>99.998099999999994</v>
      </c>
      <c r="I37" s="2">
        <v>46889.56</v>
      </c>
      <c r="J37" s="3">
        <v>343.6</v>
      </c>
      <c r="K37" s="3">
        <v>0</v>
      </c>
      <c r="L37" s="2">
        <v>3.3760189999999999</v>
      </c>
      <c r="M37" s="2">
        <v>3.6103019999999999</v>
      </c>
      <c r="N37" s="2">
        <v>3.814028</v>
      </c>
      <c r="O37" s="2">
        <v>4.0672290000000002</v>
      </c>
      <c r="P37" s="2">
        <v>13.950469999999999</v>
      </c>
      <c r="Q37" s="2">
        <v>10.93571</v>
      </c>
      <c r="R37" s="2">
        <v>9.7952709999999996</v>
      </c>
      <c r="S37" s="2">
        <v>8.889443</v>
      </c>
      <c r="T37" s="2">
        <v>9.4313540000000007</v>
      </c>
      <c r="U37" s="2">
        <v>7.5965109999999996</v>
      </c>
      <c r="V37" s="2">
        <v>7.5422989999999999</v>
      </c>
      <c r="W37" s="2">
        <v>6.8699490000000001</v>
      </c>
      <c r="X37" s="2">
        <v>2.2724869999999999</v>
      </c>
      <c r="Y37" s="2">
        <v>1.642644</v>
      </c>
      <c r="Z37" s="2">
        <v>1.5106619999999999</v>
      </c>
      <c r="AA37" s="2">
        <v>1.37799</v>
      </c>
      <c r="AB37" s="2" t="e">
        <v>#N/A</v>
      </c>
      <c r="AC37" s="2" t="e">
        <v>#N/A</v>
      </c>
      <c r="AD37" s="2" t="e">
        <v>#N/A</v>
      </c>
      <c r="AE37" s="2" t="e">
        <v>#N/A</v>
      </c>
      <c r="AF37" s="2">
        <v>-0.93485240000000003</v>
      </c>
      <c r="AG37" s="2">
        <v>3.020025</v>
      </c>
      <c r="AH37" s="2">
        <v>4.5425769999999996</v>
      </c>
      <c r="AI37" s="2">
        <v>-0.94083879999999998</v>
      </c>
      <c r="AJ37" s="2">
        <v>3.039364</v>
      </c>
      <c r="AK37" s="2">
        <v>4.5716659999999996</v>
      </c>
      <c r="AL37" s="3">
        <v>1.8442259999999999</v>
      </c>
      <c r="AM37" s="3">
        <v>1.6152679999999999</v>
      </c>
      <c r="AN37" s="2">
        <v>7.1489859999999998</v>
      </c>
      <c r="AO37" s="2">
        <v>9.0761339999999997</v>
      </c>
      <c r="AP37" s="2">
        <v>8.7013759999999998</v>
      </c>
      <c r="AQ37" s="2">
        <v>9.4122500000000002</v>
      </c>
      <c r="AR37" s="2">
        <v>0.55718210000000001</v>
      </c>
      <c r="AS37" s="2">
        <v>4.8335940000000001E-2</v>
      </c>
      <c r="AT37" s="2">
        <v>4.7990989999999997E-2</v>
      </c>
      <c r="AU37" s="2">
        <v>4.3712889999999997E-2</v>
      </c>
      <c r="AV37" s="1" t="s">
        <v>6</v>
      </c>
      <c r="AW37" s="3">
        <v>1.3823529999999999</v>
      </c>
      <c r="AX37" s="3">
        <v>354</v>
      </c>
      <c r="AY37" s="2">
        <v>3.0267719999999998</v>
      </c>
      <c r="AZ37" s="2">
        <v>15.02092</v>
      </c>
      <c r="BA37" s="2">
        <v>6</v>
      </c>
      <c r="BB37" s="2">
        <v>53.256019999999999</v>
      </c>
      <c r="BC37" s="2">
        <v>13.02632</v>
      </c>
      <c r="BD37" s="3">
        <v>212.7</v>
      </c>
      <c r="BE37" s="2">
        <v>61.542079999999999</v>
      </c>
      <c r="BF37" s="3">
        <v>346.9</v>
      </c>
      <c r="BG37" s="2">
        <v>-0.95127819999999996</v>
      </c>
      <c r="BH37" s="2">
        <v>47.236240000000002</v>
      </c>
      <c r="BI37" s="2">
        <v>40.240850000000002</v>
      </c>
      <c r="BJ37" s="2">
        <v>37.547110000000004</v>
      </c>
      <c r="BK37" s="2">
        <v>36.968919999999997</v>
      </c>
      <c r="BL37" s="2">
        <v>14</v>
      </c>
      <c r="BM37" s="2">
        <v>7</v>
      </c>
      <c r="BN37" s="4">
        <v>17</v>
      </c>
      <c r="BO37" s="4">
        <v>0</v>
      </c>
      <c r="BP37" s="4">
        <v>0</v>
      </c>
      <c r="BQ37" s="4">
        <v>17</v>
      </c>
      <c r="BR37" s="2">
        <v>0</v>
      </c>
      <c r="BS37" s="4">
        <v>11</v>
      </c>
      <c r="BT37" s="4">
        <v>0</v>
      </c>
      <c r="BU37" s="4">
        <v>17</v>
      </c>
      <c r="BV37" s="2">
        <v>64.705889999999997</v>
      </c>
      <c r="BW37" s="2">
        <v>7.3480999999999996</v>
      </c>
      <c r="BX37" s="2">
        <v>136.46809999999999</v>
      </c>
      <c r="BY37" s="3">
        <v>0.34153349999999999</v>
      </c>
      <c r="BZ37" s="3">
        <v>0.25026609999999999</v>
      </c>
      <c r="CA37" s="2">
        <v>0.88904700000000003</v>
      </c>
      <c r="CB37" s="3">
        <v>0.25026609999999999</v>
      </c>
      <c r="CC37" s="3">
        <v>30.49568</v>
      </c>
      <c r="CD37" s="3">
        <v>31.051870000000001</v>
      </c>
      <c r="CE37" s="2">
        <v>1.823807</v>
      </c>
      <c r="CF37" s="3">
        <v>5573.3959999999997</v>
      </c>
      <c r="CG37" s="3">
        <v>5948.7520000000004</v>
      </c>
      <c r="CH37" s="2">
        <v>6.734788</v>
      </c>
      <c r="CI37" s="3">
        <v>351.84739999999999</v>
      </c>
      <c r="CJ37" s="2">
        <v>0.61180590000000001</v>
      </c>
      <c r="CK37" s="3">
        <v>68886.31</v>
      </c>
      <c r="CL37" s="3">
        <v>66070.63</v>
      </c>
      <c r="CM37" s="2">
        <v>-4.0874300000000003</v>
      </c>
      <c r="CN37" s="3">
        <v>310.48309999999998</v>
      </c>
      <c r="CO37" s="3">
        <v>333.01960000000003</v>
      </c>
      <c r="CP37" s="3">
        <v>332.6</v>
      </c>
      <c r="CQ37" s="2">
        <v>10.66624</v>
      </c>
      <c r="CR37" s="2">
        <v>3.1771060000000002</v>
      </c>
      <c r="CS37" s="2">
        <v>3.307283</v>
      </c>
      <c r="CT37" s="2">
        <v>7.2585230000000003</v>
      </c>
      <c r="CU37" s="2">
        <v>96.576139999999995</v>
      </c>
      <c r="CV37" s="3">
        <v>0.20596120000000001</v>
      </c>
      <c r="CW37" s="2">
        <v>-2.0308329999999999</v>
      </c>
      <c r="CX37" s="2">
        <v>19.186070000000001</v>
      </c>
      <c r="CY37" s="2">
        <v>18.154949999999999</v>
      </c>
      <c r="CZ37" s="2">
        <v>25</v>
      </c>
    </row>
    <row r="38" spans="1:104" ht="15" customHeight="1" x14ac:dyDescent="0.2">
      <c r="A38" s="1">
        <f t="shared" si="0"/>
        <v>32</v>
      </c>
      <c r="B38" s="1" t="s">
        <v>108</v>
      </c>
      <c r="C38" s="1" t="s">
        <v>107</v>
      </c>
      <c r="D38" s="1" t="s">
        <v>9</v>
      </c>
      <c r="E38" s="1" t="s">
        <v>4</v>
      </c>
      <c r="F38" s="1" t="s">
        <v>109</v>
      </c>
      <c r="G38" s="2">
        <v>32129</v>
      </c>
      <c r="H38" s="2">
        <v>96.701499999999996</v>
      </c>
      <c r="I38" s="2">
        <v>31069.23</v>
      </c>
      <c r="J38" s="3">
        <v>169.1</v>
      </c>
      <c r="K38" s="3">
        <v>0</v>
      </c>
      <c r="L38" s="2">
        <v>2.1289180000000001</v>
      </c>
      <c r="M38" s="2">
        <v>2.3139129999999999</v>
      </c>
      <c r="N38" s="2">
        <v>2.477824</v>
      </c>
      <c r="O38" s="2">
        <v>2.628622</v>
      </c>
      <c r="P38" s="2">
        <v>19.639959999999999</v>
      </c>
      <c r="Q38" s="2">
        <v>17.87527</v>
      </c>
      <c r="R38" s="2">
        <v>17.523319999999998</v>
      </c>
      <c r="S38" s="2">
        <v>16.573730000000001</v>
      </c>
      <c r="T38" s="2">
        <v>13.38058</v>
      </c>
      <c r="U38" s="2">
        <v>12.1556</v>
      </c>
      <c r="V38" s="2">
        <v>11.564299999999999</v>
      </c>
      <c r="W38" s="2">
        <v>10.764469999999999</v>
      </c>
      <c r="X38" s="2">
        <v>3.878441</v>
      </c>
      <c r="Y38" s="2">
        <v>3.3091979999999999</v>
      </c>
      <c r="Z38" s="2">
        <v>3.0088970000000002</v>
      </c>
      <c r="AA38" s="2">
        <v>2.7318259999999999</v>
      </c>
      <c r="AB38" s="2">
        <v>16.465309999999999</v>
      </c>
      <c r="AC38" s="2">
        <v>14.776759999999999</v>
      </c>
      <c r="AD38" s="2">
        <v>14.235799999999999</v>
      </c>
      <c r="AE38" s="2">
        <v>13.830780000000001</v>
      </c>
      <c r="AF38" s="2">
        <v>4.0728109999999997</v>
      </c>
      <c r="AG38" s="2">
        <v>4.1743969999999999</v>
      </c>
      <c r="AH38" s="2">
        <v>4.4261679999999997</v>
      </c>
      <c r="AI38" s="2">
        <v>4.4334550000000004</v>
      </c>
      <c r="AJ38" s="2">
        <v>4.4246340000000002</v>
      </c>
      <c r="AK38" s="2">
        <v>4.5518070000000002</v>
      </c>
      <c r="AL38" s="3">
        <v>1.8402350000000001</v>
      </c>
      <c r="AM38" s="3">
        <v>1.78684</v>
      </c>
      <c r="AN38" s="2">
        <v>58.225749999999998</v>
      </c>
      <c r="AO38" s="2">
        <v>60.221299999999999</v>
      </c>
      <c r="AP38" s="2">
        <v>59.805549999999997</v>
      </c>
      <c r="AQ38" s="2">
        <v>59.06955</v>
      </c>
      <c r="AR38" s="2">
        <v>1.238518</v>
      </c>
      <c r="AS38" s="2">
        <v>0.988811</v>
      </c>
      <c r="AT38" s="2">
        <v>0.65402570000000004</v>
      </c>
      <c r="AU38" s="2">
        <v>0.29712159999999999</v>
      </c>
      <c r="AV38" s="1" t="s">
        <v>25</v>
      </c>
      <c r="AW38" s="3">
        <v>1.5249999999999999</v>
      </c>
      <c r="AX38" s="3">
        <v>198</v>
      </c>
      <c r="AY38" s="2">
        <v>17.090479999999999</v>
      </c>
      <c r="AZ38" s="2">
        <v>18.512720000000002</v>
      </c>
      <c r="BA38" s="2">
        <v>9.7123500000000007</v>
      </c>
      <c r="BB38" s="2">
        <v>5.9523820000000001</v>
      </c>
      <c r="BC38" s="2">
        <v>4.7707680000000003</v>
      </c>
      <c r="BD38" s="3">
        <v>153.75</v>
      </c>
      <c r="BE38" s="2">
        <v>9.9837419999999995</v>
      </c>
      <c r="BF38" s="3">
        <v>186.35</v>
      </c>
      <c r="BG38" s="2">
        <v>-9.2567740000000001</v>
      </c>
      <c r="BH38" s="2">
        <v>41.893819999999998</v>
      </c>
      <c r="BI38" s="2">
        <v>42.167560000000002</v>
      </c>
      <c r="BJ38" s="2">
        <v>42.963720000000002</v>
      </c>
      <c r="BK38" s="2">
        <v>42.858069999999998</v>
      </c>
      <c r="BL38" s="2">
        <v>19</v>
      </c>
      <c r="BM38" s="2">
        <v>17</v>
      </c>
      <c r="BN38" s="4">
        <v>20</v>
      </c>
      <c r="BO38" s="4">
        <v>1</v>
      </c>
      <c r="BP38" s="4">
        <v>0</v>
      </c>
      <c r="BQ38" s="4">
        <v>19</v>
      </c>
      <c r="BR38" s="2">
        <v>5</v>
      </c>
      <c r="BS38" s="4">
        <v>11</v>
      </c>
      <c r="BT38" s="4">
        <v>1</v>
      </c>
      <c r="BU38" s="4">
        <v>20</v>
      </c>
      <c r="BV38" s="2">
        <v>55</v>
      </c>
      <c r="BW38" s="2">
        <v>5.9022199999999998</v>
      </c>
      <c r="BX38" s="2">
        <v>190</v>
      </c>
      <c r="BY38" s="3">
        <v>0.36868780000000001</v>
      </c>
      <c r="BZ38" s="3">
        <v>0.1940462</v>
      </c>
      <c r="CA38" s="2">
        <v>0.55635599999999996</v>
      </c>
      <c r="CB38" s="3">
        <v>0.1940462</v>
      </c>
      <c r="CC38" s="3">
        <v>9.3212100000000007</v>
      </c>
      <c r="CD38" s="3">
        <v>9.4611929999999997</v>
      </c>
      <c r="CE38" s="2">
        <v>1.5017750000000001</v>
      </c>
      <c r="CF38" s="3">
        <v>2441.4070000000002</v>
      </c>
      <c r="CG38" s="3">
        <v>2498.924</v>
      </c>
      <c r="CH38" s="2">
        <v>2.3558859999999999</v>
      </c>
      <c r="CI38" s="3">
        <v>192.25</v>
      </c>
      <c r="CJ38" s="2">
        <v>2.990901</v>
      </c>
      <c r="CK38" s="3">
        <v>4718.9040000000005</v>
      </c>
      <c r="CL38" s="3">
        <v>4779.26</v>
      </c>
      <c r="CM38" s="2">
        <v>1.27902</v>
      </c>
      <c r="CN38" s="3">
        <v>168.68299999999999</v>
      </c>
      <c r="CO38" s="3">
        <v>169.50399999999999</v>
      </c>
      <c r="CP38" s="3">
        <v>166.05959999999999</v>
      </c>
      <c r="CQ38" s="2">
        <v>0.24719240000000001</v>
      </c>
      <c r="CR38" s="2">
        <v>-0.2383113</v>
      </c>
      <c r="CS38" s="2">
        <v>1.8308880000000001</v>
      </c>
      <c r="CT38" s="2">
        <v>0.48665999999999998</v>
      </c>
      <c r="CU38" s="2">
        <v>64.225189999999998</v>
      </c>
      <c r="CV38" s="3">
        <v>0.19989789999999999</v>
      </c>
      <c r="CW38" s="2">
        <v>5.9863860000000004</v>
      </c>
      <c r="CX38" s="2">
        <v>1.9822390000000001</v>
      </c>
      <c r="CY38" s="2">
        <v>3.3686250000000002</v>
      </c>
      <c r="CZ38" s="2">
        <v>26</v>
      </c>
    </row>
    <row r="39" spans="1:104" ht="15" customHeight="1" x14ac:dyDescent="0.2">
      <c r="A39" s="1">
        <f t="shared" si="0"/>
        <v>33</v>
      </c>
      <c r="B39" s="1" t="s">
        <v>111</v>
      </c>
      <c r="C39" s="1" t="s">
        <v>110</v>
      </c>
      <c r="D39" s="1" t="s">
        <v>28</v>
      </c>
      <c r="E39" s="1" t="s">
        <v>112</v>
      </c>
      <c r="F39" s="1" t="s">
        <v>113</v>
      </c>
      <c r="G39" s="2">
        <v>123965.2</v>
      </c>
      <c r="H39" s="2">
        <v>87.566100000000006</v>
      </c>
      <c r="I39" s="2">
        <v>108551.5</v>
      </c>
      <c r="J39" s="3">
        <v>98.2</v>
      </c>
      <c r="K39" s="3">
        <v>0</v>
      </c>
      <c r="L39" s="2">
        <v>3.6252550000000001</v>
      </c>
      <c r="M39" s="2">
        <v>3.7340119999999999</v>
      </c>
      <c r="N39" s="2">
        <v>3.9613040000000002</v>
      </c>
      <c r="O39" s="2">
        <v>4.2408020000000004</v>
      </c>
      <c r="P39" s="2">
        <v>11.88862</v>
      </c>
      <c r="Q39" s="2">
        <v>11.96102</v>
      </c>
      <c r="R39" s="2">
        <v>10.905559999999999</v>
      </c>
      <c r="S39" s="2">
        <v>9.784599</v>
      </c>
      <c r="T39" s="2">
        <v>8.2580139999999993</v>
      </c>
      <c r="U39" s="2">
        <v>9.0670509999999993</v>
      </c>
      <c r="V39" s="2">
        <v>7.9165510000000001</v>
      </c>
      <c r="W39" s="2">
        <v>6.8173950000000003</v>
      </c>
      <c r="X39" s="2">
        <v>1.688591</v>
      </c>
      <c r="Y39" s="2">
        <v>1.587712</v>
      </c>
      <c r="Z39" s="2">
        <v>1.4946729999999999</v>
      </c>
      <c r="AA39" s="2">
        <v>1.3964730000000001</v>
      </c>
      <c r="AB39" s="2">
        <v>11.425330000000001</v>
      </c>
      <c r="AC39" s="2">
        <v>10.391529999999999</v>
      </c>
      <c r="AD39" s="2">
        <v>9.6260189999999994</v>
      </c>
      <c r="AE39" s="2">
        <v>8.4931590000000003</v>
      </c>
      <c r="AF39" s="2">
        <v>6.9294219999999997</v>
      </c>
      <c r="AG39" s="2">
        <v>8.1343920000000001</v>
      </c>
      <c r="AH39" s="2">
        <v>9.6657510000000002</v>
      </c>
      <c r="AI39" s="2">
        <v>7.2000580000000003</v>
      </c>
      <c r="AJ39" s="2">
        <v>8.1121560000000006</v>
      </c>
      <c r="AK39" s="2">
        <v>9.2139129999999998</v>
      </c>
      <c r="AL39" s="3">
        <v>1.7138869999999999</v>
      </c>
      <c r="AM39" s="3">
        <v>1.572889</v>
      </c>
      <c r="AN39" s="2">
        <v>32.569560000000003</v>
      </c>
      <c r="AO39" s="2">
        <v>31.309370000000001</v>
      </c>
      <c r="AP39" s="2">
        <v>32.902439999999999</v>
      </c>
      <c r="AQ39" s="2">
        <v>34.3827</v>
      </c>
      <c r="AR39" s="2">
        <v>0.55516469999999996</v>
      </c>
      <c r="AS39" s="2">
        <v>0.3408138</v>
      </c>
      <c r="AT39" s="2">
        <v>-2.169921E-2</v>
      </c>
      <c r="AU39" s="2">
        <v>-0.33431699999999998</v>
      </c>
      <c r="AV39" s="1" t="s">
        <v>78</v>
      </c>
      <c r="AW39" s="3">
        <v>1.545455</v>
      </c>
      <c r="AX39" s="3">
        <v>113.8338</v>
      </c>
      <c r="AY39" s="2">
        <v>15.92038</v>
      </c>
      <c r="AZ39" s="2">
        <v>13.274050000000001</v>
      </c>
      <c r="BA39" s="2">
        <v>7.8</v>
      </c>
      <c r="BB39" s="2">
        <v>1.930666</v>
      </c>
      <c r="BC39" s="2">
        <v>9.3054290000000002</v>
      </c>
      <c r="BD39" s="3">
        <v>76.45</v>
      </c>
      <c r="BE39" s="2">
        <v>28.449960000000001</v>
      </c>
      <c r="BF39" s="3">
        <v>105.18</v>
      </c>
      <c r="BG39" s="2">
        <v>-6.6362439999999996</v>
      </c>
      <c r="BH39" s="2">
        <v>42.869250000000001</v>
      </c>
      <c r="BI39" s="2">
        <v>44.836689999999997</v>
      </c>
      <c r="BJ39" s="2">
        <v>43.42116</v>
      </c>
      <c r="BK39" s="2">
        <v>41.414020000000001</v>
      </c>
      <c r="BL39" s="2">
        <v>18</v>
      </c>
      <c r="BM39" s="2">
        <v>18</v>
      </c>
      <c r="BN39" s="4">
        <v>22</v>
      </c>
      <c r="BO39" s="4">
        <v>1</v>
      </c>
      <c r="BP39" s="4">
        <v>2</v>
      </c>
      <c r="BQ39" s="4">
        <v>20</v>
      </c>
      <c r="BR39" s="2">
        <v>4.3478260000000004</v>
      </c>
      <c r="BS39" s="4">
        <v>14</v>
      </c>
      <c r="BT39" s="4">
        <v>2</v>
      </c>
      <c r="BU39" s="4">
        <v>22</v>
      </c>
      <c r="BV39" s="2">
        <v>63.636360000000003</v>
      </c>
      <c r="BW39" s="2">
        <v>5.8761999999999999</v>
      </c>
      <c r="BX39" s="2">
        <v>1262.375</v>
      </c>
      <c r="BY39" s="3">
        <v>1.81111</v>
      </c>
      <c r="BZ39" s="3">
        <v>0.1434685</v>
      </c>
      <c r="CA39" s="2">
        <v>0.52510599999999996</v>
      </c>
      <c r="CB39" s="3">
        <v>0.1434685</v>
      </c>
      <c r="CC39" s="3">
        <v>8.2309230000000007</v>
      </c>
      <c r="CD39" s="3">
        <v>8.2227440000000005</v>
      </c>
      <c r="CE39" s="2">
        <v>-9.9366899999999994E-2</v>
      </c>
      <c r="CF39" s="3">
        <v>12780.2</v>
      </c>
      <c r="CG39" s="3">
        <v>12502.24</v>
      </c>
      <c r="CH39" s="2">
        <v>-2.1749619999999998</v>
      </c>
      <c r="CI39" s="3">
        <v>107.27249999999999</v>
      </c>
      <c r="CJ39" s="2">
        <v>6.1164740000000002</v>
      </c>
      <c r="CK39" s="3">
        <v>45852.35</v>
      </c>
      <c r="CL39" s="3">
        <v>45177.06</v>
      </c>
      <c r="CM39" s="2">
        <v>-1.472753</v>
      </c>
      <c r="CN39" s="3">
        <v>91.403369999999995</v>
      </c>
      <c r="CO39" s="3">
        <v>98.319010000000006</v>
      </c>
      <c r="CP39" s="3">
        <v>96.320390000000003</v>
      </c>
      <c r="CQ39" s="2">
        <v>7.4358700000000004</v>
      </c>
      <c r="CR39" s="2">
        <v>-0.1210451</v>
      </c>
      <c r="CS39" s="2">
        <v>1.951408</v>
      </c>
      <c r="CT39" s="2">
        <v>7.566071</v>
      </c>
      <c r="CU39" s="2">
        <v>150.28460000000001</v>
      </c>
      <c r="CV39" s="3">
        <v>0.1212313</v>
      </c>
      <c r="CW39" s="2">
        <v>7.1769759999999998</v>
      </c>
      <c r="CX39" s="2">
        <v>4.2025880000000004</v>
      </c>
      <c r="CY39" s="2">
        <v>7.683052</v>
      </c>
      <c r="CZ39" s="2">
        <v>26.454550000000001</v>
      </c>
    </row>
    <row r="40" spans="1:104" ht="15" customHeight="1" x14ac:dyDescent="0.2">
      <c r="A40" s="1">
        <f t="shared" si="0"/>
        <v>34</v>
      </c>
      <c r="B40" s="1" t="s">
        <v>115</v>
      </c>
      <c r="C40" s="1" t="s">
        <v>114</v>
      </c>
      <c r="D40" s="1" t="s">
        <v>28</v>
      </c>
      <c r="E40" s="1" t="s">
        <v>4</v>
      </c>
      <c r="F40" s="1" t="s">
        <v>5</v>
      </c>
      <c r="G40" s="2">
        <v>71245.62</v>
      </c>
      <c r="H40" s="2">
        <v>86.800700000000006</v>
      </c>
      <c r="I40" s="2">
        <v>61841.7</v>
      </c>
      <c r="J40" s="3">
        <v>57.72</v>
      </c>
      <c r="K40" s="3">
        <v>0</v>
      </c>
      <c r="L40" s="2">
        <v>6.7567560000000002</v>
      </c>
      <c r="M40" s="2">
        <v>7.6962409999999997</v>
      </c>
      <c r="N40" s="2">
        <v>8.3333329999999997</v>
      </c>
      <c r="O40" s="2">
        <v>9.2688839999999999</v>
      </c>
      <c r="P40" s="2">
        <v>7.3980889999999997</v>
      </c>
      <c r="Q40" s="2">
        <v>7.2970920000000001</v>
      </c>
      <c r="R40" s="2">
        <v>5.92</v>
      </c>
      <c r="S40" s="2">
        <v>5.3668060000000004</v>
      </c>
      <c r="T40" s="2" t="e">
        <v>#N/A</v>
      </c>
      <c r="U40" s="2" t="e">
        <v>#N/A</v>
      </c>
      <c r="V40" s="2" t="e">
        <v>#N/A</v>
      </c>
      <c r="W40" s="2" t="e">
        <v>#N/A</v>
      </c>
      <c r="X40" s="2">
        <v>0.64806600000000003</v>
      </c>
      <c r="Y40" s="2">
        <v>0.59819670000000003</v>
      </c>
      <c r="Z40" s="2">
        <v>0.56553690000000001</v>
      </c>
      <c r="AA40" s="2">
        <v>0.53301319999999996</v>
      </c>
      <c r="AB40" s="2" t="e">
        <v>#N/A</v>
      </c>
      <c r="AC40" s="2" t="e">
        <v>#N/A</v>
      </c>
      <c r="AD40" s="2" t="e">
        <v>#N/A</v>
      </c>
      <c r="AE40" s="2" t="e">
        <v>#N/A</v>
      </c>
      <c r="AF40" s="2" t="e">
        <v>#N/A</v>
      </c>
      <c r="AG40" s="2" t="e">
        <v>#N/A</v>
      </c>
      <c r="AH40" s="2" t="e">
        <v>#N/A</v>
      </c>
      <c r="AI40" s="2" t="e">
        <v>#N/A</v>
      </c>
      <c r="AJ40" s="2" t="e">
        <v>#N/A</v>
      </c>
      <c r="AK40" s="2" t="e">
        <v>#N/A</v>
      </c>
      <c r="AL40" s="3">
        <v>0.52780890000000003</v>
      </c>
      <c r="AM40" s="3">
        <v>0.46453090000000002</v>
      </c>
      <c r="AN40" s="2" t="e">
        <v>#N/A</v>
      </c>
      <c r="AO40" s="2" t="e">
        <v>#N/A</v>
      </c>
      <c r="AP40" s="2" t="e">
        <v>#N/A</v>
      </c>
      <c r="AQ40" s="2" t="e">
        <v>#N/A</v>
      </c>
      <c r="AR40" s="2" t="e">
        <v>#N/A</v>
      </c>
      <c r="AS40" s="2" t="e">
        <v>#N/A</v>
      </c>
      <c r="AT40" s="2" t="e">
        <v>#N/A</v>
      </c>
      <c r="AU40" s="2" t="e">
        <v>#N/A</v>
      </c>
      <c r="AV40" s="1" t="s">
        <v>6</v>
      </c>
      <c r="AW40" s="3">
        <v>1.2608699999999999</v>
      </c>
      <c r="AX40" s="3">
        <v>76</v>
      </c>
      <c r="AY40" s="2">
        <v>31.67013</v>
      </c>
      <c r="AZ40" s="2">
        <v>8.1977410000000006</v>
      </c>
      <c r="BA40" s="2">
        <v>13.089840000000001</v>
      </c>
      <c r="BB40" s="2">
        <v>27.234649999999998</v>
      </c>
      <c r="BC40" s="2">
        <v>8.3943729999999999</v>
      </c>
      <c r="BD40" s="3">
        <v>40.664999999999999</v>
      </c>
      <c r="BE40" s="2">
        <v>41.940249999999999</v>
      </c>
      <c r="BF40" s="3">
        <v>67.02</v>
      </c>
      <c r="BG40" s="2">
        <v>-13.87645</v>
      </c>
      <c r="BH40" s="2">
        <v>49.687840000000001</v>
      </c>
      <c r="BI40" s="2">
        <v>52.055689999999998</v>
      </c>
      <c r="BJ40" s="2">
        <v>49.60172</v>
      </c>
      <c r="BK40" s="2">
        <v>49.463810000000002</v>
      </c>
      <c r="BL40" s="2">
        <v>19</v>
      </c>
      <c r="BM40" s="2">
        <v>9</v>
      </c>
      <c r="BN40" s="4">
        <v>23</v>
      </c>
      <c r="BO40" s="4">
        <v>0</v>
      </c>
      <c r="BP40" s="4">
        <v>1</v>
      </c>
      <c r="BQ40" s="4">
        <v>22</v>
      </c>
      <c r="BR40" s="2">
        <v>0</v>
      </c>
      <c r="BS40" s="4">
        <v>18</v>
      </c>
      <c r="BT40" s="4">
        <v>0</v>
      </c>
      <c r="BU40" s="4">
        <v>23</v>
      </c>
      <c r="BV40" s="2">
        <v>78.260869999999997</v>
      </c>
      <c r="BW40" s="2">
        <v>11.5685</v>
      </c>
      <c r="BX40" s="2">
        <v>1234.3320000000001</v>
      </c>
      <c r="BY40" s="3">
        <v>3.210315</v>
      </c>
      <c r="BZ40" s="3">
        <v>0.26008530000000002</v>
      </c>
      <c r="CA40" s="2">
        <v>1.68031</v>
      </c>
      <c r="CB40" s="3">
        <v>0.26008530000000002</v>
      </c>
      <c r="CC40" s="3">
        <v>8.159395</v>
      </c>
      <c r="CD40" s="3">
        <v>8.3544029999999996</v>
      </c>
      <c r="CE40" s="2">
        <v>2.3899789999999999</v>
      </c>
      <c r="CF40" s="3">
        <v>16160.76</v>
      </c>
      <c r="CG40" s="3">
        <v>15663.53</v>
      </c>
      <c r="CH40" s="2">
        <v>-3.0767920000000002</v>
      </c>
      <c r="CI40" s="3">
        <v>74.987889999999993</v>
      </c>
      <c r="CJ40" s="2">
        <v>1.349699</v>
      </c>
      <c r="CK40" s="3">
        <v>48847.03</v>
      </c>
      <c r="CL40" s="3">
        <v>47470.13</v>
      </c>
      <c r="CM40" s="2">
        <v>-2.8187989999999998</v>
      </c>
      <c r="CN40" s="3">
        <v>55.410299999999999</v>
      </c>
      <c r="CO40" s="3">
        <v>57.043340000000001</v>
      </c>
      <c r="CP40" s="3">
        <v>56.184609999999999</v>
      </c>
      <c r="CQ40" s="2">
        <v>4.168355</v>
      </c>
      <c r="CR40" s="2">
        <v>1.1862280000000001</v>
      </c>
      <c r="CS40" s="2">
        <v>2.7327539999999999</v>
      </c>
      <c r="CT40" s="2">
        <v>2.9471759999999998</v>
      </c>
      <c r="CU40" s="2">
        <v>185.4487</v>
      </c>
      <c r="CV40" s="3">
        <v>0.26029479999999999</v>
      </c>
      <c r="CW40" s="2">
        <v>-5.7075899999999997</v>
      </c>
      <c r="CX40" s="2">
        <v>1.023752</v>
      </c>
      <c r="CY40" s="2">
        <v>4.3047269999999997</v>
      </c>
      <c r="CZ40" s="2">
        <v>26.494949999999999</v>
      </c>
    </row>
    <row r="41" spans="1:104" ht="15" customHeight="1" x14ac:dyDescent="0.2">
      <c r="A41" s="1">
        <f t="shared" si="0"/>
        <v>35</v>
      </c>
      <c r="B41" s="1" t="s">
        <v>117</v>
      </c>
      <c r="C41" s="1" t="s">
        <v>116</v>
      </c>
      <c r="D41" s="1" t="s">
        <v>28</v>
      </c>
      <c r="E41" s="1" t="s">
        <v>10</v>
      </c>
      <c r="F41" s="1" t="s">
        <v>94</v>
      </c>
      <c r="G41" s="2">
        <v>104616.8</v>
      </c>
      <c r="H41" s="2">
        <v>74.140900000000002</v>
      </c>
      <c r="I41" s="2">
        <v>77563.8</v>
      </c>
      <c r="J41" s="3">
        <v>132.36000000000001</v>
      </c>
      <c r="K41" s="3">
        <v>0</v>
      </c>
      <c r="L41" s="2">
        <v>1.3599270000000001</v>
      </c>
      <c r="M41" s="2">
        <v>1.5370619999999999</v>
      </c>
      <c r="N41" s="2">
        <v>1.972226</v>
      </c>
      <c r="O41" s="2">
        <v>2.436537</v>
      </c>
      <c r="P41" s="2">
        <v>24.511109999999999</v>
      </c>
      <c r="Q41" s="2">
        <v>23.50977</v>
      </c>
      <c r="R41" s="2">
        <v>19.15485</v>
      </c>
      <c r="S41" s="2">
        <v>15.13377</v>
      </c>
      <c r="T41" s="2">
        <v>9.3582070000000002</v>
      </c>
      <c r="U41" s="2">
        <v>10.871040000000001</v>
      </c>
      <c r="V41" s="2">
        <v>8.9916389999999993</v>
      </c>
      <c r="W41" s="2">
        <v>7.0853739999999998</v>
      </c>
      <c r="X41" s="2">
        <v>8.0454170000000005</v>
      </c>
      <c r="Y41" s="2">
        <v>6.4882350000000004</v>
      </c>
      <c r="Z41" s="2">
        <v>5.2110240000000001</v>
      </c>
      <c r="AA41" s="2">
        <v>4.1684340000000004</v>
      </c>
      <c r="AB41" s="2">
        <v>16.546690000000002</v>
      </c>
      <c r="AC41" s="2">
        <v>17.751629999999999</v>
      </c>
      <c r="AD41" s="2">
        <v>13.738049999999999</v>
      </c>
      <c r="AE41" s="2">
        <v>11.67</v>
      </c>
      <c r="AF41" s="2">
        <v>3.149553</v>
      </c>
      <c r="AG41" s="2">
        <v>5.6067039999999997</v>
      </c>
      <c r="AH41" s="2">
        <v>7.4731690000000004</v>
      </c>
      <c r="AI41" s="2">
        <v>2.827693</v>
      </c>
      <c r="AJ41" s="2">
        <v>4.8550120000000003</v>
      </c>
      <c r="AK41" s="2">
        <v>6.2120480000000002</v>
      </c>
      <c r="AL41" s="3">
        <v>1.068406</v>
      </c>
      <c r="AM41" s="3">
        <v>0.86500189999999999</v>
      </c>
      <c r="AN41" s="2">
        <v>14.197710000000001</v>
      </c>
      <c r="AO41" s="2">
        <v>13.388</v>
      </c>
      <c r="AP41" s="2">
        <v>13.80963</v>
      </c>
      <c r="AQ41" s="2">
        <v>14.94393</v>
      </c>
      <c r="AR41" s="2">
        <v>-1.130409</v>
      </c>
      <c r="AS41" s="2">
        <v>-1.237384</v>
      </c>
      <c r="AT41" s="2">
        <v>-1.3921589999999999</v>
      </c>
      <c r="AU41" s="2">
        <v>-1.438418</v>
      </c>
      <c r="AV41" s="1" t="s">
        <v>6</v>
      </c>
      <c r="AW41" s="3">
        <v>1.431818</v>
      </c>
      <c r="AX41" s="3">
        <v>147</v>
      </c>
      <c r="AY41" s="2">
        <v>11.060739999999999</v>
      </c>
      <c r="AZ41" s="2">
        <v>27.598040000000001</v>
      </c>
      <c r="BA41" s="2">
        <v>23.0623</v>
      </c>
      <c r="BB41" s="2">
        <v>43.169280000000001</v>
      </c>
      <c r="BC41" s="2">
        <v>19.221769999999999</v>
      </c>
      <c r="BD41" s="3">
        <v>86.52</v>
      </c>
      <c r="BE41" s="2">
        <v>52.981969999999997</v>
      </c>
      <c r="BF41" s="3">
        <v>133.97999999999999</v>
      </c>
      <c r="BG41" s="2">
        <v>-1.2091339999999999</v>
      </c>
      <c r="BH41" s="2">
        <v>33.209879999999998</v>
      </c>
      <c r="BI41" s="2">
        <v>36.407940000000004</v>
      </c>
      <c r="BJ41" s="2">
        <v>36.424320000000002</v>
      </c>
      <c r="BK41" s="2">
        <v>35.804130000000001</v>
      </c>
      <c r="BL41" s="2">
        <v>19</v>
      </c>
      <c r="BM41" s="2">
        <v>18</v>
      </c>
      <c r="BN41" s="4">
        <v>22</v>
      </c>
      <c r="BO41" s="4">
        <v>0</v>
      </c>
      <c r="BP41" s="4">
        <v>0</v>
      </c>
      <c r="BQ41" s="4">
        <v>22</v>
      </c>
      <c r="BR41" s="2">
        <v>0</v>
      </c>
      <c r="BS41" s="4">
        <v>16</v>
      </c>
      <c r="BT41" s="4">
        <v>2</v>
      </c>
      <c r="BU41" s="4">
        <v>22</v>
      </c>
      <c r="BV41" s="2">
        <v>72.727270000000004</v>
      </c>
      <c r="BW41" s="2">
        <v>10.281499999999999</v>
      </c>
      <c r="BX41" s="2">
        <v>790.39559999999994</v>
      </c>
      <c r="BY41" s="3">
        <v>1.1555660000000001</v>
      </c>
      <c r="BZ41" s="3">
        <v>0.146201</v>
      </c>
      <c r="CA41" s="2">
        <v>1.49177</v>
      </c>
      <c r="CB41" s="3">
        <v>0.146201</v>
      </c>
      <c r="CC41" s="3">
        <v>5.6077769999999996</v>
      </c>
      <c r="CD41" s="3">
        <v>5.5977880000000004</v>
      </c>
      <c r="CE41" s="2">
        <v>-0.17812249999999999</v>
      </c>
      <c r="CF41" s="3">
        <v>6124.9350000000004</v>
      </c>
      <c r="CG41" s="3">
        <v>6057.11</v>
      </c>
      <c r="CH41" s="2">
        <v>-1.107359</v>
      </c>
      <c r="CI41" s="3">
        <v>142.16669999999999</v>
      </c>
      <c r="CJ41" s="2">
        <v>3.3997649999999999</v>
      </c>
      <c r="CK41" s="3">
        <v>64247.93</v>
      </c>
      <c r="CL41" s="3">
        <v>64306.01</v>
      </c>
      <c r="CM41" s="2">
        <v>9.0396400000000002E-2</v>
      </c>
      <c r="CN41" s="3">
        <v>116.99769999999999</v>
      </c>
      <c r="CO41" s="3">
        <v>126.70780000000001</v>
      </c>
      <c r="CP41" s="3">
        <v>128.29310000000001</v>
      </c>
      <c r="CQ41" s="2">
        <v>13.13044</v>
      </c>
      <c r="CR41" s="2">
        <v>4.4607760000000001</v>
      </c>
      <c r="CS41" s="2">
        <v>3.1700249999999999</v>
      </c>
      <c r="CT41" s="2">
        <v>8.2994350000000008</v>
      </c>
      <c r="CU41" s="2">
        <v>114.91719999999999</v>
      </c>
      <c r="CV41" s="3">
        <v>0.10984579999999999</v>
      </c>
      <c r="CW41" s="2">
        <v>-11.528169999999999</v>
      </c>
      <c r="CX41" s="2">
        <v>4.4900700000000002</v>
      </c>
      <c r="CY41" s="2">
        <v>6.7785279999999997</v>
      </c>
      <c r="CZ41" s="2">
        <v>27.595960000000002</v>
      </c>
    </row>
    <row r="42" spans="1:104" ht="15" customHeight="1" x14ac:dyDescent="0.2">
      <c r="A42" s="1">
        <f t="shared" si="0"/>
        <v>36</v>
      </c>
      <c r="B42" s="1" t="s">
        <v>119</v>
      </c>
      <c r="C42" s="1" t="s">
        <v>118</v>
      </c>
      <c r="D42" s="1" t="s">
        <v>33</v>
      </c>
      <c r="E42" s="1" t="s">
        <v>21</v>
      </c>
      <c r="F42" s="1" t="s">
        <v>120</v>
      </c>
      <c r="G42" s="2">
        <v>30499.87</v>
      </c>
      <c r="H42" s="2">
        <v>96.162499999999994</v>
      </c>
      <c r="I42" s="2">
        <v>29329.43</v>
      </c>
      <c r="J42" s="3">
        <v>31.26</v>
      </c>
      <c r="K42" s="3">
        <v>0</v>
      </c>
      <c r="L42" s="2">
        <v>3.3589250000000002</v>
      </c>
      <c r="M42" s="2">
        <v>3.4868839999999999</v>
      </c>
      <c r="N42" s="2">
        <v>3.678823</v>
      </c>
      <c r="O42" s="2">
        <v>3.9987200000000001</v>
      </c>
      <c r="P42" s="2">
        <v>12.25882</v>
      </c>
      <c r="Q42" s="2">
        <v>12.35361</v>
      </c>
      <c r="R42" s="2">
        <v>11.45055</v>
      </c>
      <c r="S42" s="2">
        <v>10.56081</v>
      </c>
      <c r="T42" s="2">
        <v>5.7378270000000002</v>
      </c>
      <c r="U42" s="2">
        <v>6.3752269999999998</v>
      </c>
      <c r="V42" s="2">
        <v>6.1221909999999999</v>
      </c>
      <c r="W42" s="2">
        <v>5.8877759999999997</v>
      </c>
      <c r="X42" s="2">
        <v>2.0012810000000001</v>
      </c>
      <c r="Y42" s="2">
        <v>1.884836</v>
      </c>
      <c r="Z42" s="2">
        <v>1.7761359999999999</v>
      </c>
      <c r="AA42" s="2">
        <v>1.6562859999999999</v>
      </c>
      <c r="AB42" s="2">
        <v>6.4586769999999998</v>
      </c>
      <c r="AC42" s="2">
        <v>5.6662809999999997</v>
      </c>
      <c r="AD42" s="2">
        <v>5.3761190000000001</v>
      </c>
      <c r="AE42" s="2">
        <v>5.223058</v>
      </c>
      <c r="AF42" s="2">
        <v>5.0202720000000003</v>
      </c>
      <c r="AG42" s="2">
        <v>5.4514269999999998</v>
      </c>
      <c r="AH42" s="2">
        <v>4.021077</v>
      </c>
      <c r="AI42" s="2">
        <v>7.4360650000000001</v>
      </c>
      <c r="AJ42" s="2">
        <v>7.9979209999999998</v>
      </c>
      <c r="AK42" s="2">
        <v>5.8443079999999998</v>
      </c>
      <c r="AL42" s="3" t="e">
        <v>#N/A</v>
      </c>
      <c r="AM42" s="3" t="e">
        <v>#N/A</v>
      </c>
      <c r="AN42" s="2">
        <v>8.2325490000000006</v>
      </c>
      <c r="AO42" s="2">
        <v>7.9921509999999998</v>
      </c>
      <c r="AP42" s="2">
        <v>8.0770459999999993</v>
      </c>
      <c r="AQ42" s="2">
        <v>8.1391159999999996</v>
      </c>
      <c r="AR42" s="2">
        <v>2.0132660000000002</v>
      </c>
      <c r="AS42" s="2">
        <v>2.0711529999999998</v>
      </c>
      <c r="AT42" s="2">
        <v>1.949273</v>
      </c>
      <c r="AU42" s="2">
        <v>1.8367910000000001</v>
      </c>
      <c r="AV42" s="1" t="s">
        <v>6</v>
      </c>
      <c r="AW42" s="3">
        <v>1.388889</v>
      </c>
      <c r="AX42" s="3">
        <v>33.75</v>
      </c>
      <c r="AY42" s="2">
        <v>7.965446</v>
      </c>
      <c r="AZ42" s="2">
        <v>15.25737</v>
      </c>
      <c r="BA42" s="2" t="e">
        <v>#N/A</v>
      </c>
      <c r="BB42" s="2">
        <v>25.744160000000001</v>
      </c>
      <c r="BC42" s="2">
        <v>16.467949999999998</v>
      </c>
      <c r="BD42" s="3">
        <v>24.405000000000001</v>
      </c>
      <c r="BE42" s="2">
        <v>28.0885</v>
      </c>
      <c r="BF42" s="3">
        <v>32.51</v>
      </c>
      <c r="BG42" s="2">
        <v>-3.8449650000000002</v>
      </c>
      <c r="BH42" s="2">
        <v>40.672269999999997</v>
      </c>
      <c r="BI42" s="2">
        <v>42.582430000000002</v>
      </c>
      <c r="BJ42" s="2">
        <v>43.085349999999998</v>
      </c>
      <c r="BK42" s="2">
        <v>42.85371</v>
      </c>
      <c r="BL42" s="2">
        <v>16</v>
      </c>
      <c r="BM42" s="2">
        <v>13</v>
      </c>
      <c r="BN42" s="4">
        <v>18</v>
      </c>
      <c r="BO42" s="4">
        <v>0</v>
      </c>
      <c r="BP42" s="4">
        <v>1</v>
      </c>
      <c r="BQ42" s="4">
        <v>17</v>
      </c>
      <c r="BR42" s="2">
        <v>0</v>
      </c>
      <c r="BS42" s="4">
        <v>12</v>
      </c>
      <c r="BT42" s="4">
        <v>0</v>
      </c>
      <c r="BU42" s="4">
        <v>18</v>
      </c>
      <c r="BV42" s="2">
        <v>66.666669999999996</v>
      </c>
      <c r="BW42" s="2">
        <v>5.2055699999999998</v>
      </c>
      <c r="BX42" s="2">
        <v>975.68349999999998</v>
      </c>
      <c r="BY42" s="3">
        <v>2.3665289999999999</v>
      </c>
      <c r="BZ42" s="3">
        <v>0.24255090000000001</v>
      </c>
      <c r="CA42" s="2">
        <v>0.43792500000000001</v>
      </c>
      <c r="CB42" s="3">
        <v>0.24255090000000001</v>
      </c>
      <c r="CC42" s="3">
        <v>2.5759620000000001</v>
      </c>
      <c r="CD42" s="3">
        <v>2.5371790000000001</v>
      </c>
      <c r="CE42" s="2">
        <v>-1.505595</v>
      </c>
      <c r="CF42" s="3">
        <v>3679.5259999999998</v>
      </c>
      <c r="CG42" s="3">
        <v>3594.8969999999999</v>
      </c>
      <c r="CH42" s="2">
        <v>-2.299982</v>
      </c>
      <c r="CI42" s="3">
        <v>32.638890000000004</v>
      </c>
      <c r="CJ42" s="2">
        <v>3.4042599999999998</v>
      </c>
      <c r="CK42" s="3">
        <v>89735.27</v>
      </c>
      <c r="CL42" s="3">
        <v>88371.42</v>
      </c>
      <c r="CM42" s="2">
        <v>-1.5198529999999999</v>
      </c>
      <c r="CN42" s="3">
        <v>29.021239999999999</v>
      </c>
      <c r="CO42" s="3">
        <v>30.5197</v>
      </c>
      <c r="CP42" s="3">
        <v>29.927890000000001</v>
      </c>
      <c r="CQ42" s="2">
        <v>7.7142239999999997</v>
      </c>
      <c r="CR42" s="2">
        <v>2.4256350000000002</v>
      </c>
      <c r="CS42" s="2">
        <v>4.4510839999999998</v>
      </c>
      <c r="CT42" s="2">
        <v>5.1633360000000001</v>
      </c>
      <c r="CU42" s="2">
        <v>66.098339999999993</v>
      </c>
      <c r="CV42" s="3">
        <v>0.21671679999999999</v>
      </c>
      <c r="CW42" s="2">
        <v>7.2459319999999998</v>
      </c>
      <c r="CX42" s="2">
        <v>-9.9887659999999996E-3</v>
      </c>
      <c r="CY42" s="2">
        <v>2.8275730000000001</v>
      </c>
      <c r="CZ42" s="2">
        <v>27.727270000000001</v>
      </c>
    </row>
    <row r="43" spans="1:104" ht="15" customHeight="1" x14ac:dyDescent="0.2">
      <c r="A43" s="1">
        <f t="shared" si="0"/>
        <v>37</v>
      </c>
      <c r="B43" s="1" t="s">
        <v>122</v>
      </c>
      <c r="C43" s="1" t="s">
        <v>121</v>
      </c>
      <c r="D43" s="1" t="s">
        <v>33</v>
      </c>
      <c r="E43" s="1" t="s">
        <v>100</v>
      </c>
      <c r="F43" s="1" t="s">
        <v>101</v>
      </c>
      <c r="G43" s="2">
        <v>49161.440000000002</v>
      </c>
      <c r="H43" s="2">
        <v>95.295699999999997</v>
      </c>
      <c r="I43" s="2">
        <v>46848.73</v>
      </c>
      <c r="J43" s="3">
        <v>1585.8</v>
      </c>
      <c r="K43" s="3">
        <v>0</v>
      </c>
      <c r="L43" s="2">
        <v>0</v>
      </c>
      <c r="M43" s="2">
        <v>0</v>
      </c>
      <c r="N43" s="2">
        <v>0</v>
      </c>
      <c r="O43" s="2">
        <v>0</v>
      </c>
      <c r="P43" s="2">
        <v>87.275729999999996</v>
      </c>
      <c r="Q43" s="2">
        <v>71.755650000000003</v>
      </c>
      <c r="R43" s="2">
        <v>53.755940000000002</v>
      </c>
      <c r="S43" s="2">
        <v>39.60145</v>
      </c>
      <c r="T43" s="2">
        <v>47.953409999999998</v>
      </c>
      <c r="U43" s="2">
        <v>55.755879999999998</v>
      </c>
      <c r="V43" s="2">
        <v>39.941740000000003</v>
      </c>
      <c r="W43" s="2">
        <v>28.59562</v>
      </c>
      <c r="X43" s="2">
        <v>20.409269999999999</v>
      </c>
      <c r="Y43" s="2">
        <v>16.158550000000002</v>
      </c>
      <c r="Z43" s="2">
        <v>12.50578</v>
      </c>
      <c r="AA43" s="2">
        <v>9.7888889999999993</v>
      </c>
      <c r="AB43" s="2">
        <v>24.356310000000001</v>
      </c>
      <c r="AC43" s="2">
        <v>70.405670000000001</v>
      </c>
      <c r="AD43" s="2">
        <v>46.124130000000001</v>
      </c>
      <c r="AE43" s="2">
        <v>29.745699999999999</v>
      </c>
      <c r="AF43" s="2">
        <v>1.800951</v>
      </c>
      <c r="AG43" s="2">
        <v>2.54596</v>
      </c>
      <c r="AH43" s="2">
        <v>3.6779069999999998</v>
      </c>
      <c r="AI43" s="2">
        <v>1.6983619999999999</v>
      </c>
      <c r="AJ43" s="2">
        <v>2.3561079999999999</v>
      </c>
      <c r="AK43" s="2">
        <v>3.3114690000000002</v>
      </c>
      <c r="AL43" s="3">
        <v>2.4158810000000002</v>
      </c>
      <c r="AM43" s="3">
        <v>1.782907</v>
      </c>
      <c r="AN43" s="2">
        <v>56.023069999999997</v>
      </c>
      <c r="AO43" s="2">
        <v>48.593049999999998</v>
      </c>
      <c r="AP43" s="2">
        <v>51.512889999999999</v>
      </c>
      <c r="AQ43" s="2">
        <v>54.543640000000003</v>
      </c>
      <c r="AR43" s="2">
        <v>-6.8392150000000003</v>
      </c>
      <c r="AS43" s="2">
        <v>-3.367909</v>
      </c>
      <c r="AT43" s="2">
        <v>-3.218464</v>
      </c>
      <c r="AU43" s="2">
        <v>-3.164307</v>
      </c>
      <c r="AV43" s="1" t="s">
        <v>6</v>
      </c>
      <c r="AW43" s="3">
        <v>1.521739</v>
      </c>
      <c r="AX43" s="3">
        <v>1800</v>
      </c>
      <c r="AY43" s="2">
        <v>13.507379999999999</v>
      </c>
      <c r="AZ43" s="2">
        <v>22.51885</v>
      </c>
      <c r="BA43" s="2">
        <v>27.5</v>
      </c>
      <c r="BB43" s="2">
        <v>14.250719999999999</v>
      </c>
      <c r="BC43" s="2">
        <v>23.082899999999999</v>
      </c>
      <c r="BD43" s="3">
        <v>1198</v>
      </c>
      <c r="BE43" s="2">
        <v>32.370629999999998</v>
      </c>
      <c r="BF43" s="3">
        <v>1893</v>
      </c>
      <c r="BG43" s="2">
        <v>-16.228200000000001</v>
      </c>
      <c r="BH43" s="2">
        <v>0</v>
      </c>
      <c r="BI43" s="2">
        <v>0</v>
      </c>
      <c r="BJ43" s="2">
        <v>5.0132989999999999</v>
      </c>
      <c r="BK43" s="2">
        <v>8.7534480000000006</v>
      </c>
      <c r="BL43" s="2">
        <v>23</v>
      </c>
      <c r="BM43" s="2">
        <v>17</v>
      </c>
      <c r="BN43" s="4">
        <v>23</v>
      </c>
      <c r="BO43" s="4">
        <v>1</v>
      </c>
      <c r="BP43" s="4">
        <v>1</v>
      </c>
      <c r="BQ43" s="4">
        <v>21</v>
      </c>
      <c r="BR43" s="2">
        <v>4.3478260000000004</v>
      </c>
      <c r="BS43" s="4">
        <v>14</v>
      </c>
      <c r="BT43" s="4">
        <v>2</v>
      </c>
      <c r="BU43" s="4">
        <v>23</v>
      </c>
      <c r="BV43" s="2">
        <v>60.86956</v>
      </c>
      <c r="BW43" s="2">
        <v>10.9499</v>
      </c>
      <c r="BX43" s="2">
        <v>31.00103</v>
      </c>
      <c r="BY43" s="3">
        <v>8.1693660000000001E-2</v>
      </c>
      <c r="BZ43" s="3">
        <v>0.26351920000000001</v>
      </c>
      <c r="CA43" s="2">
        <v>1.44458</v>
      </c>
      <c r="CB43" s="3">
        <v>0.26351920000000001</v>
      </c>
      <c r="CC43" s="3">
        <v>22.8</v>
      </c>
      <c r="CD43" s="3">
        <v>22.241700000000002</v>
      </c>
      <c r="CE43" s="2">
        <v>-2.4486840000000001</v>
      </c>
      <c r="CF43" s="3">
        <v>786.20590000000004</v>
      </c>
      <c r="CG43" s="3">
        <v>737.28200000000004</v>
      </c>
      <c r="CH43" s="2">
        <v>-6.222785</v>
      </c>
      <c r="CI43" s="3">
        <v>1659.5360000000001</v>
      </c>
      <c r="CJ43" s="2">
        <v>8.4640620000000002</v>
      </c>
      <c r="CK43" s="3">
        <v>1730.0909999999999</v>
      </c>
      <c r="CL43" s="3">
        <v>1708.2719999999999</v>
      </c>
      <c r="CM43" s="2">
        <v>-1.2611330000000001</v>
      </c>
      <c r="CN43" s="3">
        <v>1419.0360000000001</v>
      </c>
      <c r="CO43" s="3">
        <v>1504.6469999999999</v>
      </c>
      <c r="CP43" s="3">
        <v>1564.7539999999999</v>
      </c>
      <c r="CQ43" s="2">
        <v>11.75189</v>
      </c>
      <c r="CR43" s="2">
        <v>5.3935050000000002</v>
      </c>
      <c r="CS43" s="2">
        <v>1.3450029999999999</v>
      </c>
      <c r="CT43" s="2">
        <v>6.032991</v>
      </c>
      <c r="CU43" s="2">
        <v>82.877250000000004</v>
      </c>
      <c r="CV43" s="3">
        <v>0.1685818</v>
      </c>
      <c r="CW43" s="2" t="e">
        <v>#N/A</v>
      </c>
      <c r="CX43" s="2" t="e">
        <v>#N/A</v>
      </c>
      <c r="CY43" s="2" t="e">
        <v>#N/A</v>
      </c>
      <c r="CZ43" s="2">
        <v>28.181819999999998</v>
      </c>
    </row>
    <row r="44" spans="1:104" ht="15" customHeight="1" x14ac:dyDescent="0.2">
      <c r="A44" s="1">
        <f t="shared" si="0"/>
        <v>38</v>
      </c>
      <c r="B44" s="1" t="s">
        <v>124</v>
      </c>
      <c r="C44" s="1" t="s">
        <v>123</v>
      </c>
      <c r="D44" s="1" t="s">
        <v>28</v>
      </c>
      <c r="E44" s="1" t="s">
        <v>29</v>
      </c>
      <c r="F44" s="1" t="s">
        <v>125</v>
      </c>
      <c r="G44" s="2">
        <v>51739.86</v>
      </c>
      <c r="H44" s="2">
        <v>74.828400000000002</v>
      </c>
      <c r="I44" s="2">
        <v>38716.11</v>
      </c>
      <c r="J44" s="3">
        <v>202.4</v>
      </c>
      <c r="K44" s="3">
        <v>0</v>
      </c>
      <c r="L44" s="2">
        <v>2.0355729999999999</v>
      </c>
      <c r="M44" s="2">
        <v>2.34585</v>
      </c>
      <c r="N44" s="2">
        <v>2.5296439999999998</v>
      </c>
      <c r="O44" s="2">
        <v>2.7643049999999998</v>
      </c>
      <c r="P44" s="2">
        <v>24.743269999999999</v>
      </c>
      <c r="Q44" s="2">
        <v>21.19445</v>
      </c>
      <c r="R44" s="2">
        <v>19.850490000000001</v>
      </c>
      <c r="S44" s="2">
        <v>18.10406</v>
      </c>
      <c r="T44" s="2">
        <v>16.456630000000001</v>
      </c>
      <c r="U44" s="2">
        <v>15.378489999999999</v>
      </c>
      <c r="V44" s="2">
        <v>14.62452</v>
      </c>
      <c r="W44" s="2">
        <v>13.57372</v>
      </c>
      <c r="X44" s="2">
        <v>3.2883830000000001</v>
      </c>
      <c r="Y44" s="2">
        <v>3.1257969999999999</v>
      </c>
      <c r="Z44" s="2">
        <v>2.9963009999999999</v>
      </c>
      <c r="AA44" s="2">
        <v>2.827188</v>
      </c>
      <c r="AB44" s="2">
        <v>22.824069999999999</v>
      </c>
      <c r="AC44" s="2">
        <v>20.180309999999999</v>
      </c>
      <c r="AD44" s="2">
        <v>17.254899999999999</v>
      </c>
      <c r="AE44" s="2">
        <v>16.119009999999999</v>
      </c>
      <c r="AF44" s="2">
        <v>2.7844899999999999</v>
      </c>
      <c r="AG44" s="2">
        <v>3.3357960000000002</v>
      </c>
      <c r="AH44" s="2">
        <v>3.7387440000000001</v>
      </c>
      <c r="AI44" s="2">
        <v>3.2652920000000001</v>
      </c>
      <c r="AJ44" s="2">
        <v>3.8966639999999999</v>
      </c>
      <c r="AK44" s="2">
        <v>4.319197</v>
      </c>
      <c r="AL44" s="3">
        <v>2.4080050000000002</v>
      </c>
      <c r="AM44" s="3">
        <v>2.2558750000000001</v>
      </c>
      <c r="AN44" s="2">
        <v>31.819459999999999</v>
      </c>
      <c r="AO44" s="2">
        <v>32.557810000000003</v>
      </c>
      <c r="AP44" s="2">
        <v>32.711170000000003</v>
      </c>
      <c r="AQ44" s="2">
        <v>32.95214</v>
      </c>
      <c r="AR44" s="2">
        <v>2.5365639999999998</v>
      </c>
      <c r="AS44" s="2">
        <v>2.2644250000000001</v>
      </c>
      <c r="AT44" s="2">
        <v>2.1049899999999999</v>
      </c>
      <c r="AU44" s="2">
        <v>1.8241620000000001</v>
      </c>
      <c r="AV44" s="1" t="s">
        <v>6</v>
      </c>
      <c r="AW44" s="3">
        <v>1.4347829999999999</v>
      </c>
      <c r="AX44" s="3">
        <v>230</v>
      </c>
      <c r="AY44" s="2">
        <v>13.63636</v>
      </c>
      <c r="AZ44" s="2">
        <v>14.748189999999999</v>
      </c>
      <c r="BA44" s="2">
        <v>8</v>
      </c>
      <c r="BB44" s="2">
        <v>15.459199999999999</v>
      </c>
      <c r="BC44" s="2">
        <v>10.149660000000001</v>
      </c>
      <c r="BD44" s="3">
        <v>170.85</v>
      </c>
      <c r="BE44" s="2">
        <v>18.466480000000001</v>
      </c>
      <c r="BF44" s="3">
        <v>218</v>
      </c>
      <c r="BG44" s="2">
        <v>-7.1559670000000004</v>
      </c>
      <c r="BH44" s="2">
        <v>50.38832</v>
      </c>
      <c r="BI44" s="2">
        <v>49.71519</v>
      </c>
      <c r="BJ44" s="2">
        <v>49.855989999999998</v>
      </c>
      <c r="BK44" s="2">
        <v>49.953989999999997</v>
      </c>
      <c r="BL44" s="2">
        <v>21</v>
      </c>
      <c r="BM44" s="2">
        <v>19</v>
      </c>
      <c r="BN44" s="4">
        <v>23</v>
      </c>
      <c r="BO44" s="4">
        <v>0</v>
      </c>
      <c r="BP44" s="4">
        <v>1</v>
      </c>
      <c r="BQ44" s="4">
        <v>23</v>
      </c>
      <c r="BR44" s="2">
        <v>0</v>
      </c>
      <c r="BS44" s="4">
        <v>15</v>
      </c>
      <c r="BT44" s="4">
        <v>1</v>
      </c>
      <c r="BU44" s="4">
        <v>23</v>
      </c>
      <c r="BV44" s="2">
        <v>65.217389999999995</v>
      </c>
      <c r="BW44" s="2">
        <v>5.1498400000000002</v>
      </c>
      <c r="BX44" s="2">
        <v>255.6317</v>
      </c>
      <c r="BY44" s="3">
        <v>0.39294180000000001</v>
      </c>
      <c r="BZ44" s="3">
        <v>0.15371399999999999</v>
      </c>
      <c r="CA44" s="2">
        <v>0.48278799999999999</v>
      </c>
      <c r="CB44" s="3">
        <v>0.15371399999999999</v>
      </c>
      <c r="CC44" s="3">
        <v>9.6064209999999992</v>
      </c>
      <c r="CD44" s="3">
        <v>9.5122590000000002</v>
      </c>
      <c r="CE44" s="2">
        <v>-0.98018649999999996</v>
      </c>
      <c r="CF44" s="3">
        <v>3533.7339999999999</v>
      </c>
      <c r="CG44" s="3">
        <v>3503.5940000000001</v>
      </c>
      <c r="CH44" s="2">
        <v>-0.85291269999999997</v>
      </c>
      <c r="CI44" s="3">
        <v>219.8571</v>
      </c>
      <c r="CJ44" s="2">
        <v>4.6133879999999996</v>
      </c>
      <c r="CK44" s="3">
        <v>12221.83</v>
      </c>
      <c r="CL44" s="3">
        <v>12094.53</v>
      </c>
      <c r="CM44" s="2">
        <v>-1.041615</v>
      </c>
      <c r="CN44" s="3">
        <v>195.10919999999999</v>
      </c>
      <c r="CO44" s="3">
        <v>207.05199999999999</v>
      </c>
      <c r="CP44" s="3">
        <v>201.1173</v>
      </c>
      <c r="CQ44" s="2">
        <v>3.7367699999999999</v>
      </c>
      <c r="CR44" s="2">
        <v>-2.2467670000000002</v>
      </c>
      <c r="CS44" s="2">
        <v>0.63779350000000001</v>
      </c>
      <c r="CT44" s="2">
        <v>6.1210630000000004</v>
      </c>
      <c r="CU44" s="2">
        <v>80.163470000000004</v>
      </c>
      <c r="CV44" s="3">
        <v>0.15493560000000001</v>
      </c>
      <c r="CW44" s="2" t="e">
        <v>#N/A</v>
      </c>
      <c r="CX44" s="2">
        <v>-3.4036970000000002</v>
      </c>
      <c r="CY44" s="2" t="e">
        <v>#N/A</v>
      </c>
      <c r="CZ44" s="2">
        <v>28.454550000000001</v>
      </c>
    </row>
    <row r="45" spans="1:104" ht="15" customHeight="1" x14ac:dyDescent="0.2">
      <c r="A45" s="1">
        <f t="shared" si="0"/>
        <v>39</v>
      </c>
      <c r="B45" s="1" t="s">
        <v>127</v>
      </c>
      <c r="C45" s="1" t="s">
        <v>126</v>
      </c>
      <c r="D45" s="1" t="s">
        <v>33</v>
      </c>
      <c r="E45" s="1" t="s">
        <v>4</v>
      </c>
      <c r="F45" s="1" t="s">
        <v>128</v>
      </c>
      <c r="G45" s="2">
        <v>134476.20000000001</v>
      </c>
      <c r="H45" s="2">
        <v>33.902200000000001</v>
      </c>
      <c r="I45" s="2">
        <v>45590.39</v>
      </c>
      <c r="J45" s="3">
        <v>67.11</v>
      </c>
      <c r="K45" s="3">
        <v>0</v>
      </c>
      <c r="L45" s="2">
        <v>0.15992149999999999</v>
      </c>
      <c r="M45" s="2">
        <v>0.1671347</v>
      </c>
      <c r="N45" s="2">
        <v>0.103586</v>
      </c>
      <c r="O45" s="2">
        <v>0.25950250000000002</v>
      </c>
      <c r="P45" s="2">
        <v>39.739739999999998</v>
      </c>
      <c r="Q45" s="2">
        <v>19.566279999999999</v>
      </c>
      <c r="R45" s="2">
        <v>15.74559</v>
      </c>
      <c r="S45" s="2">
        <v>13.629949999999999</v>
      </c>
      <c r="T45" s="2" t="e">
        <v>#N/A</v>
      </c>
      <c r="U45" s="2" t="e">
        <v>#N/A</v>
      </c>
      <c r="V45" s="2">
        <v>2107.6640000000002</v>
      </c>
      <c r="W45" s="2">
        <v>612.49980000000005</v>
      </c>
      <c r="X45" s="2">
        <v>2.2368790000000001</v>
      </c>
      <c r="Y45" s="2">
        <v>2.050897</v>
      </c>
      <c r="Z45" s="2">
        <v>1.781436</v>
      </c>
      <c r="AA45" s="2">
        <v>1.5497920000000001</v>
      </c>
      <c r="AB45" s="2" t="e">
        <v>#N/A</v>
      </c>
      <c r="AC45" s="2" t="e">
        <v>#N/A</v>
      </c>
      <c r="AD45" s="2">
        <v>322.0059</v>
      </c>
      <c r="AE45" s="2">
        <v>243.10210000000001</v>
      </c>
      <c r="AF45" s="2">
        <v>-0.28148230000000002</v>
      </c>
      <c r="AG45" s="2">
        <v>-0.1163048</v>
      </c>
      <c r="AH45" s="2">
        <v>0.1084817</v>
      </c>
      <c r="AI45" s="2">
        <v>-0.28215980000000002</v>
      </c>
      <c r="AJ45" s="2">
        <v>-0.1165607</v>
      </c>
      <c r="AK45" s="2">
        <v>0.1085329</v>
      </c>
      <c r="AL45" s="3">
        <v>0.38283489999999998</v>
      </c>
      <c r="AM45" s="3">
        <v>0.29559730000000001</v>
      </c>
      <c r="AN45" s="2">
        <v>-8.2063880000000005</v>
      </c>
      <c r="AO45" s="2">
        <v>-3.959022</v>
      </c>
      <c r="AP45" s="2">
        <v>0.99054869999999995</v>
      </c>
      <c r="AQ45" s="2">
        <v>2.9627759999999999</v>
      </c>
      <c r="AR45" s="2">
        <v>-0.27288610000000002</v>
      </c>
      <c r="AS45" s="2">
        <v>-1.501401</v>
      </c>
      <c r="AT45" s="2">
        <v>4.6251239999999996</v>
      </c>
      <c r="AU45" s="2">
        <v>0.28880060000000002</v>
      </c>
      <c r="AV45" s="1" t="s">
        <v>6</v>
      </c>
      <c r="AW45" s="3">
        <v>1.236842</v>
      </c>
      <c r="AX45" s="3">
        <v>91.319890000000001</v>
      </c>
      <c r="AY45" s="2">
        <v>36.074939999999998</v>
      </c>
      <c r="AZ45" s="2">
        <v>10.48179</v>
      </c>
      <c r="BA45" s="2">
        <v>54</v>
      </c>
      <c r="BB45" s="2">
        <v>7.4103709999999996</v>
      </c>
      <c r="BC45" s="2">
        <v>4.1272399999999996</v>
      </c>
      <c r="BD45" s="3">
        <v>40.28</v>
      </c>
      <c r="BE45" s="2">
        <v>66.608750000000001</v>
      </c>
      <c r="BF45" s="3">
        <v>79.37</v>
      </c>
      <c r="BG45" s="2">
        <v>-15.44664</v>
      </c>
      <c r="BH45" s="2">
        <v>4.4317010000000003</v>
      </c>
      <c r="BI45" s="2">
        <v>2.9859070000000001</v>
      </c>
      <c r="BJ45" s="2">
        <v>1.922215</v>
      </c>
      <c r="BK45" s="2">
        <v>8.67563</v>
      </c>
      <c r="BL45" s="2">
        <v>16</v>
      </c>
      <c r="BM45" s="2">
        <v>14</v>
      </c>
      <c r="BN45" s="4">
        <v>19</v>
      </c>
      <c r="BO45" s="4">
        <v>2</v>
      </c>
      <c r="BP45" s="4">
        <v>0</v>
      </c>
      <c r="BQ45" s="4">
        <v>17</v>
      </c>
      <c r="BR45" s="2">
        <v>10.52632</v>
      </c>
      <c r="BS45" s="4">
        <v>15</v>
      </c>
      <c r="BT45" s="4">
        <v>0</v>
      </c>
      <c r="BU45" s="4">
        <v>19</v>
      </c>
      <c r="BV45" s="2">
        <v>78.947370000000006</v>
      </c>
      <c r="BW45" s="2">
        <v>12.082599999999999</v>
      </c>
      <c r="BX45" s="2">
        <v>2003.818</v>
      </c>
      <c r="BY45" s="3">
        <v>2.2254670000000001</v>
      </c>
      <c r="BZ45" s="3">
        <v>0.1110613</v>
      </c>
      <c r="CA45" s="2">
        <v>0.62140200000000001</v>
      </c>
      <c r="CB45" s="3">
        <v>0.1110613</v>
      </c>
      <c r="CC45" s="3">
        <v>3.2622010000000001</v>
      </c>
      <c r="CD45" s="3">
        <v>3.2462499999999999</v>
      </c>
      <c r="CE45" s="2">
        <v>-0.48895480000000002</v>
      </c>
      <c r="CF45" s="3">
        <v>-721.96749999999997</v>
      </c>
      <c r="CG45" s="3">
        <v>-56.538739999999997</v>
      </c>
      <c r="CH45" s="2">
        <v>-92.168790000000001</v>
      </c>
      <c r="CI45" s="3">
        <v>90.603660000000005</v>
      </c>
      <c r="CJ45" s="2">
        <v>0.79051260000000001</v>
      </c>
      <c r="CK45" s="3">
        <v>8633.1039999999994</v>
      </c>
      <c r="CL45" s="3">
        <v>5996.2380000000003</v>
      </c>
      <c r="CM45" s="2">
        <v>-30.543659999999999</v>
      </c>
      <c r="CN45" s="3">
        <v>64.702640000000002</v>
      </c>
      <c r="CO45" s="3">
        <v>66.294499999999999</v>
      </c>
      <c r="CP45" s="3">
        <v>65.787679999999995</v>
      </c>
      <c r="CQ45" s="2">
        <v>3.720653</v>
      </c>
      <c r="CR45" s="2">
        <v>1.2301089999999999</v>
      </c>
      <c r="CS45" s="2">
        <v>2.009976</v>
      </c>
      <c r="CT45" s="2">
        <v>2.460277</v>
      </c>
      <c r="CU45" s="2">
        <v>104.991</v>
      </c>
      <c r="CV45" s="3">
        <v>7.8074009999999999E-2</v>
      </c>
      <c r="CW45" s="2" t="e">
        <v>#N/A</v>
      </c>
      <c r="CX45" s="2" t="e">
        <v>#N/A</v>
      </c>
      <c r="CY45" s="2" t="e">
        <v>#N/A</v>
      </c>
      <c r="CZ45" s="2">
        <v>28.767679999999999</v>
      </c>
    </row>
    <row r="46" spans="1:104" ht="15" customHeight="1" x14ac:dyDescent="0.2">
      <c r="A46" s="1">
        <f t="shared" si="0"/>
        <v>40</v>
      </c>
      <c r="B46" s="1" t="s">
        <v>130</v>
      </c>
      <c r="C46" s="1" t="s">
        <v>129</v>
      </c>
      <c r="D46" s="1" t="s">
        <v>28</v>
      </c>
      <c r="E46" s="1" t="s">
        <v>131</v>
      </c>
      <c r="F46" s="1" t="s">
        <v>132</v>
      </c>
      <c r="G46" s="2">
        <v>131283.79999999999</v>
      </c>
      <c r="H46" s="2">
        <v>92.439800000000005</v>
      </c>
      <c r="I46" s="2">
        <v>121358.5</v>
      </c>
      <c r="J46" s="3">
        <v>52.55</v>
      </c>
      <c r="K46" s="3">
        <v>0</v>
      </c>
      <c r="L46" s="2">
        <v>6.8661089999999998</v>
      </c>
      <c r="M46" s="2">
        <v>5.6164050000000003</v>
      </c>
      <c r="N46" s="2">
        <v>5.9478080000000002</v>
      </c>
      <c r="O46" s="2">
        <v>6.091094</v>
      </c>
      <c r="P46" s="2">
        <v>4.0428439999999997</v>
      </c>
      <c r="Q46" s="2">
        <v>5.5528219999999999</v>
      </c>
      <c r="R46" s="2">
        <v>6.0033560000000001</v>
      </c>
      <c r="S46" s="2">
        <v>6.4058159999999997</v>
      </c>
      <c r="T46" s="2">
        <v>2.887667</v>
      </c>
      <c r="U46" s="2">
        <v>2.9314269999999998</v>
      </c>
      <c r="V46" s="2">
        <v>3.1936749999999998</v>
      </c>
      <c r="W46" s="2">
        <v>3.4409700000000001</v>
      </c>
      <c r="X46" s="2">
        <v>1.276608</v>
      </c>
      <c r="Y46" s="2">
        <v>1.1298029999999999</v>
      </c>
      <c r="Z46" s="2">
        <v>1.028983</v>
      </c>
      <c r="AA46" s="2">
        <v>0.95544450000000003</v>
      </c>
      <c r="AB46" s="2">
        <v>3.1007020000000001</v>
      </c>
      <c r="AC46" s="2">
        <v>3.7508699999999999</v>
      </c>
      <c r="AD46" s="2">
        <v>3.7423009999999999</v>
      </c>
      <c r="AE46" s="2">
        <v>3.7428780000000001</v>
      </c>
      <c r="AF46" s="2">
        <v>12.01741</v>
      </c>
      <c r="AG46" s="2">
        <v>11.13312</v>
      </c>
      <c r="AH46" s="2">
        <v>9.7013560000000005</v>
      </c>
      <c r="AI46" s="2">
        <v>13.218310000000001</v>
      </c>
      <c r="AJ46" s="2">
        <v>12.019780000000001</v>
      </c>
      <c r="AK46" s="2">
        <v>10.27129</v>
      </c>
      <c r="AL46" s="3" t="e">
        <v>#N/A</v>
      </c>
      <c r="AM46" s="3" t="e">
        <v>#N/A</v>
      </c>
      <c r="AN46" s="2">
        <v>23.864650000000001</v>
      </c>
      <c r="AO46" s="2">
        <v>21.76332</v>
      </c>
      <c r="AP46" s="2">
        <v>19.784300000000002</v>
      </c>
      <c r="AQ46" s="2">
        <v>18.409479999999999</v>
      </c>
      <c r="AR46" s="2">
        <v>0.26598549999999999</v>
      </c>
      <c r="AS46" s="2">
        <v>0.26632499999999998</v>
      </c>
      <c r="AT46" s="2">
        <v>0.23558760000000001</v>
      </c>
      <c r="AU46" s="2">
        <v>0.1909332</v>
      </c>
      <c r="AV46" s="1" t="s">
        <v>78</v>
      </c>
      <c r="AW46" s="3">
        <v>1.4827589999999999</v>
      </c>
      <c r="AX46" s="3">
        <v>65.598759999999999</v>
      </c>
      <c r="AY46" s="2">
        <v>24.831140000000001</v>
      </c>
      <c r="AZ46" s="2">
        <v>20.34646</v>
      </c>
      <c r="BA46" s="2">
        <v>-8.1421340000000004</v>
      </c>
      <c r="BB46" s="2">
        <v>4.3279769999999997</v>
      </c>
      <c r="BC46" s="2">
        <v>-10.400679999999999</v>
      </c>
      <c r="BD46" s="3">
        <v>45.81</v>
      </c>
      <c r="BE46" s="2">
        <v>14.71294</v>
      </c>
      <c r="BF46" s="3">
        <v>60.93</v>
      </c>
      <c r="BG46" s="2">
        <v>-13.753489999999999</v>
      </c>
      <c r="BH46" s="2">
        <v>25.741140000000001</v>
      </c>
      <c r="BI46" s="2">
        <v>31.600449999999999</v>
      </c>
      <c r="BJ46" s="2">
        <v>35.856569999999998</v>
      </c>
      <c r="BK46" s="2">
        <v>39.848640000000003</v>
      </c>
      <c r="BL46" s="2">
        <v>26</v>
      </c>
      <c r="BM46" s="2">
        <v>21</v>
      </c>
      <c r="BN46" s="4">
        <v>29</v>
      </c>
      <c r="BO46" s="4">
        <v>3</v>
      </c>
      <c r="BP46" s="4">
        <v>0</v>
      </c>
      <c r="BQ46" s="4">
        <v>29</v>
      </c>
      <c r="BR46" s="2">
        <v>9.375</v>
      </c>
      <c r="BS46" s="4">
        <v>17</v>
      </c>
      <c r="BT46" s="4">
        <v>1</v>
      </c>
      <c r="BU46" s="4">
        <v>29</v>
      </c>
      <c r="BV46" s="2">
        <v>58.620690000000003</v>
      </c>
      <c r="BW46" s="2">
        <v>9.8580699999999997</v>
      </c>
      <c r="BX46" s="2">
        <v>2498.2640000000001</v>
      </c>
      <c r="BY46" s="3">
        <v>5.2828569999999999</v>
      </c>
      <c r="BZ46" s="3">
        <v>0.21146110000000001</v>
      </c>
      <c r="CA46" s="2">
        <v>1.1561999999999999</v>
      </c>
      <c r="CB46" s="3">
        <v>0.21146110000000001</v>
      </c>
      <c r="CC46" s="3">
        <v>10.04128</v>
      </c>
      <c r="CD46" s="3">
        <v>9.4478399999999993</v>
      </c>
      <c r="CE46" s="2">
        <v>-5.9099969999999997</v>
      </c>
      <c r="CF46" s="3">
        <v>37341.14</v>
      </c>
      <c r="CG46" s="3">
        <v>35637.699999999997</v>
      </c>
      <c r="CH46" s="2">
        <v>-4.5618350000000003</v>
      </c>
      <c r="CI46" s="3">
        <v>65.588840000000005</v>
      </c>
      <c r="CJ46" s="2">
        <v>1.5127659999999999E-2</v>
      </c>
      <c r="CK46" s="3">
        <v>224226</v>
      </c>
      <c r="CL46" s="3">
        <v>228509.6</v>
      </c>
      <c r="CM46" s="2">
        <v>1.9104239999999999</v>
      </c>
      <c r="CN46" s="3">
        <v>56.08079</v>
      </c>
      <c r="CO46" s="3">
        <v>54.963920000000002</v>
      </c>
      <c r="CP46" s="3">
        <v>53.743850000000002</v>
      </c>
      <c r="CQ46" s="2">
        <v>-6.2958959999999999</v>
      </c>
      <c r="CR46" s="2">
        <v>-4.3918309999999998</v>
      </c>
      <c r="CS46" s="2">
        <v>-2.2213759999999998</v>
      </c>
      <c r="CT46" s="2">
        <v>-1.9915339999999999</v>
      </c>
      <c r="CU46" s="2">
        <v>249.4374</v>
      </c>
      <c r="CV46" s="3">
        <v>0.18999869999999999</v>
      </c>
      <c r="CW46" s="2">
        <v>0.62609740000000003</v>
      </c>
      <c r="CX46" s="2">
        <v>-7.7416679999999998</v>
      </c>
      <c r="CY46" s="2">
        <v>12.929349999999999</v>
      </c>
      <c r="CZ46" s="2">
        <v>29</v>
      </c>
    </row>
    <row r="47" spans="1:104" ht="15" customHeight="1" x14ac:dyDescent="0.2">
      <c r="A47" s="1">
        <f t="shared" si="0"/>
        <v>41</v>
      </c>
      <c r="B47" s="1" t="s">
        <v>134</v>
      </c>
      <c r="C47" s="1" t="s">
        <v>133</v>
      </c>
      <c r="D47" s="1" t="s">
        <v>28</v>
      </c>
      <c r="E47" s="1" t="s">
        <v>4</v>
      </c>
      <c r="F47" s="1" t="s">
        <v>97</v>
      </c>
      <c r="G47" s="2">
        <v>61995.519999999997</v>
      </c>
      <c r="H47" s="2">
        <v>91.886700000000005</v>
      </c>
      <c r="I47" s="2">
        <v>56965.64</v>
      </c>
      <c r="J47" s="3">
        <v>27.024999999999999</v>
      </c>
      <c r="K47" s="3">
        <v>0</v>
      </c>
      <c r="L47" s="2">
        <v>6.2904730000000004</v>
      </c>
      <c r="M47" s="2">
        <v>6.8085110000000002</v>
      </c>
      <c r="N47" s="2">
        <v>7.3265500000000001</v>
      </c>
      <c r="O47" s="2">
        <v>7.8445879999999999</v>
      </c>
      <c r="P47" s="2">
        <v>8.7743509999999993</v>
      </c>
      <c r="Q47" s="2">
        <v>8.0431550000000005</v>
      </c>
      <c r="R47" s="2">
        <v>7.506945</v>
      </c>
      <c r="S47" s="2">
        <v>7.048578</v>
      </c>
      <c r="T47" s="2">
        <v>8.7060910000000007</v>
      </c>
      <c r="U47" s="2">
        <v>6.4414439999999997</v>
      </c>
      <c r="V47" s="2">
        <v>6.0516449999999997</v>
      </c>
      <c r="W47" s="2">
        <v>5.8882349999999999</v>
      </c>
      <c r="X47" s="2">
        <v>1.369048</v>
      </c>
      <c r="Y47" s="2">
        <v>1.298441</v>
      </c>
      <c r="Z47" s="2">
        <v>1.2294860000000001</v>
      </c>
      <c r="AA47" s="2">
        <v>1.1501300000000001</v>
      </c>
      <c r="AB47" s="2">
        <v>10.007350000000001</v>
      </c>
      <c r="AC47" s="2">
        <v>8.9534909999999996</v>
      </c>
      <c r="AD47" s="2">
        <v>8.0662520000000004</v>
      </c>
      <c r="AE47" s="2" t="e">
        <v>#N/A</v>
      </c>
      <c r="AF47" s="2">
        <v>4.7104270000000001</v>
      </c>
      <c r="AG47" s="2">
        <v>5.0787329999999997</v>
      </c>
      <c r="AH47" s="2">
        <v>5.4463980000000003</v>
      </c>
      <c r="AI47" s="2">
        <v>4.737921</v>
      </c>
      <c r="AJ47" s="2">
        <v>5.0659099999999997</v>
      </c>
      <c r="AK47" s="2">
        <v>5.38835</v>
      </c>
      <c r="AL47" s="3" t="e">
        <v>#N/A</v>
      </c>
      <c r="AM47" s="3" t="e">
        <v>#N/A</v>
      </c>
      <c r="AN47" s="2">
        <v>8.7420010000000001</v>
      </c>
      <c r="AO47" s="2">
        <v>9.3647770000000001</v>
      </c>
      <c r="AP47" s="2">
        <v>9.5944240000000001</v>
      </c>
      <c r="AQ47" s="2">
        <v>9.5398990000000001</v>
      </c>
      <c r="AR47" s="2">
        <v>1.8589469999999999</v>
      </c>
      <c r="AS47" s="2">
        <v>3.7379309999999999E-2</v>
      </c>
      <c r="AT47" s="2">
        <v>-1.531825E-2</v>
      </c>
      <c r="AU47" s="2">
        <v>-6.3434299999999999E-2</v>
      </c>
      <c r="AV47" s="1" t="s">
        <v>6</v>
      </c>
      <c r="AW47" s="3">
        <v>1.138889</v>
      </c>
      <c r="AX47" s="3">
        <v>34</v>
      </c>
      <c r="AY47" s="2">
        <v>25.809439999999999</v>
      </c>
      <c r="AZ47" s="2">
        <v>16.143419999999999</v>
      </c>
      <c r="BA47" s="2" t="e">
        <v>#N/A</v>
      </c>
      <c r="BB47" s="2">
        <v>24.769159999999999</v>
      </c>
      <c r="BC47" s="2">
        <v>3.7228940000000001</v>
      </c>
      <c r="BD47" s="3">
        <v>20.335000000000001</v>
      </c>
      <c r="BE47" s="2">
        <v>32.898949999999999</v>
      </c>
      <c r="BF47" s="3">
        <v>30.34</v>
      </c>
      <c r="BG47" s="2">
        <v>-10.926170000000001</v>
      </c>
      <c r="BH47" s="2">
        <v>54.68535</v>
      </c>
      <c r="BI47" s="2">
        <v>54.481189999999998</v>
      </c>
      <c r="BJ47" s="2">
        <v>54.278289999999998</v>
      </c>
      <c r="BK47" s="2">
        <v>54.417839999999998</v>
      </c>
      <c r="BL47" s="2">
        <v>16</v>
      </c>
      <c r="BM47" s="2">
        <v>5</v>
      </c>
      <c r="BN47" s="4">
        <v>18</v>
      </c>
      <c r="BO47" s="4">
        <v>0</v>
      </c>
      <c r="BP47" s="4">
        <v>0</v>
      </c>
      <c r="BQ47" s="4">
        <v>18</v>
      </c>
      <c r="BR47" s="2">
        <v>0</v>
      </c>
      <c r="BS47" s="4">
        <v>16</v>
      </c>
      <c r="BT47" s="4">
        <v>0</v>
      </c>
      <c r="BU47" s="4">
        <v>18</v>
      </c>
      <c r="BV47" s="2">
        <v>88.888890000000004</v>
      </c>
      <c r="BW47" s="2">
        <v>10.353899999999999</v>
      </c>
      <c r="BX47" s="2">
        <v>2294.0070000000001</v>
      </c>
      <c r="BY47" s="3">
        <v>4.6563119999999998</v>
      </c>
      <c r="BZ47" s="3">
        <v>0.2029773</v>
      </c>
      <c r="CA47" s="2">
        <v>1.5217700000000001</v>
      </c>
      <c r="CB47" s="3">
        <v>0.2029773</v>
      </c>
      <c r="CC47" s="3">
        <v>3.4109340000000001</v>
      </c>
      <c r="CD47" s="3">
        <v>3.3709600000000002</v>
      </c>
      <c r="CE47" s="2">
        <v>-1.1719520000000001</v>
      </c>
      <c r="CF47" s="3">
        <v>9513.5130000000008</v>
      </c>
      <c r="CG47" s="3">
        <v>8788.5740000000005</v>
      </c>
      <c r="CH47" s="2">
        <v>-7.6200900000000003</v>
      </c>
      <c r="CI47" s="3">
        <v>33.063890000000001</v>
      </c>
      <c r="CJ47" s="2">
        <v>2.8312210000000002</v>
      </c>
      <c r="CK47" s="3">
        <v>103756.8</v>
      </c>
      <c r="CL47" s="3">
        <v>103028</v>
      </c>
      <c r="CM47" s="2">
        <v>-0.70245270000000004</v>
      </c>
      <c r="CN47" s="3">
        <v>27.10286</v>
      </c>
      <c r="CO47" s="3">
        <v>27.43805</v>
      </c>
      <c r="CP47" s="3">
        <v>26.71115</v>
      </c>
      <c r="CQ47" s="2">
        <v>-0.28725859999999998</v>
      </c>
      <c r="CR47" s="2">
        <v>-1.5053749999999999</v>
      </c>
      <c r="CS47" s="2">
        <v>1.174963</v>
      </c>
      <c r="CT47" s="2">
        <v>1.236737</v>
      </c>
      <c r="CU47" s="2">
        <v>113.7265</v>
      </c>
      <c r="CV47" s="3">
        <v>0.18344299999999999</v>
      </c>
      <c r="CW47" s="2" t="e">
        <v>#N/A</v>
      </c>
      <c r="CX47" s="2">
        <v>-0.625</v>
      </c>
      <c r="CY47" s="2" t="e">
        <v>#N/A</v>
      </c>
      <c r="CZ47" s="2">
        <v>29.383839999999999</v>
      </c>
    </row>
    <row r="48" spans="1:104" ht="15" customHeight="1" x14ac:dyDescent="0.2">
      <c r="A48" s="1">
        <f t="shared" si="0"/>
        <v>42</v>
      </c>
      <c r="B48" s="1" t="s">
        <v>136</v>
      </c>
      <c r="C48" s="1" t="s">
        <v>135</v>
      </c>
      <c r="D48" s="1" t="s">
        <v>28</v>
      </c>
      <c r="E48" s="1" t="s">
        <v>112</v>
      </c>
      <c r="F48" s="1" t="s">
        <v>137</v>
      </c>
      <c r="G48" s="2">
        <v>78290.899999999994</v>
      </c>
      <c r="H48" s="2">
        <v>66.764899999999997</v>
      </c>
      <c r="I48" s="2">
        <v>52270.84</v>
      </c>
      <c r="J48" s="3">
        <v>172.6</v>
      </c>
      <c r="K48" s="3">
        <v>0</v>
      </c>
      <c r="L48" s="2">
        <v>1.8713789999999999</v>
      </c>
      <c r="M48" s="2">
        <v>1.9988410000000001</v>
      </c>
      <c r="N48" s="2">
        <v>2.2045189999999999</v>
      </c>
      <c r="O48" s="2">
        <v>2.4449589999999999</v>
      </c>
      <c r="P48" s="2">
        <v>35.734990000000003</v>
      </c>
      <c r="Q48" s="2">
        <v>25.419740000000001</v>
      </c>
      <c r="R48" s="2">
        <v>22.87837</v>
      </c>
      <c r="S48" s="2">
        <v>20.610959999999999</v>
      </c>
      <c r="T48" s="2">
        <v>13.46083</v>
      </c>
      <c r="U48" s="2">
        <v>12.91723</v>
      </c>
      <c r="V48" s="2">
        <v>11.66262</v>
      </c>
      <c r="W48" s="2">
        <v>10.48507</v>
      </c>
      <c r="X48" s="2">
        <v>2.0377809999999998</v>
      </c>
      <c r="Y48" s="2">
        <v>1.970545</v>
      </c>
      <c r="Z48" s="2">
        <v>1.8919589999999999</v>
      </c>
      <c r="AA48" s="2">
        <v>1.8161430000000001</v>
      </c>
      <c r="AB48" s="2">
        <v>15.40358</v>
      </c>
      <c r="AC48" s="2">
        <v>13.88621</v>
      </c>
      <c r="AD48" s="2">
        <v>12.44698</v>
      </c>
      <c r="AE48" s="2">
        <v>11.764279999999999</v>
      </c>
      <c r="AF48" s="2">
        <v>3.6852369999999999</v>
      </c>
      <c r="AG48" s="2">
        <v>4.5953309999999998</v>
      </c>
      <c r="AH48" s="2">
        <v>5.1742939999999997</v>
      </c>
      <c r="AI48" s="2">
        <v>3.9771489999999998</v>
      </c>
      <c r="AJ48" s="2">
        <v>4.8529439999999999</v>
      </c>
      <c r="AK48" s="2">
        <v>5.34917</v>
      </c>
      <c r="AL48" s="3">
        <v>2.6190280000000001</v>
      </c>
      <c r="AM48" s="3">
        <v>2.3695719999999998</v>
      </c>
      <c r="AN48" s="2">
        <v>25.283740000000002</v>
      </c>
      <c r="AO48" s="2">
        <v>25.736229999999999</v>
      </c>
      <c r="AP48" s="2">
        <v>26.557670000000002</v>
      </c>
      <c r="AQ48" s="2">
        <v>27.352630000000001</v>
      </c>
      <c r="AR48" s="2">
        <v>1.230583</v>
      </c>
      <c r="AS48" s="2">
        <v>0.94808890000000001</v>
      </c>
      <c r="AT48" s="2">
        <v>0.6190985</v>
      </c>
      <c r="AU48" s="2">
        <v>0.34277920000000001</v>
      </c>
      <c r="AV48" s="1" t="s">
        <v>6</v>
      </c>
      <c r="AW48" s="3">
        <v>1.447368</v>
      </c>
      <c r="AX48" s="3">
        <v>194</v>
      </c>
      <c r="AY48" s="2">
        <v>12.3986</v>
      </c>
      <c r="AZ48" s="2">
        <v>7.752027</v>
      </c>
      <c r="BA48" s="2">
        <v>10</v>
      </c>
      <c r="BB48" s="2">
        <v>20.783770000000001</v>
      </c>
      <c r="BC48" s="2">
        <v>2.0094630000000002</v>
      </c>
      <c r="BD48" s="3">
        <v>137</v>
      </c>
      <c r="BE48" s="2">
        <v>25.985410000000002</v>
      </c>
      <c r="BF48" s="3">
        <v>188.4</v>
      </c>
      <c r="BG48" s="2">
        <v>-8.3864029999999996</v>
      </c>
      <c r="BH48" s="2">
        <v>68.454729999999998</v>
      </c>
      <c r="BI48" s="2">
        <v>51.185459999999999</v>
      </c>
      <c r="BJ48" s="2">
        <v>51.468229999999998</v>
      </c>
      <c r="BK48" s="2">
        <v>50.558219999999999</v>
      </c>
      <c r="BL48" s="2">
        <v>17</v>
      </c>
      <c r="BM48" s="2">
        <v>14</v>
      </c>
      <c r="BN48" s="4">
        <v>19</v>
      </c>
      <c r="BO48" s="4">
        <v>0</v>
      </c>
      <c r="BP48" s="4">
        <v>1</v>
      </c>
      <c r="BQ48" s="4">
        <v>19</v>
      </c>
      <c r="BR48" s="2">
        <v>0</v>
      </c>
      <c r="BS48" s="4">
        <v>12</v>
      </c>
      <c r="BT48" s="4">
        <v>1</v>
      </c>
      <c r="BU48" s="4">
        <v>19</v>
      </c>
      <c r="BV48" s="2">
        <v>63.157890000000002</v>
      </c>
      <c r="BW48" s="2">
        <v>6.7862200000000001</v>
      </c>
      <c r="BX48" s="2">
        <v>453.59730000000002</v>
      </c>
      <c r="BY48" s="3">
        <v>0.49099880000000001</v>
      </c>
      <c r="BZ48" s="3">
        <v>0.10824549999999999</v>
      </c>
      <c r="CA48" s="2">
        <v>0.852607</v>
      </c>
      <c r="CB48" s="3">
        <v>0.10824549999999999</v>
      </c>
      <c r="CC48" s="3">
        <v>6.7942020000000003</v>
      </c>
      <c r="CD48" s="3">
        <v>6.720275</v>
      </c>
      <c r="CE48" s="2">
        <v>-1.088095</v>
      </c>
      <c r="CF48" s="3">
        <v>4388.8459999999995</v>
      </c>
      <c r="CG48" s="3">
        <v>4406.2479999999996</v>
      </c>
      <c r="CH48" s="2">
        <v>0.39650200000000002</v>
      </c>
      <c r="CI48" s="3">
        <v>184.42859999999999</v>
      </c>
      <c r="CJ48" s="2">
        <v>5.1897760000000002</v>
      </c>
      <c r="CK48" s="3">
        <v>25427.21</v>
      </c>
      <c r="CL48" s="3">
        <v>25544.22</v>
      </c>
      <c r="CM48" s="2">
        <v>0.46017170000000002</v>
      </c>
      <c r="CN48" s="3">
        <v>169.1583</v>
      </c>
      <c r="CO48" s="3">
        <v>175.95570000000001</v>
      </c>
      <c r="CP48" s="3">
        <v>169.56389999999999</v>
      </c>
      <c r="CQ48" s="2">
        <v>2.0345930000000001</v>
      </c>
      <c r="CR48" s="2">
        <v>-1.907098</v>
      </c>
      <c r="CS48" s="2">
        <v>1.790559</v>
      </c>
      <c r="CT48" s="2">
        <v>4.0183309999999999</v>
      </c>
      <c r="CU48" s="2">
        <v>88.922780000000003</v>
      </c>
      <c r="CV48" s="3">
        <v>0.11358</v>
      </c>
      <c r="CW48" s="2" t="e">
        <v>#N/A</v>
      </c>
      <c r="CX48" s="2">
        <v>3.7676430000000001</v>
      </c>
      <c r="CY48" s="2" t="e">
        <v>#N/A</v>
      </c>
      <c r="CZ48" s="2">
        <v>29.575759999999999</v>
      </c>
    </row>
    <row r="49" spans="1:104" ht="15" customHeight="1" x14ac:dyDescent="0.2">
      <c r="A49" s="1">
        <f t="shared" si="0"/>
        <v>43</v>
      </c>
      <c r="B49" s="1" t="s">
        <v>139</v>
      </c>
      <c r="C49" s="1" t="s">
        <v>138</v>
      </c>
      <c r="D49" s="1" t="s">
        <v>28</v>
      </c>
      <c r="E49" s="1" t="s">
        <v>29</v>
      </c>
      <c r="F49" s="1" t="s">
        <v>140</v>
      </c>
      <c r="G49" s="2">
        <v>38050.18</v>
      </c>
      <c r="H49" s="2">
        <v>92.486000000000004</v>
      </c>
      <c r="I49" s="2">
        <v>35191.089999999997</v>
      </c>
      <c r="J49" s="3">
        <v>56.14</v>
      </c>
      <c r="K49" s="3">
        <v>0</v>
      </c>
      <c r="L49" s="2">
        <v>3.562522</v>
      </c>
      <c r="M49" s="2">
        <v>3.6693980000000002</v>
      </c>
      <c r="N49" s="2">
        <v>3.8118989999999999</v>
      </c>
      <c r="O49" s="2">
        <v>4.0279889999999998</v>
      </c>
      <c r="P49" s="2">
        <v>16.367349999999998</v>
      </c>
      <c r="Q49" s="2">
        <v>16.33578</v>
      </c>
      <c r="R49" s="2">
        <v>15.327809999999999</v>
      </c>
      <c r="S49" s="2">
        <v>14.44637</v>
      </c>
      <c r="T49" s="2">
        <v>9.5866209999999992</v>
      </c>
      <c r="U49" s="2">
        <v>10.14114</v>
      </c>
      <c r="V49" s="2">
        <v>9.7903389999999995</v>
      </c>
      <c r="W49" s="2">
        <v>8.9975400000000008</v>
      </c>
      <c r="X49" s="2">
        <v>2.008283</v>
      </c>
      <c r="Y49" s="2">
        <v>1.926231</v>
      </c>
      <c r="Z49" s="2">
        <v>1.850363</v>
      </c>
      <c r="AA49" s="2">
        <v>1.7687459999999999</v>
      </c>
      <c r="AB49" s="2">
        <v>12.11492</v>
      </c>
      <c r="AC49" s="2">
        <v>10.4396</v>
      </c>
      <c r="AD49" s="2">
        <v>10.070679999999999</v>
      </c>
      <c r="AE49" s="2">
        <v>9.5454450000000008</v>
      </c>
      <c r="AF49" s="2">
        <v>4.3748279999999999</v>
      </c>
      <c r="AG49" s="2">
        <v>4.9002059999999998</v>
      </c>
      <c r="AH49" s="2">
        <v>5.3390829999999996</v>
      </c>
      <c r="AI49" s="2">
        <v>5.4685870000000003</v>
      </c>
      <c r="AJ49" s="2">
        <v>6.0403190000000002</v>
      </c>
      <c r="AK49" s="2">
        <v>6.4461219999999999</v>
      </c>
      <c r="AL49" s="3">
        <v>5.5025930000000001</v>
      </c>
      <c r="AM49" s="3">
        <v>5.2081780000000002</v>
      </c>
      <c r="AN49" s="2">
        <v>16.358409999999999</v>
      </c>
      <c r="AO49" s="2">
        <v>16.574149999999999</v>
      </c>
      <c r="AP49" s="2">
        <v>16.51473</v>
      </c>
      <c r="AQ49" s="2">
        <v>17.447009999999999</v>
      </c>
      <c r="AR49" s="2">
        <v>2.233641</v>
      </c>
      <c r="AS49" s="2">
        <v>2.0283060000000002</v>
      </c>
      <c r="AT49" s="2">
        <v>1.847931</v>
      </c>
      <c r="AU49" s="2">
        <v>1.5452129999999999</v>
      </c>
      <c r="AV49" s="1" t="s">
        <v>49</v>
      </c>
      <c r="AW49" s="3">
        <v>1.818182</v>
      </c>
      <c r="AX49" s="3">
        <v>56.8</v>
      </c>
      <c r="AY49" s="2">
        <v>1.17563</v>
      </c>
      <c r="AZ49" s="2">
        <v>11.79149</v>
      </c>
      <c r="BA49" s="2">
        <v>3.25</v>
      </c>
      <c r="BB49" s="2">
        <v>5.4074410000000004</v>
      </c>
      <c r="BC49" s="2">
        <v>14.036149999999999</v>
      </c>
      <c r="BD49" s="3">
        <v>46.75</v>
      </c>
      <c r="BE49" s="2">
        <v>20.085560000000001</v>
      </c>
      <c r="BF49" s="3">
        <v>61.88</v>
      </c>
      <c r="BG49" s="2">
        <v>-9.2760200000000008</v>
      </c>
      <c r="BH49" s="2">
        <v>58.407440000000001</v>
      </c>
      <c r="BI49" s="2">
        <v>60.516309999999997</v>
      </c>
      <c r="BJ49" s="2">
        <v>59.661549999999998</v>
      </c>
      <c r="BK49" s="2">
        <v>58.167659999999998</v>
      </c>
      <c r="BL49" s="2">
        <v>20</v>
      </c>
      <c r="BM49" s="2">
        <v>20</v>
      </c>
      <c r="BN49" s="4">
        <v>22</v>
      </c>
      <c r="BO49" s="4">
        <v>0</v>
      </c>
      <c r="BP49" s="4">
        <v>0</v>
      </c>
      <c r="BQ49" s="4">
        <v>22</v>
      </c>
      <c r="BR49" s="2">
        <v>0</v>
      </c>
      <c r="BS49" s="4">
        <v>10</v>
      </c>
      <c r="BT49" s="4">
        <v>5</v>
      </c>
      <c r="BU49" s="4">
        <v>22</v>
      </c>
      <c r="BV49" s="2">
        <v>45.454549999999998</v>
      </c>
      <c r="BW49" s="2">
        <v>5.9119599999999997</v>
      </c>
      <c r="BX49" s="2">
        <v>677.7731</v>
      </c>
      <c r="BY49" s="3">
        <v>1.304478</v>
      </c>
      <c r="BZ49" s="3">
        <v>0.1924652</v>
      </c>
      <c r="CA49" s="2">
        <v>0.56228599999999995</v>
      </c>
      <c r="CB49" s="3">
        <v>0.1924652</v>
      </c>
      <c r="CC49" s="3">
        <v>3.4676520000000002</v>
      </c>
      <c r="CD49" s="3">
        <v>3.4408120000000002</v>
      </c>
      <c r="CE49" s="2">
        <v>-0.77400800000000003</v>
      </c>
      <c r="CF49" s="3">
        <v>3447.4839999999999</v>
      </c>
      <c r="CG49" s="3">
        <v>3479.7570000000001</v>
      </c>
      <c r="CH49" s="2">
        <v>0.93615060000000005</v>
      </c>
      <c r="CI49" s="3">
        <v>58.325000000000003</v>
      </c>
      <c r="CJ49" s="2">
        <v>-2.6146590000000001</v>
      </c>
      <c r="CK49" s="3">
        <v>27944.09</v>
      </c>
      <c r="CL49" s="3">
        <v>28148.01</v>
      </c>
      <c r="CM49" s="2">
        <v>0.72976350000000001</v>
      </c>
      <c r="CN49" s="3">
        <v>53.013159999999999</v>
      </c>
      <c r="CO49" s="3">
        <v>57.312739999999998</v>
      </c>
      <c r="CP49" s="3">
        <v>55.401539999999997</v>
      </c>
      <c r="CQ49" s="2">
        <v>5.898237</v>
      </c>
      <c r="CR49" s="2">
        <v>-2.0462159999999998</v>
      </c>
      <c r="CS49" s="2">
        <v>1.332927</v>
      </c>
      <c r="CT49" s="2">
        <v>8.1104040000000008</v>
      </c>
      <c r="CU49" s="2">
        <v>75.813159999999996</v>
      </c>
      <c r="CV49" s="3">
        <v>0.19924520000000001</v>
      </c>
      <c r="CW49" s="2" t="e">
        <v>#N/A</v>
      </c>
      <c r="CX49" s="2">
        <v>4.5109959999999996</v>
      </c>
      <c r="CY49" s="2" t="e">
        <v>#N/A</v>
      </c>
      <c r="CZ49" s="2">
        <v>30.212119999999999</v>
      </c>
    </row>
    <row r="50" spans="1:104" ht="15" customHeight="1" x14ac:dyDescent="0.2">
      <c r="A50" s="1">
        <f t="shared" si="0"/>
        <v>44</v>
      </c>
      <c r="B50" s="1" t="s">
        <v>142</v>
      </c>
      <c r="C50" s="1" t="s">
        <v>141</v>
      </c>
      <c r="D50" s="1" t="s">
        <v>143</v>
      </c>
      <c r="E50" s="1" t="s">
        <v>10</v>
      </c>
      <c r="F50" s="1" t="s">
        <v>144</v>
      </c>
      <c r="G50" s="2">
        <v>21602.68</v>
      </c>
      <c r="H50" s="2">
        <v>93.063000000000002</v>
      </c>
      <c r="I50" s="2">
        <v>20104.099999999999</v>
      </c>
      <c r="J50" s="3">
        <v>3.8355000000000001</v>
      </c>
      <c r="K50" s="3">
        <v>0</v>
      </c>
      <c r="L50" s="2">
        <v>3.1286659999999999</v>
      </c>
      <c r="M50" s="2">
        <v>3.3893879999999998</v>
      </c>
      <c r="N50" s="2">
        <v>4.1715549999999997</v>
      </c>
      <c r="O50" s="2">
        <v>4.6929999999999996</v>
      </c>
      <c r="P50" s="2">
        <v>8.7170459999999999</v>
      </c>
      <c r="Q50" s="2">
        <v>9.5771859999999993</v>
      </c>
      <c r="R50" s="2">
        <v>8.8990720000000003</v>
      </c>
      <c r="S50" s="2">
        <v>8.1606380000000005</v>
      </c>
      <c r="T50" s="2">
        <v>5.2901499999999997</v>
      </c>
      <c r="U50" s="2">
        <v>4.4951420000000004</v>
      </c>
      <c r="V50" s="2">
        <v>3.9905200000000001</v>
      </c>
      <c r="W50" s="2">
        <v>3.4565410000000001</v>
      </c>
      <c r="X50" s="2">
        <v>1.012005</v>
      </c>
      <c r="Y50" s="2">
        <v>0.96436690000000003</v>
      </c>
      <c r="Z50" s="2">
        <v>0.90674339999999998</v>
      </c>
      <c r="AA50" s="2">
        <v>0.85944940000000003</v>
      </c>
      <c r="AB50" s="2">
        <v>14.608879999999999</v>
      </c>
      <c r="AC50" s="2">
        <v>11.439209999999999</v>
      </c>
      <c r="AD50" s="2">
        <v>7.8224020000000003</v>
      </c>
      <c r="AE50" s="2">
        <v>6.8232270000000002</v>
      </c>
      <c r="AF50" s="2">
        <v>7.9648529999999997</v>
      </c>
      <c r="AG50" s="2">
        <v>15.20872</v>
      </c>
      <c r="AH50" s="2">
        <v>19.179010000000002</v>
      </c>
      <c r="AI50" s="2">
        <v>6.2515159999999996</v>
      </c>
      <c r="AJ50" s="2">
        <v>11.16442</v>
      </c>
      <c r="AK50" s="2">
        <v>12.796570000000001</v>
      </c>
      <c r="AL50" s="3" t="e">
        <v>#N/A</v>
      </c>
      <c r="AM50" s="3" t="e">
        <v>#N/A</v>
      </c>
      <c r="AN50" s="2">
        <v>15.40484</v>
      </c>
      <c r="AO50" s="2">
        <v>14.7852</v>
      </c>
      <c r="AP50" s="2">
        <v>15.323869999999999</v>
      </c>
      <c r="AQ50" s="2">
        <v>15.76042</v>
      </c>
      <c r="AR50" s="2">
        <v>-1.060586</v>
      </c>
      <c r="AS50" s="2">
        <v>-1.2319720000000001</v>
      </c>
      <c r="AT50" s="2">
        <v>-1.4455640000000001</v>
      </c>
      <c r="AU50" s="2">
        <v>-1.7239930000000001</v>
      </c>
      <c r="AV50" s="1" t="s">
        <v>6</v>
      </c>
      <c r="AW50" s="3">
        <v>1.322581</v>
      </c>
      <c r="AX50" s="3">
        <v>5.5</v>
      </c>
      <c r="AY50" s="2">
        <v>43.397210000000001</v>
      </c>
      <c r="AZ50" s="2">
        <v>10.069419999999999</v>
      </c>
      <c r="BA50" s="2">
        <v>-4.7693009999999996</v>
      </c>
      <c r="BB50" s="2">
        <v>-13.60514</v>
      </c>
      <c r="BC50" s="2">
        <v>-11.35891</v>
      </c>
      <c r="BD50" s="3">
        <v>3.6604999999999999</v>
      </c>
      <c r="BE50" s="2">
        <v>4.7807690000000003</v>
      </c>
      <c r="BF50" s="3">
        <v>5.1980000000000004</v>
      </c>
      <c r="BG50" s="2">
        <v>-26.212009999999999</v>
      </c>
      <c r="BH50" s="2">
        <v>25.131989999999998</v>
      </c>
      <c r="BI50" s="2">
        <v>33.562289999999997</v>
      </c>
      <c r="BJ50" s="2">
        <v>36.823039999999999</v>
      </c>
      <c r="BK50" s="2">
        <v>40.204830000000001</v>
      </c>
      <c r="BL50" s="2">
        <v>28</v>
      </c>
      <c r="BM50" s="2">
        <v>24</v>
      </c>
      <c r="BN50" s="4">
        <v>31</v>
      </c>
      <c r="BO50" s="4">
        <v>2</v>
      </c>
      <c r="BP50" s="4">
        <v>0</v>
      </c>
      <c r="BQ50" s="4">
        <v>29</v>
      </c>
      <c r="BR50" s="2">
        <v>6.4516119999999999</v>
      </c>
      <c r="BS50" s="4">
        <v>22</v>
      </c>
      <c r="BT50" s="4">
        <v>0</v>
      </c>
      <c r="BU50" s="4">
        <v>31</v>
      </c>
      <c r="BV50" s="2">
        <v>70.967740000000006</v>
      </c>
      <c r="BW50" s="2">
        <v>9.9012200000000004</v>
      </c>
      <c r="BX50" s="2">
        <v>5632.2969999999996</v>
      </c>
      <c r="BY50" s="3">
        <v>12.849740000000001</v>
      </c>
      <c r="BZ50" s="3">
        <v>0.22814390000000001</v>
      </c>
      <c r="CA50" s="2">
        <v>1.27824</v>
      </c>
      <c r="CB50" s="3">
        <v>0.22814390000000001</v>
      </c>
      <c r="CC50" s="3">
        <v>0.43434210000000001</v>
      </c>
      <c r="CD50" s="3">
        <v>0.39893630000000002</v>
      </c>
      <c r="CE50" s="2">
        <v>-8.1515970000000006</v>
      </c>
      <c r="CF50" s="3">
        <v>3227.8589999999999</v>
      </c>
      <c r="CG50" s="3">
        <v>3042.4029999999998</v>
      </c>
      <c r="CH50" s="2">
        <v>-5.7454770000000002</v>
      </c>
      <c r="CI50" s="3">
        <v>5.9145380000000003</v>
      </c>
      <c r="CJ50" s="2">
        <v>-7.0087970000000004</v>
      </c>
      <c r="CK50" s="3">
        <v>25748.59</v>
      </c>
      <c r="CL50" s="3">
        <v>25568.5</v>
      </c>
      <c r="CM50" s="2">
        <v>-0.69941880000000001</v>
      </c>
      <c r="CN50" s="3">
        <v>4.3023680000000004</v>
      </c>
      <c r="CO50" s="3">
        <v>3.7991860000000002</v>
      </c>
      <c r="CP50" s="3">
        <v>3.8204419999999999</v>
      </c>
      <c r="CQ50" s="2">
        <v>-10.85141</v>
      </c>
      <c r="CR50" s="2">
        <v>0.95583200000000001</v>
      </c>
      <c r="CS50" s="2">
        <v>0.39412979999999997</v>
      </c>
      <c r="CT50" s="2">
        <v>-11.695460000000001</v>
      </c>
      <c r="CU50" s="2">
        <v>54.364379999999997</v>
      </c>
      <c r="CV50" s="3">
        <v>0.25165579999999999</v>
      </c>
      <c r="CW50" s="2">
        <v>-17.14263</v>
      </c>
      <c r="CX50" s="2">
        <v>2.3450289999999998</v>
      </c>
      <c r="CY50" s="2">
        <v>-13.8</v>
      </c>
      <c r="CZ50" s="2">
        <v>31.272729999999999</v>
      </c>
    </row>
    <row r="51" spans="1:104" ht="15" customHeight="1" x14ac:dyDescent="0.2">
      <c r="A51" s="1">
        <f t="shared" si="0"/>
        <v>45</v>
      </c>
      <c r="B51" s="1" t="s">
        <v>146</v>
      </c>
      <c r="C51" s="1" t="s">
        <v>145</v>
      </c>
      <c r="D51" s="1" t="s">
        <v>9</v>
      </c>
      <c r="E51" s="1" t="s">
        <v>112</v>
      </c>
      <c r="F51" s="1" t="s">
        <v>113</v>
      </c>
      <c r="G51" s="2">
        <v>49779.43</v>
      </c>
      <c r="H51" s="2">
        <v>99.995599999999996</v>
      </c>
      <c r="I51" s="2">
        <v>49777.23</v>
      </c>
      <c r="J51" s="3">
        <v>50.67</v>
      </c>
      <c r="K51" s="3">
        <v>0</v>
      </c>
      <c r="L51" s="2">
        <v>4.7365310000000003</v>
      </c>
      <c r="M51" s="2">
        <v>4.7365310000000003</v>
      </c>
      <c r="N51" s="2">
        <v>4.9338860000000002</v>
      </c>
      <c r="O51" s="2">
        <v>5.3285970000000002</v>
      </c>
      <c r="P51" s="2">
        <v>6.3816119999999996</v>
      </c>
      <c r="Q51" s="2">
        <v>7.2161600000000004</v>
      </c>
      <c r="R51" s="2">
        <v>6.517042</v>
      </c>
      <c r="S51" s="2">
        <v>5.9681980000000001</v>
      </c>
      <c r="T51" s="2">
        <v>5.8672870000000001</v>
      </c>
      <c r="U51" s="2">
        <v>6.6971590000000001</v>
      </c>
      <c r="V51" s="2">
        <v>6.1064870000000004</v>
      </c>
      <c r="W51" s="2">
        <v>5.6110990000000003</v>
      </c>
      <c r="X51" s="2">
        <v>1.28376</v>
      </c>
      <c r="Y51" s="2">
        <v>1.2196070000000001</v>
      </c>
      <c r="Z51" s="2">
        <v>1.1437919999999999</v>
      </c>
      <c r="AA51" s="2">
        <v>1.0655920000000001</v>
      </c>
      <c r="AB51" s="2">
        <v>7.0180769999999999</v>
      </c>
      <c r="AC51" s="2">
        <v>7.272405</v>
      </c>
      <c r="AD51" s="2">
        <v>5.8308400000000002</v>
      </c>
      <c r="AE51" s="2">
        <v>5.1852939999999998</v>
      </c>
      <c r="AF51" s="2">
        <v>3.6843330000000001</v>
      </c>
      <c r="AG51" s="2">
        <v>7.6327179999999997</v>
      </c>
      <c r="AH51" s="2">
        <v>8.6156079999999999</v>
      </c>
      <c r="AI51" s="2">
        <v>6.0907970000000002</v>
      </c>
      <c r="AJ51" s="2">
        <v>12.243220000000001</v>
      </c>
      <c r="AK51" s="2">
        <v>13.30912</v>
      </c>
      <c r="AL51" s="3">
        <v>5.2814699999999997</v>
      </c>
      <c r="AM51" s="3">
        <v>4.8266179999999999</v>
      </c>
      <c r="AN51" s="2">
        <v>26.632370000000002</v>
      </c>
      <c r="AO51" s="2">
        <v>24.67878</v>
      </c>
      <c r="AP51" s="2">
        <v>25.470980000000001</v>
      </c>
      <c r="AQ51" s="2">
        <v>26.386399999999998</v>
      </c>
      <c r="AR51" s="2">
        <v>2.3539560000000002</v>
      </c>
      <c r="AS51" s="2">
        <v>2.6460370000000002</v>
      </c>
      <c r="AT51" s="2">
        <v>2.2995559999999999</v>
      </c>
      <c r="AU51" s="2">
        <v>1.978775</v>
      </c>
      <c r="AV51" s="1" t="s">
        <v>25</v>
      </c>
      <c r="AW51" s="3">
        <v>1.45</v>
      </c>
      <c r="AX51" s="3">
        <v>72</v>
      </c>
      <c r="AY51" s="2">
        <v>42.09592</v>
      </c>
      <c r="AZ51" s="2">
        <v>16.901050000000001</v>
      </c>
      <c r="BA51" s="2">
        <v>1.7</v>
      </c>
      <c r="BB51" s="2">
        <v>-10.66644</v>
      </c>
      <c r="BC51" s="2">
        <v>4.852557</v>
      </c>
      <c r="BD51" s="3">
        <v>46.7</v>
      </c>
      <c r="BE51" s="2">
        <v>8.5010639999999995</v>
      </c>
      <c r="BF51" s="3">
        <v>65.66</v>
      </c>
      <c r="BG51" s="2">
        <v>-22.829730000000001</v>
      </c>
      <c r="BH51" s="2">
        <v>30.046949999999999</v>
      </c>
      <c r="BI51" s="2">
        <v>33.695830000000001</v>
      </c>
      <c r="BJ51" s="2">
        <v>32.479930000000003</v>
      </c>
      <c r="BK51" s="2">
        <v>32.06127</v>
      </c>
      <c r="BL51" s="2">
        <v>18</v>
      </c>
      <c r="BM51" s="2">
        <v>15</v>
      </c>
      <c r="BN51" s="4">
        <v>20</v>
      </c>
      <c r="BO51" s="4">
        <v>0</v>
      </c>
      <c r="BP51" s="4">
        <v>0</v>
      </c>
      <c r="BQ51" s="4">
        <v>20</v>
      </c>
      <c r="BR51" s="2">
        <v>0</v>
      </c>
      <c r="BS51" s="4">
        <v>12</v>
      </c>
      <c r="BT51" s="4">
        <v>0</v>
      </c>
      <c r="BU51" s="4">
        <v>20</v>
      </c>
      <c r="BV51" s="2">
        <v>60</v>
      </c>
      <c r="BW51" s="2">
        <v>9.8821100000000008</v>
      </c>
      <c r="BX51" s="2">
        <v>982.42409999999995</v>
      </c>
      <c r="BY51" s="3">
        <v>2.4091589999999998</v>
      </c>
      <c r="BZ51" s="3">
        <v>0.2452259</v>
      </c>
      <c r="CA51" s="2">
        <v>1.2559100000000001</v>
      </c>
      <c r="CB51" s="3">
        <v>0.2452259</v>
      </c>
      <c r="CC51" s="3">
        <v>7.2422519999999997</v>
      </c>
      <c r="CD51" s="3">
        <v>6.9841179999999996</v>
      </c>
      <c r="CE51" s="2">
        <v>-3.5642740000000002</v>
      </c>
      <c r="CF51" s="3">
        <v>9234.5450000000001</v>
      </c>
      <c r="CG51" s="3">
        <v>9117.4850000000006</v>
      </c>
      <c r="CH51" s="2">
        <v>-1.2676240000000001</v>
      </c>
      <c r="CI51" s="3">
        <v>74.277780000000007</v>
      </c>
      <c r="CJ51" s="2">
        <v>-3.06657</v>
      </c>
      <c r="CK51" s="3">
        <v>50597.88</v>
      </c>
      <c r="CL51" s="3">
        <v>49946.04</v>
      </c>
      <c r="CM51" s="2">
        <v>-1.2882769999999999</v>
      </c>
      <c r="CN51" s="3">
        <v>54.360050000000001</v>
      </c>
      <c r="CO51" s="3">
        <v>54.165500000000002</v>
      </c>
      <c r="CP51" s="3">
        <v>51.653460000000003</v>
      </c>
      <c r="CQ51" s="2">
        <v>-6.7881770000000001</v>
      </c>
      <c r="CR51" s="2">
        <v>-6.4533829999999996</v>
      </c>
      <c r="CS51" s="2">
        <v>-1.9039630000000001</v>
      </c>
      <c r="CT51" s="2">
        <v>-0.35789009999999999</v>
      </c>
      <c r="CU51" s="2">
        <v>111.961</v>
      </c>
      <c r="CV51" s="3">
        <v>0.22491420000000001</v>
      </c>
      <c r="CW51" s="2">
        <v>7.7530489999999999</v>
      </c>
      <c r="CX51" s="2">
        <v>-1.2459420000000001</v>
      </c>
      <c r="CY51" s="2">
        <v>-10.944660000000001</v>
      </c>
      <c r="CZ51" s="2">
        <v>32.232320000000001</v>
      </c>
    </row>
    <row r="52" spans="1:104" ht="15" customHeight="1" x14ac:dyDescent="0.2">
      <c r="A52" s="1">
        <f t="shared" si="0"/>
        <v>46</v>
      </c>
      <c r="B52" s="1" t="s">
        <v>148</v>
      </c>
      <c r="C52" s="1" t="s">
        <v>147</v>
      </c>
      <c r="D52" s="1" t="s">
        <v>3</v>
      </c>
      <c r="E52" s="1" t="s">
        <v>131</v>
      </c>
      <c r="F52" s="1" t="s">
        <v>149</v>
      </c>
      <c r="G52" s="2">
        <v>44501.61</v>
      </c>
      <c r="H52" s="2">
        <v>63.159399999999998</v>
      </c>
      <c r="I52" s="2">
        <v>28106.95</v>
      </c>
      <c r="J52" s="3">
        <v>13.182</v>
      </c>
      <c r="K52" s="3">
        <v>0</v>
      </c>
      <c r="L52" s="2">
        <v>6.67577</v>
      </c>
      <c r="M52" s="2">
        <v>7.1309360000000002</v>
      </c>
      <c r="N52" s="2">
        <v>7.2401759999999999</v>
      </c>
      <c r="O52" s="2">
        <v>7.3887729999999996</v>
      </c>
      <c r="P52" s="2">
        <v>3.4873020000000001</v>
      </c>
      <c r="Q52" s="2">
        <v>5.2606659999999996</v>
      </c>
      <c r="R52" s="2">
        <v>5.667605</v>
      </c>
      <c r="S52" s="2">
        <v>6.192234</v>
      </c>
      <c r="T52" s="2">
        <v>2.1533120000000001</v>
      </c>
      <c r="U52" s="2">
        <v>2.630725</v>
      </c>
      <c r="V52" s="2">
        <v>2.83256</v>
      </c>
      <c r="W52" s="2">
        <v>2.8420230000000002</v>
      </c>
      <c r="X52" s="2">
        <v>0.84068880000000001</v>
      </c>
      <c r="Y52" s="2">
        <v>0.78056449999999999</v>
      </c>
      <c r="Z52" s="2">
        <v>0.72588109999999995</v>
      </c>
      <c r="AA52" s="2">
        <v>0.69269570000000003</v>
      </c>
      <c r="AB52" s="2">
        <v>2.5827040000000001</v>
      </c>
      <c r="AC52" s="2">
        <v>2.808354</v>
      </c>
      <c r="AD52" s="2">
        <v>2.5806520000000002</v>
      </c>
      <c r="AE52" s="2">
        <v>2.517245</v>
      </c>
      <c r="AF52" s="2">
        <v>10.311059999999999</v>
      </c>
      <c r="AG52" s="2">
        <v>11.014250000000001</v>
      </c>
      <c r="AH52" s="2">
        <v>10.443490000000001</v>
      </c>
      <c r="AI52" s="2">
        <v>13.264519999999999</v>
      </c>
      <c r="AJ52" s="2">
        <v>13.93205</v>
      </c>
      <c r="AK52" s="2">
        <v>12.99231</v>
      </c>
      <c r="AL52" s="3" t="e">
        <v>#N/A</v>
      </c>
      <c r="AM52" s="3" t="e">
        <v>#N/A</v>
      </c>
      <c r="AN52" s="2">
        <v>20.868590000000001</v>
      </c>
      <c r="AO52" s="2">
        <v>20.113589999999999</v>
      </c>
      <c r="AP52" s="2">
        <v>19.518719999999998</v>
      </c>
      <c r="AQ52" s="2">
        <v>19.571400000000001</v>
      </c>
      <c r="AR52" s="2">
        <v>0.43383100000000002</v>
      </c>
      <c r="AS52" s="2">
        <v>0.58575469999999996</v>
      </c>
      <c r="AT52" s="2">
        <v>0.59322589999999997</v>
      </c>
      <c r="AU52" s="2">
        <v>0.55754619999999999</v>
      </c>
      <c r="AV52" s="1" t="s">
        <v>78</v>
      </c>
      <c r="AW52" s="3">
        <v>1.5</v>
      </c>
      <c r="AX52" s="3">
        <v>16</v>
      </c>
      <c r="AY52" s="2">
        <v>21.37764</v>
      </c>
      <c r="AZ52" s="2">
        <v>14.83775</v>
      </c>
      <c r="BA52" s="2">
        <v>-14.927339999999999</v>
      </c>
      <c r="BB52" s="2">
        <v>16.366530000000001</v>
      </c>
      <c r="BC52" s="2">
        <v>-0.78278179999999997</v>
      </c>
      <c r="BD52" s="3">
        <v>10.423999999999999</v>
      </c>
      <c r="BE52" s="2">
        <v>26.458179999999999</v>
      </c>
      <c r="BF52" s="3">
        <v>14.98</v>
      </c>
      <c r="BG52" s="2">
        <v>-12.002660000000001</v>
      </c>
      <c r="BH52" s="2">
        <v>22.940290000000001</v>
      </c>
      <c r="BI52" s="2">
        <v>37.21969</v>
      </c>
      <c r="BJ52" s="2">
        <v>41.702370000000002</v>
      </c>
      <c r="BK52" s="2">
        <v>46.840179999999997</v>
      </c>
      <c r="BL52" s="2">
        <v>24</v>
      </c>
      <c r="BM52" s="2">
        <v>23</v>
      </c>
      <c r="BN52" s="4">
        <v>28</v>
      </c>
      <c r="BO52" s="4">
        <v>0</v>
      </c>
      <c r="BP52" s="4">
        <v>0</v>
      </c>
      <c r="BQ52" s="4">
        <v>28</v>
      </c>
      <c r="BR52" s="2">
        <v>0</v>
      </c>
      <c r="BS52" s="4">
        <v>15</v>
      </c>
      <c r="BT52" s="4">
        <v>0</v>
      </c>
      <c r="BU52" s="4">
        <v>28</v>
      </c>
      <c r="BV52" s="2">
        <v>53.571429999999999</v>
      </c>
      <c r="BW52" s="2">
        <v>10.4587</v>
      </c>
      <c r="BX52" s="2">
        <v>3375.9380000000001</v>
      </c>
      <c r="BY52" s="3">
        <v>12.44397</v>
      </c>
      <c r="BZ52" s="3">
        <v>0.36860769999999998</v>
      </c>
      <c r="CA52" s="2">
        <v>1.3604799999999999</v>
      </c>
      <c r="CB52" s="3">
        <v>0.36860769999999998</v>
      </c>
      <c r="CC52" s="3">
        <v>2.7135250000000002</v>
      </c>
      <c r="CD52" s="3">
        <v>2.4976029999999998</v>
      </c>
      <c r="CE52" s="2">
        <v>-7.9572620000000001</v>
      </c>
      <c r="CF52" s="3">
        <v>14757.69</v>
      </c>
      <c r="CG52" s="3">
        <v>14026.64</v>
      </c>
      <c r="CH52" s="2">
        <v>-4.9536470000000001</v>
      </c>
      <c r="CI52" s="3">
        <v>16.663080000000001</v>
      </c>
      <c r="CJ52" s="2">
        <v>-3.9793129999999999</v>
      </c>
      <c r="CK52" s="3">
        <v>102283</v>
      </c>
      <c r="CL52" s="3">
        <v>103121.5</v>
      </c>
      <c r="CM52" s="2">
        <v>0.81983799999999996</v>
      </c>
      <c r="CN52" s="3">
        <v>13.30575</v>
      </c>
      <c r="CO52" s="3">
        <v>13.186859999999999</v>
      </c>
      <c r="CP52" s="3">
        <v>12.95669</v>
      </c>
      <c r="CQ52" s="2">
        <v>-0.93007090000000003</v>
      </c>
      <c r="CR52" s="2">
        <v>-3.6871429999999997E-2</v>
      </c>
      <c r="CS52" s="2">
        <v>1.738942</v>
      </c>
      <c r="CT52" s="2">
        <v>-0.89352730000000002</v>
      </c>
      <c r="CU52" s="2">
        <v>144.44139999999999</v>
      </c>
      <c r="CV52" s="3">
        <v>0.32457550000000002</v>
      </c>
      <c r="CW52" s="2">
        <v>-1.497384</v>
      </c>
      <c r="CX52" s="2">
        <v>-14.282819999999999</v>
      </c>
      <c r="CY52" s="2">
        <v>25.881499999999999</v>
      </c>
      <c r="CZ52" s="2">
        <v>32.69697</v>
      </c>
    </row>
    <row r="53" spans="1:104" ht="15" customHeight="1" x14ac:dyDescent="0.2">
      <c r="A53" s="1">
        <f t="shared" si="0"/>
        <v>47</v>
      </c>
      <c r="B53" s="1" t="s">
        <v>151</v>
      </c>
      <c r="C53" s="1" t="s">
        <v>150</v>
      </c>
      <c r="D53" s="1" t="s">
        <v>152</v>
      </c>
      <c r="E53" s="1" t="s">
        <v>29</v>
      </c>
      <c r="F53" s="1" t="s">
        <v>125</v>
      </c>
      <c r="G53" s="2">
        <v>90038.92</v>
      </c>
      <c r="H53" s="2">
        <v>48.317300000000003</v>
      </c>
      <c r="I53" s="2">
        <v>43504.38</v>
      </c>
      <c r="J53" s="3">
        <v>51.83</v>
      </c>
      <c r="K53" s="3">
        <v>0</v>
      </c>
      <c r="L53" s="2">
        <v>1.436515</v>
      </c>
      <c r="M53" s="2">
        <v>1.892247</v>
      </c>
      <c r="N53" s="2">
        <v>2.3874140000000001</v>
      </c>
      <c r="O53" s="2">
        <v>2.9533200000000002</v>
      </c>
      <c r="P53" s="2">
        <v>17.132149999999999</v>
      </c>
      <c r="Q53" s="2">
        <v>18.152979999999999</v>
      </c>
      <c r="R53" s="2">
        <v>15.28373</v>
      </c>
      <c r="S53" s="2">
        <v>13.51172</v>
      </c>
      <c r="T53" s="2">
        <v>9.594163</v>
      </c>
      <c r="U53" s="2">
        <v>8.6186469999999993</v>
      </c>
      <c r="V53" s="2">
        <v>7.6653630000000001</v>
      </c>
      <c r="W53" s="2">
        <v>6.8995150000000001</v>
      </c>
      <c r="X53" s="2">
        <v>1.5083439999999999</v>
      </c>
      <c r="Y53" s="2">
        <v>1.464709</v>
      </c>
      <c r="Z53" s="2">
        <v>1.3731549999999999</v>
      </c>
      <c r="AA53" s="2">
        <v>1.278214</v>
      </c>
      <c r="AB53" s="2">
        <v>8.4778269999999996</v>
      </c>
      <c r="AC53" s="2">
        <v>8.9614150000000006</v>
      </c>
      <c r="AD53" s="2">
        <v>8.4621729999999999</v>
      </c>
      <c r="AE53" s="2">
        <v>7.5300770000000004</v>
      </c>
      <c r="AF53" s="2">
        <v>5.9207869999999998</v>
      </c>
      <c r="AG53" s="2">
        <v>6.4292660000000001</v>
      </c>
      <c r="AH53" s="2">
        <v>7.296157</v>
      </c>
      <c r="AI53" s="2">
        <v>9.7650740000000003</v>
      </c>
      <c r="AJ53" s="2">
        <v>10.176360000000001</v>
      </c>
      <c r="AK53" s="2">
        <v>11.054650000000001</v>
      </c>
      <c r="AL53" s="3">
        <v>1.481967</v>
      </c>
      <c r="AM53" s="3">
        <v>1.274305</v>
      </c>
      <c r="AN53" s="2">
        <v>34.338769999999997</v>
      </c>
      <c r="AO53" s="2">
        <v>33.374549999999999</v>
      </c>
      <c r="AP53" s="2">
        <v>34.453699999999998</v>
      </c>
      <c r="AQ53" s="2">
        <v>35.265790000000003</v>
      </c>
      <c r="AR53" s="2">
        <v>3.5185</v>
      </c>
      <c r="AS53" s="2">
        <v>3.088892</v>
      </c>
      <c r="AT53" s="2">
        <v>2.5599259999999999</v>
      </c>
      <c r="AU53" s="2">
        <v>2.1187420000000001</v>
      </c>
      <c r="AV53" s="1" t="s">
        <v>25</v>
      </c>
      <c r="AW53" s="3">
        <v>1.55</v>
      </c>
      <c r="AX53" s="3">
        <v>64.726230000000001</v>
      </c>
      <c r="AY53" s="2">
        <v>24.881789999999999</v>
      </c>
      <c r="AZ53" s="2">
        <v>8.0686959999999992</v>
      </c>
      <c r="BA53" s="2">
        <v>11.00487</v>
      </c>
      <c r="BB53" s="2">
        <v>0.91511010000000004</v>
      </c>
      <c r="BC53" s="2">
        <v>-7.8905219999999998</v>
      </c>
      <c r="BD53" s="3">
        <v>45.545000000000002</v>
      </c>
      <c r="BE53" s="2">
        <v>13.79955</v>
      </c>
      <c r="BF53" s="3">
        <v>62.01</v>
      </c>
      <c r="BG53" s="2">
        <v>-16.416699999999999</v>
      </c>
      <c r="BH53" s="2">
        <v>24.31513</v>
      </c>
      <c r="BI53" s="2">
        <v>33.473419999999997</v>
      </c>
      <c r="BJ53" s="2">
        <v>37.558900000000001</v>
      </c>
      <c r="BK53" s="2">
        <v>42.291409999999999</v>
      </c>
      <c r="BL53" s="2">
        <v>28</v>
      </c>
      <c r="BM53" s="2">
        <v>23</v>
      </c>
      <c r="BN53" s="4">
        <v>30</v>
      </c>
      <c r="BO53" s="4">
        <v>0</v>
      </c>
      <c r="BP53" s="4">
        <v>2</v>
      </c>
      <c r="BQ53" s="4">
        <v>28</v>
      </c>
      <c r="BR53" s="2">
        <v>0</v>
      </c>
      <c r="BS53" s="4">
        <v>18</v>
      </c>
      <c r="BT53" s="4">
        <v>3</v>
      </c>
      <c r="BU53" s="4">
        <v>30</v>
      </c>
      <c r="BV53" s="2">
        <v>60</v>
      </c>
      <c r="BW53" s="2">
        <v>7.9384300000000003</v>
      </c>
      <c r="BX53" s="2">
        <v>1737.1969999999999</v>
      </c>
      <c r="BY53" s="3">
        <v>1.4989809999999999</v>
      </c>
      <c r="BZ53" s="3">
        <v>8.6287320000000001E-2</v>
      </c>
      <c r="CA53" s="2">
        <v>1.0420700000000001</v>
      </c>
      <c r="CB53" s="3">
        <v>8.6287320000000001E-2</v>
      </c>
      <c r="CC53" s="3">
        <v>2.9600110000000002</v>
      </c>
      <c r="CD53" s="3">
        <v>2.840684</v>
      </c>
      <c r="CE53" s="2">
        <v>-4.0312890000000001</v>
      </c>
      <c r="CF53" s="3">
        <v>14357.48</v>
      </c>
      <c r="CG53" s="3">
        <v>14168.94</v>
      </c>
      <c r="CH53" s="2">
        <v>-1.31321</v>
      </c>
      <c r="CI53" s="3">
        <v>64.785899999999998</v>
      </c>
      <c r="CJ53" s="2">
        <v>-9.2101100000000005E-2</v>
      </c>
      <c r="CK53" s="3">
        <v>56697.05</v>
      </c>
      <c r="CL53" s="3">
        <v>56733.09</v>
      </c>
      <c r="CM53" s="2">
        <v>6.3562389999999996E-2</v>
      </c>
      <c r="CN53" s="3">
        <v>54.622959999999999</v>
      </c>
      <c r="CO53" s="3">
        <v>54.390599999999999</v>
      </c>
      <c r="CP53" s="3">
        <v>51.701149999999998</v>
      </c>
      <c r="CQ53" s="2">
        <v>-5.1131539999999998</v>
      </c>
      <c r="CR53" s="2">
        <v>-4.7078009999999999</v>
      </c>
      <c r="CS53" s="2">
        <v>0.24921889999999999</v>
      </c>
      <c r="CT53" s="2">
        <v>-0.42538049999999999</v>
      </c>
      <c r="CU53" s="2">
        <v>84.51352</v>
      </c>
      <c r="CV53" s="3">
        <v>9.386332E-2</v>
      </c>
      <c r="CW53" s="2">
        <v>11.16042</v>
      </c>
      <c r="CX53" s="2">
        <v>1.4772860000000001</v>
      </c>
      <c r="CY53" s="2">
        <v>5.2907120000000001</v>
      </c>
      <c r="CZ53" s="2">
        <v>33.616160000000001</v>
      </c>
    </row>
    <row r="54" spans="1:104" ht="15" customHeight="1" x14ac:dyDescent="0.2">
      <c r="A54" s="1">
        <f t="shared" si="0"/>
        <v>48</v>
      </c>
      <c r="B54" s="1" t="s">
        <v>154</v>
      </c>
      <c r="C54" s="1" t="s">
        <v>153</v>
      </c>
      <c r="D54" s="1" t="s">
        <v>9</v>
      </c>
      <c r="E54" s="1" t="s">
        <v>72</v>
      </c>
      <c r="F54" s="1" t="s">
        <v>155</v>
      </c>
      <c r="G54" s="2">
        <v>39749.730000000003</v>
      </c>
      <c r="H54" s="2">
        <v>99.998099999999994</v>
      </c>
      <c r="I54" s="2">
        <v>39748.980000000003</v>
      </c>
      <c r="J54" s="3">
        <v>44.47</v>
      </c>
      <c r="K54" s="3">
        <v>0</v>
      </c>
      <c r="L54" s="2">
        <v>7.6456039999999996</v>
      </c>
      <c r="M54" s="2">
        <v>7.6456039999999996</v>
      </c>
      <c r="N54" s="2">
        <v>7.6456039999999996</v>
      </c>
      <c r="O54" s="2">
        <v>7.6456039999999996</v>
      </c>
      <c r="P54" s="2">
        <v>6.3893680000000002</v>
      </c>
      <c r="Q54" s="2">
        <v>10.164569999999999</v>
      </c>
      <c r="R54" s="2">
        <v>8.5601540000000007</v>
      </c>
      <c r="S54" s="2">
        <v>7.9410720000000001</v>
      </c>
      <c r="T54" s="2">
        <v>5.3793189999999997</v>
      </c>
      <c r="U54" s="2">
        <v>6.539733</v>
      </c>
      <c r="V54" s="2">
        <v>5.8686290000000003</v>
      </c>
      <c r="W54" s="2">
        <v>5.3228109999999997</v>
      </c>
      <c r="X54" s="2">
        <v>1.013342</v>
      </c>
      <c r="Y54" s="2">
        <v>0.99932589999999999</v>
      </c>
      <c r="Z54" s="2">
        <v>0.97138119999999994</v>
      </c>
      <c r="AA54" s="2">
        <v>0.93808670000000005</v>
      </c>
      <c r="AB54" s="2">
        <v>5.2027010000000002</v>
      </c>
      <c r="AC54" s="2">
        <v>5.1875929999999997</v>
      </c>
      <c r="AD54" s="2">
        <v>5.0419499999999999</v>
      </c>
      <c r="AE54" s="2">
        <v>4.7028780000000001</v>
      </c>
      <c r="AF54" s="2">
        <v>4.5537299999999998</v>
      </c>
      <c r="AG54" s="2">
        <v>2.8189950000000001</v>
      </c>
      <c r="AH54" s="2">
        <v>4.466653</v>
      </c>
      <c r="AI54" s="2">
        <v>6.5554300000000003</v>
      </c>
      <c r="AJ54" s="2">
        <v>4.1906660000000002</v>
      </c>
      <c r="AK54" s="2">
        <v>6.6753299999999998</v>
      </c>
      <c r="AL54" s="3">
        <v>3.9482309999999998</v>
      </c>
      <c r="AM54" s="3">
        <v>3.3997929999999998</v>
      </c>
      <c r="AN54" s="2">
        <v>12.324260000000001</v>
      </c>
      <c r="AO54" s="2">
        <v>10.82305</v>
      </c>
      <c r="AP54" s="2">
        <v>12.28092</v>
      </c>
      <c r="AQ54" s="2">
        <v>13.23216</v>
      </c>
      <c r="AR54" s="2">
        <v>1.52647</v>
      </c>
      <c r="AS54" s="2">
        <v>1.996907</v>
      </c>
      <c r="AT54" s="2">
        <v>1.920895</v>
      </c>
      <c r="AU54" s="2">
        <v>1.7611669999999999</v>
      </c>
      <c r="AV54" s="1" t="s">
        <v>49</v>
      </c>
      <c r="AW54" s="3">
        <v>1.88</v>
      </c>
      <c r="AX54" s="3">
        <v>52</v>
      </c>
      <c r="AY54" s="2">
        <v>16.932759999999998</v>
      </c>
      <c r="AZ54" s="2">
        <v>9.8314609999999991</v>
      </c>
      <c r="BA54" s="2">
        <v>2.5</v>
      </c>
      <c r="BB54" s="2">
        <v>7.0921060000000002</v>
      </c>
      <c r="BC54" s="2">
        <v>-4.1388220000000002</v>
      </c>
      <c r="BD54" s="3">
        <v>37.9</v>
      </c>
      <c r="BE54" s="2">
        <v>17.335090000000001</v>
      </c>
      <c r="BF54" s="3">
        <v>54.04</v>
      </c>
      <c r="BG54" s="2">
        <v>-17.709109999999999</v>
      </c>
      <c r="BH54" s="2">
        <v>49.010219999999997</v>
      </c>
      <c r="BI54" s="2">
        <v>76.989429999999999</v>
      </c>
      <c r="BJ54" s="2">
        <v>66.291219999999996</v>
      </c>
      <c r="BK54" s="2">
        <v>60.070549999999997</v>
      </c>
      <c r="BL54" s="2">
        <v>24</v>
      </c>
      <c r="BM54" s="2">
        <v>23</v>
      </c>
      <c r="BN54" s="4">
        <v>25</v>
      </c>
      <c r="BO54" s="4">
        <v>0</v>
      </c>
      <c r="BP54" s="4">
        <v>0</v>
      </c>
      <c r="BQ54" s="4">
        <v>24</v>
      </c>
      <c r="BR54" s="2">
        <v>0</v>
      </c>
      <c r="BS54" s="4">
        <v>7</v>
      </c>
      <c r="BT54" s="4">
        <v>4</v>
      </c>
      <c r="BU54" s="4">
        <v>25</v>
      </c>
      <c r="BV54" s="2">
        <v>28</v>
      </c>
      <c r="BW54" s="2">
        <v>8.8788300000000007</v>
      </c>
      <c r="BX54" s="2">
        <v>893.85490000000004</v>
      </c>
      <c r="BY54" s="3">
        <v>2.786654</v>
      </c>
      <c r="BZ54" s="3">
        <v>0.3117569</v>
      </c>
      <c r="CA54" s="2">
        <v>1.3205</v>
      </c>
      <c r="CB54" s="3">
        <v>0.3117569</v>
      </c>
      <c r="CC54" s="3">
        <v>4.4928840000000001</v>
      </c>
      <c r="CD54" s="3">
        <v>4.3978890000000002</v>
      </c>
      <c r="CE54" s="2">
        <v>-2.1143559999999999</v>
      </c>
      <c r="CF54" s="3">
        <v>5005.0410000000002</v>
      </c>
      <c r="CG54" s="3">
        <v>4939.9470000000001</v>
      </c>
      <c r="CH54" s="2">
        <v>-1.3005549999999999</v>
      </c>
      <c r="CI54" s="3">
        <v>53.714289999999998</v>
      </c>
      <c r="CJ54" s="2">
        <v>-3.1914889999999998</v>
      </c>
      <c r="CK54" s="3">
        <v>83252.12</v>
      </c>
      <c r="CL54" s="3">
        <v>80653.55</v>
      </c>
      <c r="CM54" s="2">
        <v>-3.1213280000000001</v>
      </c>
      <c r="CN54" s="3">
        <v>47.603070000000002</v>
      </c>
      <c r="CO54" s="3">
        <v>46.246079999999999</v>
      </c>
      <c r="CP54" s="3">
        <v>45.102699999999999</v>
      </c>
      <c r="CQ54" s="2">
        <v>-6.5816460000000001</v>
      </c>
      <c r="CR54" s="2">
        <v>-3.8404940000000001</v>
      </c>
      <c r="CS54" s="2">
        <v>-1.4027829999999999</v>
      </c>
      <c r="CT54" s="2">
        <v>-2.8506279999999999</v>
      </c>
      <c r="CU54" s="2">
        <v>117.6588</v>
      </c>
      <c r="CV54" s="3">
        <v>0.29599900000000001</v>
      </c>
      <c r="CW54" s="2">
        <v>31.22203</v>
      </c>
      <c r="CX54" s="2">
        <v>-16.105550000000001</v>
      </c>
      <c r="CY54" s="2">
        <v>10.639480000000001</v>
      </c>
      <c r="CZ54" s="2">
        <v>34.434350000000002</v>
      </c>
    </row>
    <row r="55" spans="1:104" ht="15" customHeight="1" x14ac:dyDescent="0.2">
      <c r="A55" s="1">
        <f t="shared" si="0"/>
        <v>49</v>
      </c>
      <c r="B55" s="1" t="s">
        <v>157</v>
      </c>
      <c r="C55" s="1" t="s">
        <v>156</v>
      </c>
      <c r="D55" s="1" t="s">
        <v>28</v>
      </c>
      <c r="E55" s="1" t="s">
        <v>29</v>
      </c>
      <c r="F55" s="1" t="s">
        <v>158</v>
      </c>
      <c r="G55" s="2">
        <v>62730.19</v>
      </c>
      <c r="H55" s="2">
        <v>56.502099999999999</v>
      </c>
      <c r="I55" s="2">
        <v>35443.879999999997</v>
      </c>
      <c r="J55" s="3">
        <v>505.6</v>
      </c>
      <c r="K55" s="3">
        <v>0</v>
      </c>
      <c r="L55" s="2">
        <v>2.7689870000000001</v>
      </c>
      <c r="M55" s="2">
        <v>2.9667720000000002</v>
      </c>
      <c r="N55" s="2">
        <v>3.3128959999999998</v>
      </c>
      <c r="O55" s="2">
        <v>3.5581489999999998</v>
      </c>
      <c r="P55" s="2">
        <v>16.620640000000002</v>
      </c>
      <c r="Q55" s="2">
        <v>16.225930000000002</v>
      </c>
      <c r="R55" s="2">
        <v>14.274419999999999</v>
      </c>
      <c r="S55" s="2">
        <v>13.12224</v>
      </c>
      <c r="T55" s="2">
        <v>8.4495740000000001</v>
      </c>
      <c r="U55" s="2">
        <v>8.5407460000000004</v>
      </c>
      <c r="V55" s="2">
        <v>7.6177729999999997</v>
      </c>
      <c r="W55" s="2">
        <v>6.6705459999999999</v>
      </c>
      <c r="X55" s="2">
        <v>4.4534479999999999</v>
      </c>
      <c r="Y55" s="2">
        <v>3.8824890000000001</v>
      </c>
      <c r="Z55" s="2">
        <v>3.3725779999999999</v>
      </c>
      <c r="AA55" s="2">
        <v>2.9658630000000001</v>
      </c>
      <c r="AB55" s="2">
        <v>14.55569</v>
      </c>
      <c r="AC55" s="2">
        <v>11.65968</v>
      </c>
      <c r="AD55" s="2">
        <v>10.91742</v>
      </c>
      <c r="AE55" s="2">
        <v>9.8337839999999996</v>
      </c>
      <c r="AF55" s="2">
        <v>7.4438459999999997</v>
      </c>
      <c r="AG55" s="2">
        <v>7.7721210000000003</v>
      </c>
      <c r="AH55" s="2">
        <v>8.7758430000000001</v>
      </c>
      <c r="AI55" s="2">
        <v>7.5271739999999996</v>
      </c>
      <c r="AJ55" s="2">
        <v>7.6369509999999998</v>
      </c>
      <c r="AK55" s="2">
        <v>8.3073230000000002</v>
      </c>
      <c r="AL55" s="3">
        <v>1.8489770000000001</v>
      </c>
      <c r="AM55" s="3">
        <v>1.6570990000000001</v>
      </c>
      <c r="AN55" s="2">
        <v>35.649349999999998</v>
      </c>
      <c r="AO55" s="2">
        <v>35.416420000000002</v>
      </c>
      <c r="AP55" s="2">
        <v>35.544930000000001</v>
      </c>
      <c r="AQ55" s="2">
        <v>36.15522</v>
      </c>
      <c r="AR55" s="2">
        <v>0.31784980000000002</v>
      </c>
      <c r="AS55" s="2">
        <v>9.4548839999999995E-2</v>
      </c>
      <c r="AT55" s="2">
        <v>-0.13483100000000001</v>
      </c>
      <c r="AU55" s="2">
        <v>-0.37620759999999998</v>
      </c>
      <c r="AV55" s="1" t="s">
        <v>49</v>
      </c>
      <c r="AW55" s="3">
        <v>1.611111</v>
      </c>
      <c r="AX55" s="3">
        <v>610</v>
      </c>
      <c r="AY55" s="2">
        <v>20.64873</v>
      </c>
      <c r="AZ55" s="2">
        <v>23.927679999999999</v>
      </c>
      <c r="BA55" s="2">
        <v>8.7467679999999994</v>
      </c>
      <c r="BB55" s="2">
        <v>3.1626219999999998</v>
      </c>
      <c r="BC55" s="2">
        <v>6.3301800000000004</v>
      </c>
      <c r="BD55" s="3">
        <v>427.55</v>
      </c>
      <c r="BE55" s="2">
        <v>18.25517</v>
      </c>
      <c r="BF55" s="3">
        <v>603.6</v>
      </c>
      <c r="BG55" s="2">
        <v>-16.235910000000001</v>
      </c>
      <c r="BH55" s="2">
        <v>45.610570000000003</v>
      </c>
      <c r="BI55" s="2">
        <v>47.704470000000001</v>
      </c>
      <c r="BJ55" s="2">
        <v>47.758980000000001</v>
      </c>
      <c r="BK55" s="2">
        <v>47.191099999999999</v>
      </c>
      <c r="BL55" s="2">
        <v>23</v>
      </c>
      <c r="BM55" s="2">
        <v>22</v>
      </c>
      <c r="BN55" s="4">
        <v>27</v>
      </c>
      <c r="BO55" s="4">
        <v>0</v>
      </c>
      <c r="BP55" s="4">
        <v>2</v>
      </c>
      <c r="BQ55" s="4">
        <v>25</v>
      </c>
      <c r="BR55" s="2">
        <v>0</v>
      </c>
      <c r="BS55" s="4">
        <v>12</v>
      </c>
      <c r="BT55" s="4">
        <v>1</v>
      </c>
      <c r="BU55" s="4">
        <v>27</v>
      </c>
      <c r="BV55" s="2">
        <v>44.444450000000003</v>
      </c>
      <c r="BW55" s="2">
        <v>9.89222</v>
      </c>
      <c r="BX55" s="2">
        <v>124.07080000000001</v>
      </c>
      <c r="BY55" s="3">
        <v>0.19464419999999999</v>
      </c>
      <c r="BZ55" s="3">
        <v>0.15688160000000001</v>
      </c>
      <c r="CA55" s="2">
        <v>1.2323299999999999</v>
      </c>
      <c r="CB55" s="3">
        <v>0.15688160000000001</v>
      </c>
      <c r="CC55" s="3">
        <v>32.471020000000003</v>
      </c>
      <c r="CD55" s="3">
        <v>31.262810000000002</v>
      </c>
      <c r="CE55" s="2">
        <v>-3.7208679999999998</v>
      </c>
      <c r="CF55" s="3">
        <v>5952.7839999999997</v>
      </c>
      <c r="CG55" s="3">
        <v>5744.4170000000004</v>
      </c>
      <c r="CH55" s="2">
        <v>-3.5003129999999998</v>
      </c>
      <c r="CI55" s="3">
        <v>649.28</v>
      </c>
      <c r="CJ55" s="2">
        <v>-6.0497820000000004</v>
      </c>
      <c r="CK55" s="3">
        <v>21659.15</v>
      </c>
      <c r="CL55" s="3">
        <v>21087.34</v>
      </c>
      <c r="CM55" s="2">
        <v>-2.6400389999999998</v>
      </c>
      <c r="CN55" s="3">
        <v>530.78629999999998</v>
      </c>
      <c r="CO55" s="3">
        <v>531.28530000000001</v>
      </c>
      <c r="CP55" s="3">
        <v>508.8519</v>
      </c>
      <c r="CQ55" s="2">
        <v>-4.7450960000000002</v>
      </c>
      <c r="CR55" s="2">
        <v>-4.8345570000000002</v>
      </c>
      <c r="CS55" s="2">
        <v>-0.63906909999999995</v>
      </c>
      <c r="CT55" s="2">
        <v>9.4008449999999993E-2</v>
      </c>
      <c r="CU55" s="2">
        <v>92.770099999999999</v>
      </c>
      <c r="CV55" s="3">
        <v>0.14788750000000001</v>
      </c>
      <c r="CW55" s="2" t="e">
        <v>#N/A</v>
      </c>
      <c r="CX55" s="2">
        <v>1.9191389999999999</v>
      </c>
      <c r="CY55" s="2" t="e">
        <v>#N/A</v>
      </c>
      <c r="CZ55" s="2">
        <v>36.626260000000002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2023-07-03T05:05:58Z</dcterms:created>
  <dcterms:modified xsi:type="dcterms:W3CDTF">2023-07-03T05:05:59Z</dcterms:modified>
  <cp:category/>
</cp:coreProperties>
</file>