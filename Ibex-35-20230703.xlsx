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/>
  <mc:AlternateContent xmlns:mc="http://schemas.openxmlformats.org/markup-compatibility/2006">
    <mc:Choice Requires="x15">
      <x15ac:absPath xmlns:x15ac="http://schemas.microsoft.com/office/spreadsheetml/2010/11/ac" url="C:\Users\link\OneDrive\Desktop\FAXES\"/>
    </mc:Choice>
  </mc:AlternateContent>
  <xr:revisionPtr revIDLastSave="0" documentId="8_{C550749D-479D-485F-85BC-61F1690CBDC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1" sheetId="2" r:id="rId1"/>
  </sheets>
  <calcPr calcId="181029"/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</calcChain>
</file>

<file path=xl/sharedStrings.xml><?xml version="1.0" encoding="utf-8"?>
<sst xmlns="http://schemas.openxmlformats.org/spreadsheetml/2006/main" count="380" uniqueCount="311">
  <si>
    <t>FactSet Universal Screen</t>
  </si>
  <si>
    <t>IAG-ES</t>
  </si>
  <si>
    <t>International Consolidated Airlines Group SA</t>
  </si>
  <si>
    <t>Transportation</t>
  </si>
  <si>
    <t>Airlines</t>
  </si>
  <si>
    <t>Buy (1.00)</t>
  </si>
  <si>
    <t>ITX-ES</t>
  </si>
  <si>
    <t>Industria de Diseno Textil, S.A.</t>
  </si>
  <si>
    <t>Retail Trade</t>
  </si>
  <si>
    <t>Apparel/Footwear Retail</t>
  </si>
  <si>
    <t>AENA-ES</t>
  </si>
  <si>
    <t>Aena SME SA</t>
  </si>
  <si>
    <t>Other Transportation</t>
  </si>
  <si>
    <t>BBVA-ES</t>
  </si>
  <si>
    <t>Banco Bilbao Vizcaya Argentaria, S.A.</t>
  </si>
  <si>
    <t>Finance</t>
  </si>
  <si>
    <t>Major Banks</t>
  </si>
  <si>
    <t>Overweight (1.25)</t>
  </si>
  <si>
    <t>LOG-ES</t>
  </si>
  <si>
    <t>Compania de Distribucion Integral Logista Holdings S.A.</t>
  </si>
  <si>
    <t>Air Freight/Couriers</t>
  </si>
  <si>
    <t>SAN-ES</t>
  </si>
  <si>
    <t>Banco Santander, S.A.</t>
  </si>
  <si>
    <t>CABK-ES</t>
  </si>
  <si>
    <t>CaixaBank SA</t>
  </si>
  <si>
    <t>Regional Banks</t>
  </si>
  <si>
    <t>SCYR-ES</t>
  </si>
  <si>
    <t>Sacyr SA</t>
  </si>
  <si>
    <t>Industrial Services</t>
  </si>
  <si>
    <t>Engineering &amp; Construction</t>
  </si>
  <si>
    <t>CLNX-ES</t>
  </si>
  <si>
    <t>Cellnex Telecom S.A.</t>
  </si>
  <si>
    <t>Communications</t>
  </si>
  <si>
    <t>Specialty Telecommunications</t>
  </si>
  <si>
    <t>ACX-ES</t>
  </si>
  <si>
    <t>Acerinox SA</t>
  </si>
  <si>
    <t>Non-Energy Minerals</t>
  </si>
  <si>
    <t>Steel</t>
  </si>
  <si>
    <t>GRF-ES</t>
  </si>
  <si>
    <t>Grifols, S.A. Class A</t>
  </si>
  <si>
    <t>Health Technology</t>
  </si>
  <si>
    <t>Pharmaceuticals: Major</t>
  </si>
  <si>
    <t>SAB-ES</t>
  </si>
  <si>
    <t>Banco de Sabadell SA</t>
  </si>
  <si>
    <t>IDR-ES</t>
  </si>
  <si>
    <t>Indra Sistemas, S.A. Class A</t>
  </si>
  <si>
    <t>Technology Services</t>
  </si>
  <si>
    <t>Information Technology Services</t>
  </si>
  <si>
    <t>MEL-ES</t>
  </si>
  <si>
    <t>Melia Hotels International, S.A.</t>
  </si>
  <si>
    <t>Consumer Services</t>
  </si>
  <si>
    <t>Hotels/Resorts/Cruiselines</t>
  </si>
  <si>
    <t>Hold (2.00)</t>
  </si>
  <si>
    <t>AMS-ES</t>
  </si>
  <si>
    <t>Amadeus IT Group SA Class A</t>
  </si>
  <si>
    <t>Hold (1.75)</t>
  </si>
  <si>
    <t>IBE-ES</t>
  </si>
  <si>
    <t>Iberdrola SA</t>
  </si>
  <si>
    <t>Utilities</t>
  </si>
  <si>
    <t>Electric Utilities</t>
  </si>
  <si>
    <t>ACS-ES</t>
  </si>
  <si>
    <t>ACS Actividades de Construccion y Servicios SA</t>
  </si>
  <si>
    <t>Overweight (1.50)</t>
  </si>
  <si>
    <t>MTS-ES</t>
  </si>
  <si>
    <t>ArcelorMittal SA</t>
  </si>
  <si>
    <t>BKT-ES</t>
  </si>
  <si>
    <t>Bankinter SA</t>
  </si>
  <si>
    <t>ELE-ES</t>
  </si>
  <si>
    <t>Endesa S.A.</t>
  </si>
  <si>
    <t>TEF-ES</t>
  </si>
  <si>
    <t>Telefonica SA</t>
  </si>
  <si>
    <t>FER-ES</t>
  </si>
  <si>
    <t>Ferrovial SE</t>
  </si>
  <si>
    <t>ENG-ES</t>
  </si>
  <si>
    <t>Enagas SA</t>
  </si>
  <si>
    <t>Gas Distributors</t>
  </si>
  <si>
    <t>FDR-ES</t>
  </si>
  <si>
    <t>Fluidra, S.A.</t>
  </si>
  <si>
    <t>Consumer Durables</t>
  </si>
  <si>
    <t>Recreational Products</t>
  </si>
  <si>
    <t>REP-ES</t>
  </si>
  <si>
    <t>Repsol SA</t>
  </si>
  <si>
    <t>Energy Minerals</t>
  </si>
  <si>
    <t>Integrated Oil</t>
  </si>
  <si>
    <t>MRL-ES</t>
  </si>
  <si>
    <t>MERLIN Properties SOCIMI, S.A.</t>
  </si>
  <si>
    <t>Real Estate Investment Trusts</t>
  </si>
  <si>
    <t>NTGY-ES</t>
  </si>
  <si>
    <t>Naturgy Energy Group, S.A.</t>
  </si>
  <si>
    <t>Underweight (2.50)</t>
  </si>
  <si>
    <t>ROVI-ES</t>
  </si>
  <si>
    <t>Laboratorios Farmaceuticos Rovi, S.A.</t>
  </si>
  <si>
    <t>SLR-ES</t>
  </si>
  <si>
    <t>Solaria Energia y Medio Ambiente, S.A.</t>
  </si>
  <si>
    <t>Alternative Power Generation</t>
  </si>
  <si>
    <t>UNI-ES</t>
  </si>
  <si>
    <t>Unicaja Banco S.A.</t>
  </si>
  <si>
    <t>ANA-ES</t>
  </si>
  <si>
    <t>Acciona SA</t>
  </si>
  <si>
    <t>MAP-ES</t>
  </si>
  <si>
    <t>Mapfre SA</t>
  </si>
  <si>
    <t>Multi-Line Insurance</t>
  </si>
  <si>
    <t>RED-ES</t>
  </si>
  <si>
    <t>Redeia Corporacion SA</t>
  </si>
  <si>
    <t>COL-ES</t>
  </si>
  <si>
    <t>Inmobiliaria Colonial SOCIMI SA</t>
  </si>
  <si>
    <t>ANE-ES</t>
  </si>
  <si>
    <t>Corporacion Acciona Energias Renovables SA</t>
  </si>
  <si>
    <t>Company Symbol</t>
  </si>
  <si>
    <t>Company Name</t>
  </si>
  <si>
    <t>FE Ticker</t>
  </si>
  <si>
    <t>FactSet Econ Sector</t>
  </si>
  <si>
    <t>FactSet Ind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</si>
  <si>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</si>
  <si>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</si>
  <si>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</si>
  <si>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</si>
  <si>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</si>
  <si>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</si>
  <si>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</si>
  <si>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</si>
  <si>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</si>
  <si>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</si>
  <si>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</si>
  <si>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</si>
  <si>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</si>
  <si>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</si>
  <si>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</si>
  <si>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</si>
  <si>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</si>
  <si>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</si>
  <si>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</si>
  <si>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</si>
  <si>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</si>
  <si>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</si>
  <si>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</si>
  <si>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</si>
  <si>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</si>
  <si>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</si>
  <si>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</si>
  <si>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</si>
  <si>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</si>
  <si>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</si>
  <si>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</si>
  <si>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</si>
  <si>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</si>
  <si>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</si>
  <si>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</si>
  <si>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</si>
  <si>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</si>
  <si>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</si>
  <si>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</si>
  <si>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</si>
  <si>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</si>
  <si>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</si>
  <si>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</si>
  <si>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</si>
  <si>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</si>
  <si>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</si>
  <si>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</si>
  <si>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</si>
  <si>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</si>
  <si>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</si>
  <si>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</si>
  <si>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</si>
  <si>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</si>
  <si>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</si>
  <si>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</si>
  <si>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</si>
  <si>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</si>
  <si>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</si>
  <si>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</si>
  <si>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</si>
  <si>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</si>
  <si>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</si>
  <si>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</si>
  <si>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</si>
  <si>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</si>
  <si>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</si>
  <si>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</si>
  <si>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</si>
  <si>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</si>
  <si>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</si>
  <si>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</si>
  <si>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</si>
  <si>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</si>
  <si>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</si>
  <si>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</si>
  <si>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</si>
  <si>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</si>
  <si>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</si>
  <si>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</si>
  <si>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</si>
  <si>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</si>
  <si>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</si>
  <si>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</si>
  <si>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</si>
  <si>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</si>
  <si>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</si>
  <si>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</si>
  <si>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</si>
  <si>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</si>
  <si>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</si>
  <si>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</si>
  <si>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</si>
  <si>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</si>
  <si>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</si>
  <si>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</si>
  <si>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</si>
  <si>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USRANK1</t>
  </si>
  <si>
    <t>#1</t>
  </si>
  <si>
    <t>#2</t>
  </si>
  <si>
    <t>#4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</si>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</sst>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FF189-82B4-48CF-844C-8EE418D6168F}">
  <sheetPr>
    <outlinePr summaryBelow="0" summaryRight="0"/>
    <pageSetUpPr fitToPage="1"/>
  </sheetPr>
  <dimension ref="A1:CY41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2.140625" customWidth="1"/>
    <col min="2" max="2" width="36" customWidth="1"/>
    <col min="3" max="3" width="14.28515625" customWidth="1"/>
    <col min="4" max="4" width="28" customWidth="1"/>
    <col min="5" max="5" width="23" customWidth="1"/>
    <col min="6" max="7" width="10" customWidth="1"/>
    <col min="8" max="8" width="12" customWidth="1"/>
    <col min="9" max="42" width="10" customWidth="1"/>
    <col min="43" max="44" width="6" customWidth="1"/>
    <col min="45" max="51" width="10" customWidth="1"/>
    <col min="52" max="52" width="12" customWidth="1"/>
    <col min="53" max="53" width="11" customWidth="1"/>
    <col min="54" max="54" width="8" customWidth="1"/>
    <col min="55" max="68" width="10" customWidth="1"/>
    <col min="69" max="69" width="14" customWidth="1"/>
    <col min="70" max="78" width="10" customWidth="1"/>
    <col min="79" max="79" width="12" customWidth="1"/>
    <col min="80" max="98" width="10" customWidth="1"/>
    <col min="99" max="99" width="12" customWidth="1"/>
    <col min="100" max="102" width="10" customWidth="1"/>
    <col min="103" max="103" width="14.28515625" customWidth="1"/>
  </cols>
  <sheetData>
    <row r="1" spans="1:103" ht="15" customHeight="1" x14ac:dyDescent="0.2">
      <c r="A1" t="s">
        <v>0</v>
      </c>
    </row>
    <row r="4" spans="1:103" ht="43.5" customHeight="1" x14ac:dyDescent="0.2">
      <c r="A4" s="5" t="s">
        <v>108</v>
      </c>
      <c r="B4" s="5" t="s">
        <v>109</v>
      </c>
      <c r="C4" s="5" t="s">
        <v>110</v>
      </c>
      <c r="D4" s="5" t="s">
        <v>111</v>
      </c>
      <c r="E4" s="5" t="s">
        <v>112</v>
      </c>
      <c r="F4" s="6" t="s">
        <v>113</v>
      </c>
      <c r="G4" s="6" t="s">
        <v>114</v>
      </c>
      <c r="H4" s="6" t="s">
        <v>115</v>
      </c>
      <c r="I4" s="6" t="s">
        <v>116</v>
      </c>
      <c r="J4" s="6" t="s">
        <v>117</v>
      </c>
      <c r="K4" s="6" t="s">
        <v>118</v>
      </c>
      <c r="L4" s="6" t="s">
        <v>119</v>
      </c>
      <c r="M4" s="6" t="s">
        <v>120</v>
      </c>
      <c r="N4" s="6" t="s">
        <v>121</v>
      </c>
      <c r="O4" s="6" t="s">
        <v>122</v>
      </c>
      <c r="P4" s="6" t="s">
        <v>123</v>
      </c>
      <c r="Q4" s="6" t="s">
        <v>124</v>
      </c>
      <c r="R4" s="6" t="s">
        <v>125</v>
      </c>
      <c r="S4" s="6" t="s">
        <v>126</v>
      </c>
      <c r="T4" s="6" t="s">
        <v>127</v>
      </c>
      <c r="U4" s="6" t="s">
        <v>128</v>
      </c>
      <c r="V4" s="6" t="s">
        <v>129</v>
      </c>
      <c r="W4" s="6" t="s">
        <v>130</v>
      </c>
      <c r="X4" s="6" t="s">
        <v>131</v>
      </c>
      <c r="Y4" s="6" t="s">
        <v>132</v>
      </c>
      <c r="Z4" s="6" t="s">
        <v>133</v>
      </c>
      <c r="AA4" s="6" t="s">
        <v>134</v>
      </c>
      <c r="AB4" s="6" t="s">
        <v>135</v>
      </c>
      <c r="AC4" s="6" t="s">
        <v>136</v>
      </c>
      <c r="AD4" s="6" t="s">
        <v>137</v>
      </c>
      <c r="AE4" s="6" t="s">
        <v>138</v>
      </c>
      <c r="AF4" s="6" t="s">
        <v>139</v>
      </c>
      <c r="AG4" s="6" t="s">
        <v>140</v>
      </c>
      <c r="AH4" s="6" t="s">
        <v>141</v>
      </c>
      <c r="AI4" s="6" t="s">
        <v>142</v>
      </c>
      <c r="AJ4" s="6" t="s">
        <v>143</v>
      </c>
      <c r="AK4" s="6" t="s">
        <v>144</v>
      </c>
      <c r="AL4" s="6" t="s">
        <v>145</v>
      </c>
      <c r="AM4" s="6" t="s">
        <v>146</v>
      </c>
      <c r="AN4" s="6" t="s">
        <v>147</v>
      </c>
      <c r="AO4" s="6" t="s">
        <v>148</v>
      </c>
      <c r="AP4" s="6" t="s">
        <v>149</v>
      </c>
      <c r="AQ4" s="6" t="s">
        <v>150</v>
      </c>
      <c r="AR4" s="6" t="s">
        <v>151</v>
      </c>
      <c r="AS4" s="6" t="s">
        <v>152</v>
      </c>
      <c r="AT4" s="6" t="s">
        <v>153</v>
      </c>
      <c r="AU4" s="5" t="s">
        <v>154</v>
      </c>
      <c r="AV4" s="6" t="s">
        <v>155</v>
      </c>
      <c r="AW4" s="6" t="s">
        <v>156</v>
      </c>
      <c r="AX4" s="6" t="s">
        <v>157</v>
      </c>
      <c r="AY4" s="6" t="s">
        <v>158</v>
      </c>
      <c r="AZ4" s="6" t="s">
        <v>159</v>
      </c>
      <c r="BA4" s="6" t="s">
        <v>160</v>
      </c>
      <c r="BB4" s="6" t="s">
        <v>161</v>
      </c>
      <c r="BC4" s="6" t="s">
        <v>162</v>
      </c>
      <c r="BD4" s="6" t="s">
        <v>163</v>
      </c>
      <c r="BE4" s="6" t="s">
        <v>164</v>
      </c>
      <c r="BF4" s="6" t="s">
        <v>165</v>
      </c>
      <c r="BG4" s="6" t="s">
        <v>166</v>
      </c>
      <c r="BH4" s="6" t="s">
        <v>167</v>
      </c>
      <c r="BI4" s="6" t="s">
        <v>168</v>
      </c>
      <c r="BJ4" s="6" t="s">
        <v>169</v>
      </c>
      <c r="BK4" s="6" t="s">
        <v>170</v>
      </c>
      <c r="BL4" s="6" t="s">
        <v>171</v>
      </c>
      <c r="BM4" s="6" t="s">
        <v>172</v>
      </c>
      <c r="BN4" s="6" t="s">
        <v>173</v>
      </c>
      <c r="BO4" s="6" t="s">
        <v>174</v>
      </c>
      <c r="BP4" s="6" t="s">
        <v>175</v>
      </c>
      <c r="BQ4" s="6" t="s">
        <v>176</v>
      </c>
      <c r="BR4" s="6" t="s">
        <v>177</v>
      </c>
      <c r="BS4" s="6" t="s">
        <v>178</v>
      </c>
      <c r="BT4" s="6" t="s">
        <v>172</v>
      </c>
      <c r="BU4" s="6" t="s">
        <v>179</v>
      </c>
      <c r="BV4" s="6" t="s">
        <v>180</v>
      </c>
      <c r="BW4" s="6" t="s">
        <v>181</v>
      </c>
      <c r="BX4" s="6" t="s">
        <v>182</v>
      </c>
      <c r="BY4" s="6" t="s">
        <v>183</v>
      </c>
      <c r="BZ4" s="6" t="s">
        <v>184</v>
      </c>
      <c r="CA4" s="6" t="s">
        <v>185</v>
      </c>
      <c r="CB4" s="6" t="s">
        <v>186</v>
      </c>
      <c r="CC4" s="6" t="s">
        <v>187</v>
      </c>
      <c r="CD4" s="6" t="s">
        <v>188</v>
      </c>
      <c r="CE4" s="6" t="s">
        <v>189</v>
      </c>
      <c r="CF4" s="6" t="s">
        <v>190</v>
      </c>
      <c r="CG4" s="6" t="s">
        <v>191</v>
      </c>
      <c r="CH4" s="6" t="s">
        <v>192</v>
      </c>
      <c r="CI4" s="6" t="s">
        <v>193</v>
      </c>
      <c r="CJ4" s="6" t="s">
        <v>194</v>
      </c>
      <c r="CK4" s="6" t="s">
        <v>195</v>
      </c>
      <c r="CL4" s="6" t="s">
        <v>196</v>
      </c>
      <c r="CM4" s="6" t="s">
        <v>197</v>
      </c>
      <c r="CN4" s="6" t="s">
        <v>198</v>
      </c>
      <c r="CO4" s="6" t="s">
        <v>199</v>
      </c>
      <c r="CP4" s="6" t="s">
        <v>200</v>
      </c>
      <c r="CQ4" s="6" t="s">
        <v>201</v>
      </c>
      <c r="CR4" s="6" t="s">
        <v>202</v>
      </c>
      <c r="CS4" s="6" t="s">
        <v>203</v>
      </c>
      <c r="CT4" s="6" t="s">
        <v>204</v>
      </c>
      <c r="CU4" s="6" t="s">
        <v>205</v>
      </c>
      <c r="CV4" s="6" t="s">
        <v>206</v>
      </c>
      <c r="CW4" s="6" t="s">
        <v>207</v>
      </c>
      <c r="CX4" s="6" t="s">
        <v>208</v>
      </c>
      <c r="CY4" s="6" t="s">
        <v>209</v>
      </c>
    </row>
    <row r="5" spans="1:103" ht="12.75" x14ac:dyDescent="0.2">
      <c r="A5" s="5"/>
      <c r="B5" s="5"/>
      <c r="C5" s="5" t="s">
        <v>210</v>
      </c>
      <c r="D5" s="5" t="s">
        <v>211</v>
      </c>
      <c r="E5" s="5" t="s">
        <v>212</v>
      </c>
      <c r="F5" s="6" t="s">
        <v>213</v>
      </c>
      <c r="G5" s="6" t="s">
        <v>214</v>
      </c>
      <c r="H5" s="6" t="s">
        <v>215</v>
      </c>
      <c r="I5" s="6" t="s">
        <v>216</v>
      </c>
      <c r="J5" s="6" t="s">
        <v>217</v>
      </c>
      <c r="K5" s="6" t="s">
        <v>218</v>
      </c>
      <c r="L5" s="6" t="s">
        <v>219</v>
      </c>
      <c r="M5" s="6" t="s">
        <v>220</v>
      </c>
      <c r="N5" s="6" t="s">
        <v>221</v>
      </c>
      <c r="O5" s="6" t="s">
        <v>222</v>
      </c>
      <c r="P5" s="6" t="s">
        <v>223</v>
      </c>
      <c r="Q5" s="6" t="s">
        <v>224</v>
      </c>
      <c r="R5" s="6" t="s">
        <v>225</v>
      </c>
      <c r="S5" s="6" t="s">
        <v>226</v>
      </c>
      <c r="T5" s="6" t="s">
        <v>227</v>
      </c>
      <c r="U5" s="6" t="s">
        <v>228</v>
      </c>
      <c r="V5" s="6" t="s">
        <v>229</v>
      </c>
      <c r="W5" s="6" t="s">
        <v>230</v>
      </c>
      <c r="X5" s="6" t="s">
        <v>231</v>
      </c>
      <c r="Y5" s="6" t="s">
        <v>232</v>
      </c>
      <c r="Z5" s="6" t="s">
        <v>233</v>
      </c>
      <c r="AA5" s="6" t="s">
        <v>234</v>
      </c>
      <c r="AB5" s="6" t="s">
        <v>235</v>
      </c>
      <c r="AC5" s="6" t="s">
        <v>236</v>
      </c>
      <c r="AD5" s="6" t="s">
        <v>237</v>
      </c>
      <c r="AE5" s="6" t="s">
        <v>238</v>
      </c>
      <c r="AF5" s="6" t="s">
        <v>239</v>
      </c>
      <c r="AG5" s="6" t="s">
        <v>240</v>
      </c>
      <c r="AH5" s="6" t="s">
        <v>241</v>
      </c>
      <c r="AI5" s="6" t="s">
        <v>242</v>
      </c>
      <c r="AJ5" s="6" t="s">
        <v>243</v>
      </c>
      <c r="AK5" s="6" t="s">
        <v>244</v>
      </c>
      <c r="AL5" s="6" t="s">
        <v>245</v>
      </c>
      <c r="AM5" s="6" t="s">
        <v>246</v>
      </c>
      <c r="AN5" s="6" t="s">
        <v>247</v>
      </c>
      <c r="AO5" s="6" t="s">
        <v>248</v>
      </c>
      <c r="AP5" s="6" t="s">
        <v>249</v>
      </c>
      <c r="AQ5" s="6" t="s">
        <v>250</v>
      </c>
      <c r="AR5" s="6" t="s">
        <v>251</v>
      </c>
      <c r="AS5" s="6" t="s">
        <v>252</v>
      </c>
      <c r="AT5" s="6" t="s">
        <v>253</v>
      </c>
      <c r="AU5" s="5" t="s">
        <v>254</v>
      </c>
      <c r="AV5" s="6" t="s">
        <v>255</v>
      </c>
      <c r="AW5" s="6" t="s">
        <v>256</v>
      </c>
      <c r="AX5" s="6" t="s">
        <v>257</v>
      </c>
      <c r="AY5" s="6" t="s">
        <v>258</v>
      </c>
      <c r="AZ5" s="6" t="s">
        <v>259</v>
      </c>
      <c r="BA5" s="6" t="s">
        <v>260</v>
      </c>
      <c r="BB5" s="6" t="s">
        <v>261</v>
      </c>
      <c r="BC5" s="6" t="s">
        <v>262</v>
      </c>
      <c r="BD5" s="6" t="s">
        <v>263</v>
      </c>
      <c r="BE5" s="6" t="s">
        <v>264</v>
      </c>
      <c r="BF5" s="6" t="s">
        <v>265</v>
      </c>
      <c r="BG5" s="6" t="s">
        <v>266</v>
      </c>
      <c r="BH5" s="6" t="s">
        <v>267</v>
      </c>
      <c r="BI5" s="6" t="s">
        <v>268</v>
      </c>
      <c r="BJ5" s="6" t="s">
        <v>269</v>
      </c>
      <c r="BK5" s="6" t="s">
        <v>270</v>
      </c>
      <c r="BL5" s="6" t="s">
        <v>271</v>
      </c>
      <c r="BM5" s="6" t="s">
        <v>272</v>
      </c>
      <c r="BN5" s="6" t="s">
        <v>273</v>
      </c>
      <c r="BO5" s="6" t="s">
        <v>274</v>
      </c>
      <c r="BP5" s="6" t="s">
        <v>275</v>
      </c>
      <c r="BQ5" s="6" t="s">
        <v>276</v>
      </c>
      <c r="BR5" s="6" t="s">
        <v>277</v>
      </c>
      <c r="BS5" s="6" t="s">
        <v>278</v>
      </c>
      <c r="BT5" s="6" t="s">
        <v>279</v>
      </c>
      <c r="BU5" s="6" t="s">
        <v>280</v>
      </c>
      <c r="BV5" s="6" t="s">
        <v>281</v>
      </c>
      <c r="BW5" s="6" t="s">
        <v>282</v>
      </c>
      <c r="BX5" s="6" t="s">
        <v>283</v>
      </c>
      <c r="BY5" s="6" t="s">
        <v>284</v>
      </c>
      <c r="BZ5" s="6" t="s">
        <v>285</v>
      </c>
      <c r="CA5" s="6" t="s">
        <v>286</v>
      </c>
      <c r="CB5" s="6" t="s">
        <v>287</v>
      </c>
      <c r="CC5" s="6" t="s">
        <v>288</v>
      </c>
      <c r="CD5" s="6" t="s">
        <v>289</v>
      </c>
      <c r="CE5" s="6" t="s">
        <v>290</v>
      </c>
      <c r="CF5" s="6" t="s">
        <v>291</v>
      </c>
      <c r="CG5" s="6" t="s">
        <v>292</v>
      </c>
      <c r="CH5" s="6" t="s">
        <v>293</v>
      </c>
      <c r="CI5" s="6" t="s">
        <v>294</v>
      </c>
      <c r="CJ5" s="6" t="s">
        <v>295</v>
      </c>
      <c r="CK5" s="6" t="s">
        <v>296</v>
      </c>
      <c r="CL5" s="6" t="s">
        <v>297</v>
      </c>
      <c r="CM5" s="6" t="s">
        <v>298</v>
      </c>
      <c r="CN5" s="6" t="s">
        <v>299</v>
      </c>
      <c r="CO5" s="6" t="s">
        <v>300</v>
      </c>
      <c r="CP5" s="6" t="s">
        <v>301</v>
      </c>
      <c r="CQ5" s="6" t="s">
        <v>302</v>
      </c>
      <c r="CR5" s="6" t="s">
        <v>303</v>
      </c>
      <c r="CS5" s="6" t="s">
        <v>304</v>
      </c>
      <c r="CT5" s="6" t="s">
        <v>305</v>
      </c>
      <c r="CU5" s="6" t="s">
        <v>306</v>
      </c>
      <c r="CV5" s="6" t="s">
        <v>307</v>
      </c>
      <c r="CW5" s="6" t="s">
        <v>308</v>
      </c>
      <c r="CX5" s="6" t="s">
        <v>309</v>
      </c>
      <c r="CY5" s="6" t="s">
        <v>310</v>
      </c>
    </row>
    <row r="6" spans="1:103" ht="12.75" hidden="1" x14ac:dyDescent="0.2">
      <c r="A6" s="1"/>
      <c r="B6" s="1"/>
      <c r="C6" s="1"/>
      <c r="D6" s="1"/>
      <c r="E6" s="1"/>
      <c r="F6" s="2"/>
      <c r="G6" s="2"/>
      <c r="H6" s="2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3"/>
      <c r="AL6" s="3"/>
      <c r="AM6" s="2"/>
      <c r="AN6" s="2"/>
      <c r="AO6" s="2"/>
      <c r="AP6" s="2"/>
      <c r="AQ6" s="2"/>
      <c r="AR6" s="2"/>
      <c r="AS6" s="2"/>
      <c r="AT6" s="2"/>
      <c r="AU6" s="1"/>
      <c r="AV6" s="3"/>
      <c r="AW6" s="3"/>
      <c r="AX6" s="2"/>
      <c r="AY6" s="2"/>
      <c r="AZ6" s="2"/>
      <c r="BA6" s="2"/>
      <c r="BB6" s="2"/>
      <c r="BC6" s="3"/>
      <c r="BD6" s="2"/>
      <c r="BE6" s="3"/>
      <c r="BF6" s="2"/>
      <c r="BG6" s="2"/>
      <c r="BH6" s="2"/>
      <c r="BI6" s="2"/>
      <c r="BJ6" s="2"/>
      <c r="BK6" s="2"/>
      <c r="BL6" s="2"/>
      <c r="BM6" s="4"/>
      <c r="BN6" s="4"/>
      <c r="BO6" s="4"/>
      <c r="BP6" s="4"/>
      <c r="BQ6" s="2"/>
      <c r="BR6" s="4"/>
      <c r="BS6" s="4"/>
      <c r="BT6" s="4"/>
      <c r="BU6" s="2"/>
      <c r="BV6" s="2"/>
      <c r="BW6" s="2"/>
      <c r="BX6" s="3"/>
      <c r="BY6" s="3"/>
      <c r="BZ6" s="2"/>
      <c r="CA6" s="3"/>
      <c r="CB6" s="3"/>
      <c r="CC6" s="3"/>
      <c r="CD6" s="2"/>
      <c r="CE6" s="3"/>
      <c r="CF6" s="3"/>
      <c r="CG6" s="2"/>
      <c r="CH6" s="3"/>
      <c r="CI6" s="2"/>
      <c r="CJ6" s="3"/>
      <c r="CK6" s="3"/>
      <c r="CL6" s="2"/>
      <c r="CM6" s="3"/>
      <c r="CN6" s="3"/>
      <c r="CO6" s="3"/>
      <c r="CP6" s="2"/>
      <c r="CQ6" s="2"/>
      <c r="CR6" s="2"/>
      <c r="CS6" s="2"/>
      <c r="CT6" s="2"/>
      <c r="CU6" s="3"/>
      <c r="CV6" s="2"/>
      <c r="CW6" s="2"/>
      <c r="CX6" s="2"/>
      <c r="CY6" s="2"/>
    </row>
    <row r="7" spans="1:103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9285.4879999999994</v>
      </c>
      <c r="G7" s="2" t="e">
        <v>#N/A</v>
      </c>
      <c r="H7" s="2" t="e">
        <v>#N/A</v>
      </c>
      <c r="I7" s="3">
        <v>1.887</v>
      </c>
      <c r="J7" s="3">
        <v>-5.9604639999999998E-6</v>
      </c>
      <c r="K7" s="2">
        <v>0</v>
      </c>
      <c r="L7" s="2">
        <v>0</v>
      </c>
      <c r="M7" s="2">
        <v>0</v>
      </c>
      <c r="N7" s="2">
        <v>2.7389260000000002</v>
      </c>
      <c r="O7" s="2">
        <v>33.696429999999999</v>
      </c>
      <c r="P7" s="2">
        <v>6.8293100000000004</v>
      </c>
      <c r="Q7" s="2">
        <v>5.8968749999999996</v>
      </c>
      <c r="R7" s="2">
        <v>5.2416660000000004</v>
      </c>
      <c r="S7" s="2">
        <v>5.2377390000000004</v>
      </c>
      <c r="T7" s="2">
        <v>4.0529289999999998</v>
      </c>
      <c r="U7" s="2">
        <v>3.614109</v>
      </c>
      <c r="V7" s="2">
        <v>3.2404929999999998</v>
      </c>
      <c r="W7" s="2">
        <v>4.6485390000000004</v>
      </c>
      <c r="X7" s="2">
        <v>2.8286039999999999</v>
      </c>
      <c r="Y7" s="2">
        <v>1.897564</v>
      </c>
      <c r="Z7" s="2">
        <v>1.451538</v>
      </c>
      <c r="AA7" s="2">
        <v>3.6443620000000001</v>
      </c>
      <c r="AB7" s="2">
        <v>2.9236979999999999</v>
      </c>
      <c r="AC7" s="2">
        <v>2.4739849999999999</v>
      </c>
      <c r="AD7" s="2">
        <v>2.2935940000000001</v>
      </c>
      <c r="AE7" s="2">
        <v>0.65755790000000003</v>
      </c>
      <c r="AF7" s="2">
        <v>1.946585</v>
      </c>
      <c r="AG7" s="2">
        <v>4.9731439999999996</v>
      </c>
      <c r="AH7" s="2">
        <v>1.377704</v>
      </c>
      <c r="AI7" s="2">
        <v>4.0280589999999998</v>
      </c>
      <c r="AJ7" s="2">
        <v>9.7807969999999997</v>
      </c>
      <c r="AK7" s="3">
        <v>0.12630050000000001</v>
      </c>
      <c r="AL7" s="3">
        <v>9.8910990000000004E-2</v>
      </c>
      <c r="AM7" s="2">
        <v>14.31978</v>
      </c>
      <c r="AN7" s="2">
        <v>17.042390000000001</v>
      </c>
      <c r="AO7" s="2">
        <v>18.296330000000001</v>
      </c>
      <c r="AP7" s="2">
        <v>18.792100000000001</v>
      </c>
      <c r="AQ7" s="2">
        <v>3.1441110000000001</v>
      </c>
      <c r="AR7" s="2">
        <v>2.118722</v>
      </c>
      <c r="AS7" s="2">
        <v>1.8677440000000001</v>
      </c>
      <c r="AT7" s="2">
        <v>1.5929899999999999</v>
      </c>
      <c r="AU7" s="1" t="s">
        <v>5</v>
      </c>
      <c r="AV7" s="3">
        <v>1.446429</v>
      </c>
      <c r="AW7" s="3">
        <v>2.238712</v>
      </c>
      <c r="AX7" s="2">
        <v>18.638670000000001</v>
      </c>
      <c r="AY7" s="2">
        <v>41.418590000000002</v>
      </c>
      <c r="AZ7" s="2">
        <v>57.622280000000003</v>
      </c>
      <c r="BA7" s="2">
        <v>50.658670000000001</v>
      </c>
      <c r="BB7" s="2">
        <v>35.706569999999999</v>
      </c>
      <c r="BC7" s="3">
        <v>1.0369999999999999</v>
      </c>
      <c r="BD7" s="2">
        <v>81.967219999999998</v>
      </c>
      <c r="BE7" s="3">
        <v>1.9535</v>
      </c>
      <c r="BF7" s="2">
        <v>-3.4041519999999998</v>
      </c>
      <c r="BG7" s="2">
        <v>0</v>
      </c>
      <c r="BH7" s="2">
        <v>1.28559</v>
      </c>
      <c r="BI7" s="2">
        <v>5.7611429999999997</v>
      </c>
      <c r="BJ7" s="2">
        <v>13.24507</v>
      </c>
      <c r="BK7" s="2">
        <v>27</v>
      </c>
      <c r="BL7" s="2">
        <v>25</v>
      </c>
      <c r="BM7" s="4">
        <v>28</v>
      </c>
      <c r="BN7" s="4">
        <v>6</v>
      </c>
      <c r="BO7" s="4">
        <v>0</v>
      </c>
      <c r="BP7" s="4">
        <v>26</v>
      </c>
      <c r="BQ7" s="2">
        <v>18.75</v>
      </c>
      <c r="BR7" s="4">
        <v>18</v>
      </c>
      <c r="BS7" s="4">
        <v>1</v>
      </c>
      <c r="BT7" s="4">
        <v>28</v>
      </c>
      <c r="BU7" s="2">
        <v>64.285709999999995</v>
      </c>
      <c r="BV7" s="2">
        <v>18.6356</v>
      </c>
      <c r="BW7" s="2">
        <v>4920.768</v>
      </c>
      <c r="BX7" s="3">
        <v>12.517910000000001</v>
      </c>
      <c r="BY7" s="3">
        <v>0.25438939999999999</v>
      </c>
      <c r="BZ7" s="2">
        <v>2.5780799999999999</v>
      </c>
      <c r="CA7" s="3">
        <v>0.25438939999999999</v>
      </c>
      <c r="CB7" s="3">
        <v>0.18728149999999999</v>
      </c>
      <c r="CC7" s="3">
        <v>0.25928440000000003</v>
      </c>
      <c r="CD7" s="2">
        <v>38.446330000000003</v>
      </c>
      <c r="CE7" s="3">
        <v>2119.616</v>
      </c>
      <c r="CF7" s="3">
        <v>2552.4409999999998</v>
      </c>
      <c r="CG7" s="2">
        <v>20.419969999999999</v>
      </c>
      <c r="CH7" s="3">
        <v>2.0870609999999998</v>
      </c>
      <c r="CI7" s="2">
        <v>7.2662230000000001</v>
      </c>
      <c r="CJ7" s="3">
        <v>27777.34</v>
      </c>
      <c r="CK7" s="3">
        <v>28083.98</v>
      </c>
      <c r="CL7" s="2">
        <v>1.1039380000000001</v>
      </c>
      <c r="CM7" s="3">
        <v>1.6362049999999999</v>
      </c>
      <c r="CN7" s="3">
        <v>1.8125880000000001</v>
      </c>
      <c r="CO7" s="3">
        <v>1.870943</v>
      </c>
      <c r="CP7" s="2">
        <v>15.327859999999999</v>
      </c>
      <c r="CQ7" s="2">
        <v>4.1052819999999999</v>
      </c>
      <c r="CR7" s="2">
        <v>0.85824730000000005</v>
      </c>
      <c r="CS7" s="2">
        <v>10.78002</v>
      </c>
      <c r="CT7" s="2">
        <v>14.13104</v>
      </c>
      <c r="CU7" s="3">
        <v>0.15218419999999999</v>
      </c>
      <c r="CV7" s="2">
        <v>-108.5714</v>
      </c>
      <c r="CW7" s="2">
        <v>0.1910617</v>
      </c>
      <c r="CX7" s="2" t="e">
        <v>#N/A</v>
      </c>
      <c r="CY7" s="2">
        <v>11.831580000000001</v>
      </c>
    </row>
    <row r="8" spans="1:103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110516.5</v>
      </c>
      <c r="G8" s="2">
        <v>35.442500000000003</v>
      </c>
      <c r="H8" s="2">
        <v>39169.800000000003</v>
      </c>
      <c r="I8" s="3">
        <v>35.46</v>
      </c>
      <c r="J8" s="3">
        <v>0</v>
      </c>
      <c r="K8" s="2">
        <v>3.3840949999999999</v>
      </c>
      <c r="L8" s="2">
        <v>4.0891149999999996</v>
      </c>
      <c r="M8" s="2">
        <v>4.3993229999999999</v>
      </c>
      <c r="N8" s="2">
        <v>4.6531310000000001</v>
      </c>
      <c r="O8" s="2">
        <v>26.72193</v>
      </c>
      <c r="P8" s="2">
        <v>21.981159999999999</v>
      </c>
      <c r="Q8" s="2">
        <v>20.26286</v>
      </c>
      <c r="R8" s="2">
        <v>18.962569999999999</v>
      </c>
      <c r="S8" s="2">
        <v>7.7903580000000003</v>
      </c>
      <c r="T8" s="2">
        <v>10.44337</v>
      </c>
      <c r="U8" s="2">
        <v>9.6841930000000005</v>
      </c>
      <c r="V8" s="2">
        <v>9.0431270000000001</v>
      </c>
      <c r="W8" s="2">
        <v>6.490297</v>
      </c>
      <c r="X8" s="2">
        <v>6.0823330000000002</v>
      </c>
      <c r="Y8" s="2">
        <v>5.7799509999999996</v>
      </c>
      <c r="Z8" s="2">
        <v>5.628571</v>
      </c>
      <c r="AA8" s="2">
        <v>19.7</v>
      </c>
      <c r="AB8" s="2">
        <v>15.806900000000001</v>
      </c>
      <c r="AC8" s="2">
        <v>14.05879</v>
      </c>
      <c r="AD8" s="2">
        <v>14.03537</v>
      </c>
      <c r="AE8" s="2">
        <v>5.4636709999999997</v>
      </c>
      <c r="AF8" s="2">
        <v>5.9224730000000001</v>
      </c>
      <c r="AG8" s="2">
        <v>6.2244710000000003</v>
      </c>
      <c r="AH8" s="2">
        <v>4.9076959999999996</v>
      </c>
      <c r="AI8" s="2">
        <v>5.2793510000000001</v>
      </c>
      <c r="AJ8" s="2">
        <v>5.496035</v>
      </c>
      <c r="AK8" s="3">
        <v>2.0981839999999998</v>
      </c>
      <c r="AL8" s="3">
        <v>1.9508030000000001</v>
      </c>
      <c r="AM8" s="2">
        <v>26.55593</v>
      </c>
      <c r="AN8" s="2">
        <v>26.450479999999999</v>
      </c>
      <c r="AO8" s="2">
        <v>26.508400000000002</v>
      </c>
      <c r="AP8" s="2">
        <v>26.318539999999999</v>
      </c>
      <c r="AQ8" s="2">
        <v>-1.1642969999999999</v>
      </c>
      <c r="AR8" s="2">
        <v>-1.183092</v>
      </c>
      <c r="AS8" s="2">
        <v>-1.179713</v>
      </c>
      <c r="AT8" s="2">
        <v>-1.1985619999999999</v>
      </c>
      <c r="AU8" s="1" t="s">
        <v>5</v>
      </c>
      <c r="AV8" s="3">
        <v>1.4482759999999999</v>
      </c>
      <c r="AW8" s="3">
        <v>37.225000000000001</v>
      </c>
      <c r="AX8" s="2">
        <v>4.9774409999999998</v>
      </c>
      <c r="AY8" s="2">
        <v>27.670670000000001</v>
      </c>
      <c r="AZ8" s="2">
        <v>10.56452</v>
      </c>
      <c r="BA8" s="2">
        <v>64.242699999999999</v>
      </c>
      <c r="BB8" s="2">
        <v>42.696170000000002</v>
      </c>
      <c r="BC8" s="3">
        <v>20.53</v>
      </c>
      <c r="BD8" s="2">
        <v>72.722840000000005</v>
      </c>
      <c r="BE8" s="3">
        <v>35.6</v>
      </c>
      <c r="BF8" s="2">
        <v>-0.39325949999999998</v>
      </c>
      <c r="BG8" s="2">
        <v>90.393649999999994</v>
      </c>
      <c r="BH8" s="2">
        <v>88.646100000000004</v>
      </c>
      <c r="BI8" s="2">
        <v>90.379130000000004</v>
      </c>
      <c r="BJ8" s="2">
        <v>87.537210000000002</v>
      </c>
      <c r="BK8" s="2">
        <v>27</v>
      </c>
      <c r="BL8" s="2">
        <v>26</v>
      </c>
      <c r="BM8" s="4">
        <v>29</v>
      </c>
      <c r="BN8" s="4">
        <v>0</v>
      </c>
      <c r="BO8" s="4">
        <v>2</v>
      </c>
      <c r="BP8" s="4">
        <v>28</v>
      </c>
      <c r="BQ8" s="2">
        <v>0</v>
      </c>
      <c r="BR8" s="4">
        <v>18</v>
      </c>
      <c r="BS8" s="4">
        <v>1</v>
      </c>
      <c r="BT8" s="4">
        <v>29</v>
      </c>
      <c r="BU8" s="2">
        <v>62.068959999999997</v>
      </c>
      <c r="BV8" s="2">
        <v>9.1231399999999994</v>
      </c>
      <c r="BW8" s="2">
        <v>3116.652</v>
      </c>
      <c r="BX8" s="3">
        <v>3.2892420000000002</v>
      </c>
      <c r="BY8" s="3">
        <v>0.1055377</v>
      </c>
      <c r="BZ8" s="2">
        <v>1.1982200000000001</v>
      </c>
      <c r="CA8" s="3">
        <v>0.1055377</v>
      </c>
      <c r="CB8" s="3">
        <v>1.4354629999999999</v>
      </c>
      <c r="CC8" s="3">
        <v>1.6113729999999999</v>
      </c>
      <c r="CD8" s="2">
        <v>12.254569999999999</v>
      </c>
      <c r="CE8" s="3">
        <v>5876.6639999999998</v>
      </c>
      <c r="CF8" s="3">
        <v>6409.924</v>
      </c>
      <c r="CG8" s="2">
        <v>9.0741999999999994</v>
      </c>
      <c r="CH8" s="3">
        <v>31.664249999999999</v>
      </c>
      <c r="CI8" s="2">
        <v>17.561610000000002</v>
      </c>
      <c r="CJ8" s="3">
        <v>34255.81</v>
      </c>
      <c r="CK8" s="3">
        <v>35836.97</v>
      </c>
      <c r="CL8" s="2">
        <v>4.615748</v>
      </c>
      <c r="CM8" s="3">
        <v>27.8779</v>
      </c>
      <c r="CN8" s="3">
        <v>32.340389999999999</v>
      </c>
      <c r="CO8" s="3">
        <v>33.365000000000002</v>
      </c>
      <c r="CP8" s="2">
        <v>27.197500000000002</v>
      </c>
      <c r="CQ8" s="2">
        <v>9.6461659999999991</v>
      </c>
      <c r="CR8" s="2">
        <v>6.2790270000000001</v>
      </c>
      <c r="CS8" s="2">
        <v>16.007259999999999</v>
      </c>
      <c r="CT8" s="2">
        <v>119.9937</v>
      </c>
      <c r="CU8" s="3">
        <v>0.1085754</v>
      </c>
      <c r="CV8" s="2">
        <v>17.02618</v>
      </c>
      <c r="CW8" s="2">
        <v>1.63886</v>
      </c>
      <c r="CX8" s="2">
        <v>12.74419</v>
      </c>
      <c r="CY8" s="2">
        <v>11.9495</v>
      </c>
    </row>
    <row r="9" spans="1:103" ht="15" customHeight="1" x14ac:dyDescent="0.2">
      <c r="A9" s="1">
        <f t="shared" ref="A9:A41" si="0">1+A8</f>
        <v>3</v>
      </c>
      <c r="B9" s="1" t="s">
        <v>11</v>
      </c>
      <c r="C9" s="1" t="s">
        <v>10</v>
      </c>
      <c r="D9" s="1" t="s">
        <v>3</v>
      </c>
      <c r="E9" s="1" t="s">
        <v>12</v>
      </c>
      <c r="F9" s="2">
        <v>22200</v>
      </c>
      <c r="G9" s="2">
        <v>48.942799999999998</v>
      </c>
      <c r="H9" s="2">
        <v>10865.3</v>
      </c>
      <c r="I9" s="3">
        <v>148</v>
      </c>
      <c r="J9" s="3">
        <v>0</v>
      </c>
      <c r="K9" s="2">
        <v>3.2094589999999998</v>
      </c>
      <c r="L9" s="2">
        <v>4.6633719999999999</v>
      </c>
      <c r="M9" s="2">
        <v>5.3222560000000003</v>
      </c>
      <c r="N9" s="2">
        <v>5.7432429999999997</v>
      </c>
      <c r="O9" s="2">
        <v>24.625620000000001</v>
      </c>
      <c r="P9" s="2">
        <v>16.917359999999999</v>
      </c>
      <c r="Q9" s="2">
        <v>14.86134</v>
      </c>
      <c r="R9" s="2">
        <v>13.63683</v>
      </c>
      <c r="S9" s="2">
        <v>11.46668</v>
      </c>
      <c r="T9" s="2">
        <v>10.56888</v>
      </c>
      <c r="U9" s="2">
        <v>9.6728349999999992</v>
      </c>
      <c r="V9" s="2">
        <v>8.9127519999999993</v>
      </c>
      <c r="W9" s="2">
        <v>3.3050470000000001</v>
      </c>
      <c r="X9" s="2">
        <v>3.0594290000000002</v>
      </c>
      <c r="Y9" s="2">
        <v>2.88443</v>
      </c>
      <c r="Z9" s="2">
        <v>2.7106539999999999</v>
      </c>
      <c r="AA9" s="2">
        <v>12.18553</v>
      </c>
      <c r="AB9" s="2">
        <v>10.31359</v>
      </c>
      <c r="AC9" s="2">
        <v>9.6834919999999993</v>
      </c>
      <c r="AD9" s="2">
        <v>9.3328369999999996</v>
      </c>
      <c r="AE9" s="2">
        <v>4.3671920000000002</v>
      </c>
      <c r="AF9" s="2">
        <v>5.6644550000000002</v>
      </c>
      <c r="AG9" s="2">
        <v>6.028079</v>
      </c>
      <c r="AH9" s="2">
        <v>5.5263059999999999</v>
      </c>
      <c r="AI9" s="2">
        <v>7.0685760000000002</v>
      </c>
      <c r="AJ9" s="2">
        <v>7.392271</v>
      </c>
      <c r="AK9" s="3">
        <v>1.3795790000000001</v>
      </c>
      <c r="AL9" s="3">
        <v>1.197271</v>
      </c>
      <c r="AM9" s="2">
        <v>49.708129999999997</v>
      </c>
      <c r="AN9" s="2">
        <v>54.328670000000002</v>
      </c>
      <c r="AO9" s="2">
        <v>55.39866</v>
      </c>
      <c r="AP9" s="2">
        <v>56.711849999999998</v>
      </c>
      <c r="AQ9" s="2">
        <v>3.0030399999999999</v>
      </c>
      <c r="AR9" s="2">
        <v>2.2167680000000001</v>
      </c>
      <c r="AS9" s="2">
        <v>1.9214389999999999</v>
      </c>
      <c r="AT9" s="2">
        <v>1.6447860000000001</v>
      </c>
      <c r="AU9" s="1" t="s">
        <v>5</v>
      </c>
      <c r="AV9" s="3">
        <v>1.44</v>
      </c>
      <c r="AW9" s="3">
        <v>166.4</v>
      </c>
      <c r="AX9" s="2">
        <v>12.43243</v>
      </c>
      <c r="AY9" s="2">
        <v>18.08456</v>
      </c>
      <c r="AZ9" s="2">
        <v>14.04749</v>
      </c>
      <c r="BA9" s="2">
        <v>22.061859999999999</v>
      </c>
      <c r="BB9" s="2">
        <v>26.17221</v>
      </c>
      <c r="BC9" s="3">
        <v>102.05</v>
      </c>
      <c r="BD9" s="2">
        <v>45.026949999999999</v>
      </c>
      <c r="BE9" s="3">
        <v>155.75</v>
      </c>
      <c r="BF9" s="2">
        <v>-4.9759209999999996</v>
      </c>
      <c r="BG9" s="2">
        <v>70.704520000000002</v>
      </c>
      <c r="BH9" s="2">
        <v>77.625439999999998</v>
      </c>
      <c r="BI9" s="2">
        <v>78.293049999999994</v>
      </c>
      <c r="BJ9" s="2">
        <v>77.808300000000003</v>
      </c>
      <c r="BK9" s="2">
        <v>23</v>
      </c>
      <c r="BL9" s="2">
        <v>21</v>
      </c>
      <c r="BM9" s="4">
        <v>25</v>
      </c>
      <c r="BN9" s="4">
        <v>2</v>
      </c>
      <c r="BO9" s="4">
        <v>0</v>
      </c>
      <c r="BP9" s="4">
        <v>22</v>
      </c>
      <c r="BQ9" s="2">
        <v>8.3333340000000007</v>
      </c>
      <c r="BR9" s="4">
        <v>16</v>
      </c>
      <c r="BS9" s="4">
        <v>1</v>
      </c>
      <c r="BT9" s="4">
        <v>25</v>
      </c>
      <c r="BU9" s="2">
        <v>64</v>
      </c>
      <c r="BV9" s="2">
        <v>7.9804899999999996</v>
      </c>
      <c r="BW9" s="2">
        <v>150</v>
      </c>
      <c r="BX9" s="3">
        <v>0.1564953</v>
      </c>
      <c r="BY9" s="3">
        <v>0.1043302</v>
      </c>
      <c r="BZ9" s="2">
        <v>0.98714299999999999</v>
      </c>
      <c r="CA9" s="3">
        <v>0.1043302</v>
      </c>
      <c r="CB9" s="3">
        <v>7.5448930000000001</v>
      </c>
      <c r="CC9" s="3">
        <v>8.5792070000000002</v>
      </c>
      <c r="CD9" s="2">
        <v>13.70881</v>
      </c>
      <c r="CE9" s="3">
        <v>1541.2940000000001</v>
      </c>
      <c r="CF9" s="3">
        <v>1797.319</v>
      </c>
      <c r="CG9" s="2">
        <v>16.611000000000001</v>
      </c>
      <c r="CH9" s="3">
        <v>153.97069999999999</v>
      </c>
      <c r="CI9" s="2">
        <v>8.0725309999999997</v>
      </c>
      <c r="CJ9" s="3">
        <v>4496.9970000000003</v>
      </c>
      <c r="CK9" s="3">
        <v>4822.3549999999996</v>
      </c>
      <c r="CL9" s="2">
        <v>7.2350139999999996</v>
      </c>
      <c r="CM9" s="3">
        <v>134.73429999999999</v>
      </c>
      <c r="CN9" s="3">
        <v>148.0608</v>
      </c>
      <c r="CO9" s="3">
        <v>146.39420000000001</v>
      </c>
      <c r="CP9" s="2">
        <v>9.8457930000000005</v>
      </c>
      <c r="CQ9" s="2">
        <v>-4.1055679999999997E-2</v>
      </c>
      <c r="CR9" s="2">
        <v>1.0968800000000001</v>
      </c>
      <c r="CS9" s="2">
        <v>9.8909140000000004</v>
      </c>
      <c r="CT9" s="2">
        <v>28.145130000000002</v>
      </c>
      <c r="CU9" s="3">
        <v>0.1267799</v>
      </c>
      <c r="CV9" s="2">
        <v>-29.937539999999998</v>
      </c>
      <c r="CW9" s="2">
        <v>9.0882039999999993</v>
      </c>
      <c r="CX9" s="2">
        <v>14.86487</v>
      </c>
      <c r="CY9" s="2">
        <v>12.14141</v>
      </c>
    </row>
    <row r="10" spans="1:103" ht="15" customHeight="1" x14ac:dyDescent="0.2">
      <c r="A10" s="1">
        <f t="shared" si="0"/>
        <v>4</v>
      </c>
      <c r="B10" s="1" t="s">
        <v>14</v>
      </c>
      <c r="C10" s="1" t="s">
        <v>13</v>
      </c>
      <c r="D10" s="1" t="s">
        <v>15</v>
      </c>
      <c r="E10" s="1" t="s">
        <v>16</v>
      </c>
      <c r="F10" s="2">
        <v>41949.2</v>
      </c>
      <c r="G10" s="2">
        <v>99.860200000000006</v>
      </c>
      <c r="H10" s="2">
        <v>41890.559999999998</v>
      </c>
      <c r="I10" s="3">
        <v>7.032</v>
      </c>
      <c r="J10" s="3">
        <v>0</v>
      </c>
      <c r="K10" s="2">
        <v>6.114903</v>
      </c>
      <c r="L10" s="2">
        <v>7.5235849999999997</v>
      </c>
      <c r="M10" s="2">
        <v>7.8213879999999998</v>
      </c>
      <c r="N10" s="2">
        <v>8.0720759999999991</v>
      </c>
      <c r="O10" s="2">
        <v>6.6971429999999996</v>
      </c>
      <c r="P10" s="2">
        <v>6.1653779999999996</v>
      </c>
      <c r="Q10" s="2">
        <v>6.2546489999999997</v>
      </c>
      <c r="R10" s="2">
        <v>6.2393409999999996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>
        <v>0.90269580000000005</v>
      </c>
      <c r="X10" s="2">
        <v>0.8540143</v>
      </c>
      <c r="Y10" s="2">
        <v>0.80536169999999996</v>
      </c>
      <c r="Z10" s="2">
        <v>0.76397340000000002</v>
      </c>
      <c r="AA10" s="2" t="e">
        <v>#N/A</v>
      </c>
      <c r="AB10" s="2" t="e">
        <v>#N/A</v>
      </c>
      <c r="AC10" s="2" t="e">
        <v>#N/A</v>
      </c>
      <c r="AD10" s="2" t="e">
        <v>#N/A</v>
      </c>
      <c r="AE10" s="2" t="e">
        <v>#N/A</v>
      </c>
      <c r="AF10" s="2" t="e">
        <v>#N/A</v>
      </c>
      <c r="AG10" s="2" t="e">
        <v>#N/A</v>
      </c>
      <c r="AH10" s="2" t="e">
        <v>#N/A</v>
      </c>
      <c r="AI10" s="2" t="e">
        <v>#N/A</v>
      </c>
      <c r="AJ10" s="2" t="e">
        <v>#N/A</v>
      </c>
      <c r="AK10" s="3">
        <v>1.1178570000000001</v>
      </c>
      <c r="AL10" s="3">
        <v>1.1316889999999999</v>
      </c>
      <c r="AM10" s="2" t="e">
        <v>#N/A</v>
      </c>
      <c r="AN10" s="2" t="e">
        <v>#N/A</v>
      </c>
      <c r="AO10" s="2" t="e">
        <v>#N/A</v>
      </c>
      <c r="AP10" s="2" t="e">
        <v>#N/A</v>
      </c>
      <c r="AQ10" s="2" t="e">
        <v>#N/A</v>
      </c>
      <c r="AR10" s="2" t="e">
        <v>#N/A</v>
      </c>
      <c r="AS10" s="2" t="e">
        <v>#N/A</v>
      </c>
      <c r="AT10" s="2" t="e">
        <v>#N/A</v>
      </c>
      <c r="AU10" s="1" t="s">
        <v>17</v>
      </c>
      <c r="AV10" s="3">
        <v>1.464286</v>
      </c>
      <c r="AW10" s="3">
        <v>8.6649999999999991</v>
      </c>
      <c r="AX10" s="2">
        <v>23.22241</v>
      </c>
      <c r="AY10" s="2">
        <v>13.85177</v>
      </c>
      <c r="AZ10" s="2">
        <v>3.5926659999999999</v>
      </c>
      <c r="BA10" s="2">
        <v>62.383090000000003</v>
      </c>
      <c r="BB10" s="2">
        <v>24.813639999999999</v>
      </c>
      <c r="BC10" s="3">
        <v>3.972</v>
      </c>
      <c r="BD10" s="2">
        <v>77.039270000000002</v>
      </c>
      <c r="BE10" s="3">
        <v>7.5549999999999997</v>
      </c>
      <c r="BF10" s="2">
        <v>-6.9225669999999999</v>
      </c>
      <c r="BG10" s="2">
        <v>41.986649999999997</v>
      </c>
      <c r="BH10" s="2">
        <v>46.458199999999998</v>
      </c>
      <c r="BI10" s="2">
        <v>47.753709999999998</v>
      </c>
      <c r="BJ10" s="2">
        <v>48.848260000000003</v>
      </c>
      <c r="BK10" s="2">
        <v>27</v>
      </c>
      <c r="BL10" s="2">
        <v>16</v>
      </c>
      <c r="BM10" s="4">
        <v>28</v>
      </c>
      <c r="BN10" s="4">
        <v>3</v>
      </c>
      <c r="BO10" s="4">
        <v>0</v>
      </c>
      <c r="BP10" s="4">
        <v>25</v>
      </c>
      <c r="BQ10" s="2">
        <v>10.71429</v>
      </c>
      <c r="BR10" s="4">
        <v>16</v>
      </c>
      <c r="BS10" s="4">
        <v>0</v>
      </c>
      <c r="BT10" s="4">
        <v>28</v>
      </c>
      <c r="BU10" s="2">
        <v>57.142859999999999</v>
      </c>
      <c r="BV10" s="2">
        <v>13.257099999999999</v>
      </c>
      <c r="BW10" s="2">
        <v>5965.473</v>
      </c>
      <c r="BX10" s="3">
        <v>18.558260000000001</v>
      </c>
      <c r="BY10" s="3">
        <v>0.3110946</v>
      </c>
      <c r="BZ10" s="2">
        <v>1.9348700000000001</v>
      </c>
      <c r="CA10" s="3">
        <v>0.3110946</v>
      </c>
      <c r="CB10" s="3">
        <v>1.0783210000000001</v>
      </c>
      <c r="CC10" s="3">
        <v>1.137359</v>
      </c>
      <c r="CD10" s="2">
        <v>5.4749489999999996</v>
      </c>
      <c r="CE10" s="3">
        <v>15107.87</v>
      </c>
      <c r="CF10" s="3">
        <v>15361.63</v>
      </c>
      <c r="CG10" s="2">
        <v>1.6796709999999999</v>
      </c>
      <c r="CH10" s="3">
        <v>7.8786949999999996</v>
      </c>
      <c r="CI10" s="2">
        <v>9.9801300000000008</v>
      </c>
      <c r="CJ10" s="3">
        <v>26954.16</v>
      </c>
      <c r="CK10" s="3">
        <v>27469.7</v>
      </c>
      <c r="CL10" s="2">
        <v>1.912642</v>
      </c>
      <c r="CM10" s="3">
        <v>6.1215390000000003</v>
      </c>
      <c r="CN10" s="3">
        <v>6.5529019999999996</v>
      </c>
      <c r="CO10" s="3">
        <v>6.618614</v>
      </c>
      <c r="CP10" s="2">
        <v>14.87308</v>
      </c>
      <c r="CQ10" s="2">
        <v>7.3112370000000002</v>
      </c>
      <c r="CR10" s="2">
        <v>6.2458039999999997</v>
      </c>
      <c r="CS10" s="2">
        <v>7.04664</v>
      </c>
      <c r="CT10" s="2">
        <v>120.4628</v>
      </c>
      <c r="CU10" s="3">
        <v>0.28716350000000002</v>
      </c>
      <c r="CV10" s="2">
        <v>3.5714290000000002</v>
      </c>
      <c r="CW10" s="2">
        <v>2.142163</v>
      </c>
      <c r="CX10" s="2">
        <v>2.2984490000000002</v>
      </c>
      <c r="CY10" s="2">
        <v>12.323230000000001</v>
      </c>
    </row>
    <row r="11" spans="1:103" ht="15" customHeight="1" x14ac:dyDescent="0.2">
      <c r="A11" s="1">
        <f t="shared" si="0"/>
        <v>5</v>
      </c>
      <c r="B11" s="1" t="s">
        <v>19</v>
      </c>
      <c r="C11" s="1" t="s">
        <v>18</v>
      </c>
      <c r="D11" s="1" t="s">
        <v>3</v>
      </c>
      <c r="E11" s="1" t="s">
        <v>20</v>
      </c>
      <c r="F11" s="2">
        <v>3276.27</v>
      </c>
      <c r="G11" s="2">
        <v>44.058999999999997</v>
      </c>
      <c r="H11" s="2">
        <v>1443.492</v>
      </c>
      <c r="I11" s="3">
        <v>24.68</v>
      </c>
      <c r="J11" s="3">
        <v>0</v>
      </c>
      <c r="K11" s="2">
        <v>5.5915720000000002</v>
      </c>
      <c r="L11" s="2">
        <v>7.171799</v>
      </c>
      <c r="M11" s="2">
        <v>7.5981750000000003</v>
      </c>
      <c r="N11" s="2">
        <v>7.6985409999999996</v>
      </c>
      <c r="O11" s="2">
        <v>13.787710000000001</v>
      </c>
      <c r="P11" s="2">
        <v>10.592280000000001</v>
      </c>
      <c r="Q11" s="2">
        <v>10.417210000000001</v>
      </c>
      <c r="R11" s="2">
        <v>10.36975</v>
      </c>
      <c r="S11" s="2">
        <v>1.993212</v>
      </c>
      <c r="T11" s="2">
        <v>4.3913250000000001</v>
      </c>
      <c r="U11" s="2">
        <v>4.4269020000000001</v>
      </c>
      <c r="V11" s="2">
        <v>2.0657299999999998</v>
      </c>
      <c r="W11" s="2">
        <v>5.8345159999999998</v>
      </c>
      <c r="X11" s="2">
        <v>5.2076549999999999</v>
      </c>
      <c r="Y11" s="2">
        <v>4.970796</v>
      </c>
      <c r="Z11" s="2">
        <v>4.8392160000000004</v>
      </c>
      <c r="AA11" s="2">
        <v>9.5844660000000008</v>
      </c>
      <c r="AB11" s="2">
        <v>8.4825750000000006</v>
      </c>
      <c r="AC11" s="2">
        <v>8.2419639999999994</v>
      </c>
      <c r="AD11" s="2">
        <v>8.1184220000000007</v>
      </c>
      <c r="AE11" s="2">
        <v>7.4528420000000004</v>
      </c>
      <c r="AF11" s="2">
        <v>15.690440000000001</v>
      </c>
      <c r="AG11" s="2">
        <v>33.615729999999999</v>
      </c>
      <c r="AH11" s="2">
        <v>4.5251809999999999</v>
      </c>
      <c r="AI11" s="2">
        <v>9.4597990000000003</v>
      </c>
      <c r="AJ11" s="2">
        <v>9.8116810000000001</v>
      </c>
      <c r="AK11" s="3">
        <v>3.501865</v>
      </c>
      <c r="AL11" s="3">
        <v>3.4287139999999998</v>
      </c>
      <c r="AM11" s="2">
        <v>31.012139999999999</v>
      </c>
      <c r="AN11" s="2">
        <v>27.950420000000001</v>
      </c>
      <c r="AO11" s="2">
        <v>26.44913</v>
      </c>
      <c r="AP11" s="2">
        <v>26.963170000000002</v>
      </c>
      <c r="AQ11" s="2">
        <v>-6.1866839999999996</v>
      </c>
      <c r="AR11" s="2">
        <v>-2.8410600000000001</v>
      </c>
      <c r="AS11" s="2">
        <v>-2.915753</v>
      </c>
      <c r="AT11" s="2">
        <v>-5.0116540000000001</v>
      </c>
      <c r="AU11" s="1" t="s">
        <v>5</v>
      </c>
      <c r="AV11" s="3">
        <v>1.125</v>
      </c>
      <c r="AW11" s="3">
        <v>29.5</v>
      </c>
      <c r="AX11" s="2">
        <v>19.529990000000002</v>
      </c>
      <c r="AY11" s="2">
        <v>49.164650000000002</v>
      </c>
      <c r="AZ11" s="2">
        <v>3.15</v>
      </c>
      <c r="BA11" s="2">
        <v>32.26153</v>
      </c>
      <c r="BB11" s="2">
        <v>4.5762660000000004</v>
      </c>
      <c r="BC11" s="3">
        <v>18.100000000000001</v>
      </c>
      <c r="BD11" s="2">
        <v>36.353589999999997</v>
      </c>
      <c r="BE11" s="3">
        <v>25.54</v>
      </c>
      <c r="BF11" s="2">
        <v>-3.3672689999999998</v>
      </c>
      <c r="BG11" s="2">
        <v>77.257040000000003</v>
      </c>
      <c r="BH11" s="2">
        <v>75.46902</v>
      </c>
      <c r="BI11" s="2">
        <v>81.334320000000005</v>
      </c>
      <c r="BJ11" s="2">
        <v>80.875699999999995</v>
      </c>
      <c r="BK11" s="2">
        <v>10</v>
      </c>
      <c r="BL11" s="2">
        <v>10</v>
      </c>
      <c r="BM11" s="4">
        <v>12</v>
      </c>
      <c r="BN11" s="4">
        <v>0</v>
      </c>
      <c r="BO11" s="4">
        <v>0</v>
      </c>
      <c r="BP11" s="4">
        <v>12</v>
      </c>
      <c r="BQ11" s="2">
        <v>0</v>
      </c>
      <c r="BR11" s="4">
        <v>11</v>
      </c>
      <c r="BS11" s="4">
        <v>0</v>
      </c>
      <c r="BT11" s="4">
        <v>12</v>
      </c>
      <c r="BU11" s="2">
        <v>91.666669999999996</v>
      </c>
      <c r="BV11" s="2">
        <v>5.3651299999999997</v>
      </c>
      <c r="BW11" s="2">
        <v>132.75</v>
      </c>
      <c r="BX11" s="3">
        <v>0.2203444</v>
      </c>
      <c r="BY11" s="3">
        <v>0.16598450000000001</v>
      </c>
      <c r="BZ11" s="2">
        <v>0.45642899999999997</v>
      </c>
      <c r="CA11" s="3">
        <v>0.16598450000000001</v>
      </c>
      <c r="CB11" s="3">
        <v>2.063164</v>
      </c>
      <c r="CC11" s="3">
        <v>2.2373569999999998</v>
      </c>
      <c r="CD11" s="2">
        <v>8.4429859999999994</v>
      </c>
      <c r="CE11" s="3">
        <v>326.13679999999999</v>
      </c>
      <c r="CF11" s="3">
        <v>350.68720000000002</v>
      </c>
      <c r="CG11" s="2">
        <v>7.5276490000000003</v>
      </c>
      <c r="CH11" s="3">
        <v>28.268000000000001</v>
      </c>
      <c r="CI11" s="2">
        <v>4.3582919999999996</v>
      </c>
      <c r="CJ11" s="3">
        <v>1553.7360000000001</v>
      </c>
      <c r="CK11" s="3">
        <v>1636.6569999999999</v>
      </c>
      <c r="CL11" s="2">
        <v>5.3368450000000003</v>
      </c>
      <c r="CM11" s="3">
        <v>22.926819999999999</v>
      </c>
      <c r="CN11" s="3">
        <v>23.975300000000001</v>
      </c>
      <c r="CO11" s="3">
        <v>23.940770000000001</v>
      </c>
      <c r="CP11" s="2">
        <v>7.6468470000000002</v>
      </c>
      <c r="CQ11" s="2">
        <v>2.9392839999999998</v>
      </c>
      <c r="CR11" s="2">
        <v>3.0877590000000001</v>
      </c>
      <c r="CS11" s="2">
        <v>4.573143</v>
      </c>
      <c r="CT11" s="2">
        <v>4.2096229999999997</v>
      </c>
      <c r="CU11" s="3">
        <v>0.1284883</v>
      </c>
      <c r="CV11" s="2" t="e">
        <v>#N/A</v>
      </c>
      <c r="CW11" s="2">
        <v>9.6211859999999998</v>
      </c>
      <c r="CX11" s="2">
        <v>6.9114469999999999</v>
      </c>
      <c r="CY11" s="2">
        <v>13.828279999999999</v>
      </c>
    </row>
    <row r="12" spans="1:103" ht="15" customHeight="1" x14ac:dyDescent="0.2">
      <c r="A12" s="1">
        <f t="shared" si="0"/>
        <v>6</v>
      </c>
      <c r="B12" s="1" t="s">
        <v>22</v>
      </c>
      <c r="C12" s="1" t="s">
        <v>21</v>
      </c>
      <c r="D12" s="1" t="s">
        <v>15</v>
      </c>
      <c r="E12" s="1" t="s">
        <v>16</v>
      </c>
      <c r="F12" s="2">
        <v>55696.78</v>
      </c>
      <c r="G12" s="2">
        <v>98.077600000000004</v>
      </c>
      <c r="H12" s="2">
        <v>54626.06</v>
      </c>
      <c r="I12" s="3">
        <v>3.3849999999999998</v>
      </c>
      <c r="J12" s="3">
        <v>0</v>
      </c>
      <c r="K12" s="2">
        <v>3.2496309999999999</v>
      </c>
      <c r="L12" s="2">
        <v>4.4313149999999997</v>
      </c>
      <c r="M12" s="2">
        <v>5.3175780000000001</v>
      </c>
      <c r="N12" s="2">
        <v>6.2038399999999996</v>
      </c>
      <c r="O12" s="2">
        <v>6.2801489999999998</v>
      </c>
      <c r="P12" s="2">
        <v>5.7732679999999998</v>
      </c>
      <c r="Q12" s="2">
        <v>5.3497050000000002</v>
      </c>
      <c r="R12" s="2">
        <v>4.948321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>
        <v>0.62918220000000002</v>
      </c>
      <c r="X12" s="2">
        <v>0.58412419999999998</v>
      </c>
      <c r="Y12" s="2">
        <v>0.5377284</v>
      </c>
      <c r="Z12" s="2">
        <v>0.5</v>
      </c>
      <c r="AA12" s="2" t="e">
        <v>#N/A</v>
      </c>
      <c r="AB12" s="2" t="e">
        <v>#N/A</v>
      </c>
      <c r="AC12" s="2" t="e">
        <v>#N/A</v>
      </c>
      <c r="AD12" s="2" t="e">
        <v>#N/A</v>
      </c>
      <c r="AE12" s="2" t="e">
        <v>#N/A</v>
      </c>
      <c r="AF12" s="2" t="e">
        <v>#N/A</v>
      </c>
      <c r="AG12" s="2" t="e">
        <v>#N/A</v>
      </c>
      <c r="AH12" s="2" t="e">
        <v>#N/A</v>
      </c>
      <c r="AI12" s="2" t="e">
        <v>#N/A</v>
      </c>
      <c r="AJ12" s="2" t="e">
        <v>#N/A</v>
      </c>
      <c r="AK12" s="3">
        <v>0.82504580000000005</v>
      </c>
      <c r="AL12" s="3">
        <v>0.75063219999999997</v>
      </c>
      <c r="AM12" s="2" t="e">
        <v>#N/A</v>
      </c>
      <c r="AN12" s="2" t="e">
        <v>#N/A</v>
      </c>
      <c r="AO12" s="2" t="e">
        <v>#N/A</v>
      </c>
      <c r="AP12" s="2" t="e">
        <v>#N/A</v>
      </c>
      <c r="AQ12" s="2" t="e">
        <v>#N/A</v>
      </c>
      <c r="AR12" s="2" t="e">
        <v>#N/A</v>
      </c>
      <c r="AS12" s="2" t="e">
        <v>#N/A</v>
      </c>
      <c r="AT12" s="2" t="e">
        <v>#N/A</v>
      </c>
      <c r="AU12" s="1" t="s">
        <v>5</v>
      </c>
      <c r="AV12" s="3">
        <v>1.3846149999999999</v>
      </c>
      <c r="AW12" s="3">
        <v>4.5999999999999996</v>
      </c>
      <c r="AX12" s="2">
        <v>35.893639999999998</v>
      </c>
      <c r="AY12" s="2">
        <v>10.11774</v>
      </c>
      <c r="AZ12" s="2">
        <v>7.0545410000000004</v>
      </c>
      <c r="BA12" s="2">
        <v>25.930060000000001</v>
      </c>
      <c r="BB12" s="2">
        <v>20.78501</v>
      </c>
      <c r="BC12" s="3">
        <v>2.3239999999999998</v>
      </c>
      <c r="BD12" s="2">
        <v>45.654049999999998</v>
      </c>
      <c r="BE12" s="3">
        <v>3.8725000000000001</v>
      </c>
      <c r="BF12" s="2">
        <v>-12.588760000000001</v>
      </c>
      <c r="BG12" s="2">
        <v>23.634329999999999</v>
      </c>
      <c r="BH12" s="2">
        <v>30.32142</v>
      </c>
      <c r="BI12" s="2">
        <v>32.058860000000003</v>
      </c>
      <c r="BJ12" s="2">
        <v>35.686770000000003</v>
      </c>
      <c r="BK12" s="2">
        <v>25</v>
      </c>
      <c r="BL12" s="2">
        <v>15</v>
      </c>
      <c r="BM12" s="4">
        <v>26</v>
      </c>
      <c r="BN12" s="4">
        <v>1</v>
      </c>
      <c r="BO12" s="4">
        <v>2</v>
      </c>
      <c r="BP12" s="4">
        <v>24</v>
      </c>
      <c r="BQ12" s="2">
        <v>3.7037040000000001</v>
      </c>
      <c r="BR12" s="4">
        <v>17</v>
      </c>
      <c r="BS12" s="4">
        <v>1</v>
      </c>
      <c r="BT12" s="4">
        <v>26</v>
      </c>
      <c r="BU12" s="2">
        <v>65.384609999999995</v>
      </c>
      <c r="BV12" s="2">
        <v>11.8104</v>
      </c>
      <c r="BW12" s="2">
        <v>16454</v>
      </c>
      <c r="BX12" s="3">
        <v>47.800069999999998</v>
      </c>
      <c r="BY12" s="3">
        <v>0.29050740000000003</v>
      </c>
      <c r="BZ12" s="2">
        <v>1.70655</v>
      </c>
      <c r="CA12" s="3">
        <v>0.29050740000000003</v>
      </c>
      <c r="CB12" s="3">
        <v>0.56664749999999997</v>
      </c>
      <c r="CC12" s="3">
        <v>0.58158319999999997</v>
      </c>
      <c r="CD12" s="2">
        <v>2.6358009999999998</v>
      </c>
      <c r="CE12" s="3">
        <v>30601.23</v>
      </c>
      <c r="CF12" s="3">
        <v>32310.62</v>
      </c>
      <c r="CG12" s="2">
        <v>5.5860279999999998</v>
      </c>
      <c r="CH12" s="3">
        <v>4.6456520000000001</v>
      </c>
      <c r="CI12" s="2">
        <v>-0.98268990000000001</v>
      </c>
      <c r="CJ12" s="3">
        <v>55727.58</v>
      </c>
      <c r="CK12" s="3">
        <v>55788.160000000003</v>
      </c>
      <c r="CL12" s="2">
        <v>0.108707</v>
      </c>
      <c r="CM12" s="3">
        <v>3.0787499999999999</v>
      </c>
      <c r="CN12" s="3">
        <v>3.2001559999999998</v>
      </c>
      <c r="CO12" s="3">
        <v>3.1939609999999998</v>
      </c>
      <c r="CP12" s="2">
        <v>9.9472159999999992</v>
      </c>
      <c r="CQ12" s="2">
        <v>5.7760829999999999</v>
      </c>
      <c r="CR12" s="2">
        <v>5.981255</v>
      </c>
      <c r="CS12" s="2">
        <v>3.9433600000000002</v>
      </c>
      <c r="CT12" s="2">
        <v>143.45840000000001</v>
      </c>
      <c r="CU12" s="3">
        <v>0.25757039999999998</v>
      </c>
      <c r="CV12" s="2">
        <v>7.3406450000000003</v>
      </c>
      <c r="CW12" s="2">
        <v>1.5245569999999999</v>
      </c>
      <c r="CX12" s="2">
        <v>2.0341490000000002</v>
      </c>
      <c r="CY12" s="2">
        <v>14.131309999999999</v>
      </c>
    </row>
    <row r="13" spans="1:103" ht="15" customHeight="1" x14ac:dyDescent="0.2">
      <c r="A13" s="1">
        <f t="shared" si="0"/>
        <v>7</v>
      </c>
      <c r="B13" s="1" t="s">
        <v>24</v>
      </c>
      <c r="C13" s="1" t="s">
        <v>23</v>
      </c>
      <c r="D13" s="1" t="s">
        <v>15</v>
      </c>
      <c r="E13" s="1" t="s">
        <v>25</v>
      </c>
      <c r="F13" s="2">
        <v>28410.57</v>
      </c>
      <c r="G13" s="2">
        <v>50.298999999999999</v>
      </c>
      <c r="H13" s="2">
        <v>14290.24</v>
      </c>
      <c r="I13" s="3">
        <v>3.7869999999999999</v>
      </c>
      <c r="J13" s="3">
        <v>0</v>
      </c>
      <c r="K13" s="2">
        <v>6.0734089999999998</v>
      </c>
      <c r="L13" s="2">
        <v>7.9218380000000002</v>
      </c>
      <c r="M13" s="2">
        <v>8.1440459999999995</v>
      </c>
      <c r="N13" s="2">
        <v>8.7140229999999992</v>
      </c>
      <c r="O13" s="2">
        <v>10.235139999999999</v>
      </c>
      <c r="P13" s="2">
        <v>7.3805829999999997</v>
      </c>
      <c r="Q13" s="2">
        <v>7.197616</v>
      </c>
      <c r="R13" s="2">
        <v>6.9887410000000001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>
        <v>0.82866510000000004</v>
      </c>
      <c r="X13" s="2">
        <v>0.81411</v>
      </c>
      <c r="Y13" s="2">
        <v>0.78739510000000001</v>
      </c>
      <c r="Z13" s="2">
        <v>0.7549517</v>
      </c>
      <c r="AA13" s="2" t="e">
        <v>#N/A</v>
      </c>
      <c r="AB13" s="2" t="e">
        <v>#N/A</v>
      </c>
      <c r="AC13" s="2" t="e">
        <v>#N/A</v>
      </c>
      <c r="AD13" s="2" t="e">
        <v>#N/A</v>
      </c>
      <c r="AE13" s="2" t="e">
        <v>#N/A</v>
      </c>
      <c r="AF13" s="2" t="e">
        <v>#N/A</v>
      </c>
      <c r="AG13" s="2" t="e">
        <v>#N/A</v>
      </c>
      <c r="AH13" s="2" t="e">
        <v>#N/A</v>
      </c>
      <c r="AI13" s="2" t="e">
        <v>#N/A</v>
      </c>
      <c r="AJ13" s="2" t="e">
        <v>#N/A</v>
      </c>
      <c r="AK13" s="3">
        <v>0.50327060000000001</v>
      </c>
      <c r="AL13" s="3">
        <v>0.49609950000000003</v>
      </c>
      <c r="AM13" s="2" t="e">
        <v>#N/A</v>
      </c>
      <c r="AN13" s="2" t="e">
        <v>#N/A</v>
      </c>
      <c r="AO13" s="2" t="e">
        <v>#N/A</v>
      </c>
      <c r="AP13" s="2" t="e">
        <v>#N/A</v>
      </c>
      <c r="AQ13" s="2" t="e">
        <v>#N/A</v>
      </c>
      <c r="AR13" s="2" t="e">
        <v>#N/A</v>
      </c>
      <c r="AS13" s="2" t="e">
        <v>#N/A</v>
      </c>
      <c r="AT13" s="2" t="e">
        <v>#N/A</v>
      </c>
      <c r="AU13" s="1" t="s">
        <v>5</v>
      </c>
      <c r="AV13" s="3">
        <v>1.3653850000000001</v>
      </c>
      <c r="AW13" s="3">
        <v>4.75</v>
      </c>
      <c r="AX13" s="2">
        <v>25.429110000000001</v>
      </c>
      <c r="AY13" s="2">
        <v>11.030430000000001</v>
      </c>
      <c r="AZ13" s="2">
        <v>14.55641</v>
      </c>
      <c r="BA13" s="2">
        <v>14.16943</v>
      </c>
      <c r="BB13" s="2">
        <v>3.1318069999999998</v>
      </c>
      <c r="BC13" s="3">
        <v>2.6360000000000001</v>
      </c>
      <c r="BD13" s="2">
        <v>43.664650000000002</v>
      </c>
      <c r="BE13" s="3">
        <v>4.1970000000000001</v>
      </c>
      <c r="BF13" s="2">
        <v>-9.7688860000000002</v>
      </c>
      <c r="BG13" s="2">
        <v>62.026249999999997</v>
      </c>
      <c r="BH13" s="2">
        <v>58.387030000000003</v>
      </c>
      <c r="BI13" s="2">
        <v>59.678820000000002</v>
      </c>
      <c r="BJ13" s="2">
        <v>59.26979</v>
      </c>
      <c r="BK13" s="2">
        <v>24</v>
      </c>
      <c r="BL13" s="2">
        <v>15</v>
      </c>
      <c r="BM13" s="4">
        <v>26</v>
      </c>
      <c r="BN13" s="4">
        <v>4</v>
      </c>
      <c r="BO13" s="4">
        <v>2</v>
      </c>
      <c r="BP13" s="4">
        <v>21</v>
      </c>
      <c r="BQ13" s="2">
        <v>14.81481</v>
      </c>
      <c r="BR13" s="4">
        <v>19</v>
      </c>
      <c r="BS13" s="4">
        <v>1</v>
      </c>
      <c r="BT13" s="4">
        <v>26</v>
      </c>
      <c r="BU13" s="2">
        <v>73.076920000000001</v>
      </c>
      <c r="BV13" s="2">
        <v>9.6638400000000004</v>
      </c>
      <c r="BW13" s="2">
        <v>7502.1319999999996</v>
      </c>
      <c r="BX13" s="3">
        <v>14.21364</v>
      </c>
      <c r="BY13" s="3">
        <v>0.1894614</v>
      </c>
      <c r="BZ13" s="2">
        <v>1.0919000000000001</v>
      </c>
      <c r="CA13" s="3">
        <v>0.1894614</v>
      </c>
      <c r="CB13" s="3">
        <v>0.4683081</v>
      </c>
      <c r="CC13" s="3">
        <v>0.51705290000000004</v>
      </c>
      <c r="CD13" s="2">
        <v>10.408709999999999</v>
      </c>
      <c r="CE13" s="3">
        <v>6682.317</v>
      </c>
      <c r="CF13" s="3">
        <v>7046.9859999999999</v>
      </c>
      <c r="CG13" s="2">
        <v>5.4572219999999998</v>
      </c>
      <c r="CH13" s="3">
        <v>4.6268180000000001</v>
      </c>
      <c r="CI13" s="2">
        <v>2.6623489999999999</v>
      </c>
      <c r="CJ13" s="3">
        <v>13151.22</v>
      </c>
      <c r="CK13" s="3">
        <v>13021.22</v>
      </c>
      <c r="CL13" s="2">
        <v>-0.98850130000000003</v>
      </c>
      <c r="CM13" s="3">
        <v>3.6081989999999999</v>
      </c>
      <c r="CN13" s="3">
        <v>3.5230000000000001</v>
      </c>
      <c r="CO13" s="3">
        <v>3.6495769999999998</v>
      </c>
      <c r="CP13" s="2">
        <v>4.9553989999999999</v>
      </c>
      <c r="CQ13" s="2">
        <v>7.4936150000000001</v>
      </c>
      <c r="CR13" s="2">
        <v>3.7654640000000001</v>
      </c>
      <c r="CS13" s="2">
        <v>-2.361262</v>
      </c>
      <c r="CT13" s="2">
        <v>51.512039999999999</v>
      </c>
      <c r="CU13" s="3">
        <v>0.1813129</v>
      </c>
      <c r="CV13" s="2">
        <v>7.8138110000000003</v>
      </c>
      <c r="CW13" s="2">
        <v>14.213329999999999</v>
      </c>
      <c r="CX13" s="2">
        <v>14.400639999999999</v>
      </c>
      <c r="CY13" s="2">
        <v>14.66667</v>
      </c>
    </row>
    <row r="14" spans="1:103" ht="15" customHeight="1" x14ac:dyDescent="0.2">
      <c r="A14" s="1">
        <f t="shared" si="0"/>
        <v>8</v>
      </c>
      <c r="B14" s="1" t="s">
        <v>27</v>
      </c>
      <c r="C14" s="1" t="s">
        <v>26</v>
      </c>
      <c r="D14" s="1" t="s">
        <v>28</v>
      </c>
      <c r="E14" s="1" t="s">
        <v>29</v>
      </c>
      <c r="F14" s="2">
        <v>2085.44</v>
      </c>
      <c r="G14" s="2">
        <v>59.086799999999997</v>
      </c>
      <c r="H14" s="2">
        <v>1232.22</v>
      </c>
      <c r="I14" s="3">
        <v>3.1280000000000001</v>
      </c>
      <c r="J14" s="3">
        <v>0</v>
      </c>
      <c r="K14" s="2">
        <v>3.6764709999999998</v>
      </c>
      <c r="L14" s="2">
        <v>4.2488169999999998</v>
      </c>
      <c r="M14" s="2">
        <v>4.4757030000000002</v>
      </c>
      <c r="N14" s="2">
        <v>4.6688460000000003</v>
      </c>
      <c r="O14" s="2">
        <v>18.399999999999999</v>
      </c>
      <c r="P14" s="2">
        <v>13.654529999999999</v>
      </c>
      <c r="Q14" s="2">
        <v>13.198309999999999</v>
      </c>
      <c r="R14" s="2">
        <v>12.03077</v>
      </c>
      <c r="S14" s="2">
        <v>6.1178530000000002</v>
      </c>
      <c r="T14" s="2">
        <v>6.9551509999999999</v>
      </c>
      <c r="U14" s="2">
        <v>7.0265639999999996</v>
      </c>
      <c r="V14" s="2">
        <v>6.7374710000000002</v>
      </c>
      <c r="W14" s="2">
        <v>3.792154</v>
      </c>
      <c r="X14" s="2">
        <v>2.7711860000000001</v>
      </c>
      <c r="Y14" s="2">
        <v>2.2746140000000001</v>
      </c>
      <c r="Z14" s="2">
        <v>1.616538</v>
      </c>
      <c r="AA14" s="2">
        <v>15.92318</v>
      </c>
      <c r="AB14" s="2">
        <v>10.97063</v>
      </c>
      <c r="AC14" s="2">
        <v>11.62842</v>
      </c>
      <c r="AD14" s="2">
        <v>4.4922300000000002</v>
      </c>
      <c r="AE14" s="2">
        <v>1.018834</v>
      </c>
      <c r="AF14" s="2">
        <v>0.34439829999999999</v>
      </c>
      <c r="AG14" s="2">
        <v>1.391991</v>
      </c>
      <c r="AH14" s="2">
        <v>4.9677759999999997</v>
      </c>
      <c r="AI14" s="2">
        <v>1.7358450000000001</v>
      </c>
      <c r="AJ14" s="2">
        <v>7.0488720000000002</v>
      </c>
      <c r="AK14" s="3" t="e">
        <v>#N/A</v>
      </c>
      <c r="AL14" s="3" t="e">
        <v>#N/A</v>
      </c>
      <c r="AM14" s="2">
        <v>25.666440000000001</v>
      </c>
      <c r="AN14" s="2">
        <v>25.665279999999999</v>
      </c>
      <c r="AO14" s="2">
        <v>26.156790000000001</v>
      </c>
      <c r="AP14" s="2">
        <v>26.450240000000001</v>
      </c>
      <c r="AQ14" s="2">
        <v>4.9866840000000003</v>
      </c>
      <c r="AR14" s="2">
        <v>5.5287290000000002</v>
      </c>
      <c r="AS14" s="2">
        <v>5.632466</v>
      </c>
      <c r="AT14" s="2">
        <v>5.4069739999999999</v>
      </c>
      <c r="AU14" s="1" t="s">
        <v>5</v>
      </c>
      <c r="AV14" s="3">
        <v>1.0909089999999999</v>
      </c>
      <c r="AW14" s="3">
        <v>3.7</v>
      </c>
      <c r="AX14" s="2">
        <v>18.286439999999999</v>
      </c>
      <c r="AY14" s="2">
        <v>20.294989999999999</v>
      </c>
      <c r="AZ14" s="2" t="e">
        <v>#N/A</v>
      </c>
      <c r="BA14" s="2">
        <v>36.355719999999998</v>
      </c>
      <c r="BB14" s="2">
        <v>20.307700000000001</v>
      </c>
      <c r="BC14" s="3">
        <v>2.0499999999999998</v>
      </c>
      <c r="BD14" s="2">
        <v>52.585380000000001</v>
      </c>
      <c r="BE14" s="3">
        <v>3.1619999999999999</v>
      </c>
      <c r="BF14" s="2">
        <v>-1.0752679999999999</v>
      </c>
      <c r="BG14" s="2">
        <v>69.655519999999996</v>
      </c>
      <c r="BH14" s="2">
        <v>50.815750000000001</v>
      </c>
      <c r="BI14" s="2">
        <v>55.991129999999998</v>
      </c>
      <c r="BJ14" s="2">
        <v>53.867739999999998</v>
      </c>
      <c r="BK14" s="2">
        <v>10</v>
      </c>
      <c r="BL14" s="2">
        <v>9</v>
      </c>
      <c r="BM14" s="4">
        <v>11</v>
      </c>
      <c r="BN14" s="4">
        <v>1</v>
      </c>
      <c r="BO14" s="4">
        <v>0</v>
      </c>
      <c r="BP14" s="4">
        <v>10</v>
      </c>
      <c r="BQ14" s="2">
        <v>9.0909089999999999</v>
      </c>
      <c r="BR14" s="4">
        <v>10</v>
      </c>
      <c r="BS14" s="4">
        <v>0</v>
      </c>
      <c r="BT14" s="4">
        <v>11</v>
      </c>
      <c r="BU14" s="2">
        <v>90.909099999999995</v>
      </c>
      <c r="BV14" s="2">
        <v>10.015499999999999</v>
      </c>
      <c r="BW14" s="2">
        <v>666.70079999999996</v>
      </c>
      <c r="BX14" s="3">
        <v>2.2862089999999999</v>
      </c>
      <c r="BY14" s="3">
        <v>0.34291379999999999</v>
      </c>
      <c r="BZ14" s="2">
        <v>1.3618399999999999</v>
      </c>
      <c r="CA14" s="3">
        <v>0.34291379999999999</v>
      </c>
      <c r="CB14" s="3">
        <v>0.23287620000000001</v>
      </c>
      <c r="CC14" s="3">
        <v>0.24849099999999999</v>
      </c>
      <c r="CD14" s="2">
        <v>6.7051769999999999</v>
      </c>
      <c r="CE14" s="3">
        <v>1093.076</v>
      </c>
      <c r="CF14" s="3">
        <v>1178.087</v>
      </c>
      <c r="CG14" s="2">
        <v>7.7772259999999998</v>
      </c>
      <c r="CH14" s="3">
        <v>3.5562499999999999</v>
      </c>
      <c r="CI14" s="2">
        <v>4.0421719999999999</v>
      </c>
      <c r="CJ14" s="3">
        <v>5618.9859999999999</v>
      </c>
      <c r="CK14" s="3">
        <v>5553.0860000000002</v>
      </c>
      <c r="CL14" s="2">
        <v>-1.1728050000000001</v>
      </c>
      <c r="CM14" s="3">
        <v>2.7586469999999998</v>
      </c>
      <c r="CN14" s="3">
        <v>2.9853329999999998</v>
      </c>
      <c r="CO14" s="3">
        <v>3.0035379999999998</v>
      </c>
      <c r="CP14" s="2">
        <v>13.388909999999999</v>
      </c>
      <c r="CQ14" s="2">
        <v>4.7789219999999997</v>
      </c>
      <c r="CR14" s="2">
        <v>4.1438459999999999</v>
      </c>
      <c r="CS14" s="2">
        <v>8.2172870000000007</v>
      </c>
      <c r="CT14" s="2">
        <v>6.4221219999999999</v>
      </c>
      <c r="CU14" s="3">
        <v>0.30795040000000001</v>
      </c>
      <c r="CV14" s="2" t="e">
        <v>#N/A</v>
      </c>
      <c r="CW14" s="2" t="e">
        <v>#N/A</v>
      </c>
      <c r="CX14" s="2" t="e">
        <v>#N/A</v>
      </c>
      <c r="CY14" s="2">
        <v>14.92929</v>
      </c>
    </row>
    <row r="15" spans="1:103" ht="15" customHeight="1" x14ac:dyDescent="0.2">
      <c r="A15" s="1">
        <f t="shared" si="0"/>
        <v>9</v>
      </c>
      <c r="B15" s="1" t="s">
        <v>31</v>
      </c>
      <c r="C15" s="1" t="s">
        <v>30</v>
      </c>
      <c r="D15" s="1" t="s">
        <v>32</v>
      </c>
      <c r="E15" s="1" t="s">
        <v>33</v>
      </c>
      <c r="F15" s="2">
        <v>26132.53</v>
      </c>
      <c r="G15" s="2">
        <v>77.506</v>
      </c>
      <c r="H15" s="2">
        <v>20254.27</v>
      </c>
      <c r="I15" s="3">
        <v>36.99</v>
      </c>
      <c r="J15" s="3">
        <v>0</v>
      </c>
      <c r="K15" s="2">
        <v>0.13517170000000001</v>
      </c>
      <c r="L15" s="2">
        <v>0.16220599999999999</v>
      </c>
      <c r="M15" s="2">
        <v>0.16220599999999999</v>
      </c>
      <c r="N15" s="2">
        <v>0.1892403</v>
      </c>
      <c r="O15" s="2" t="e">
        <v>#N/A</v>
      </c>
      <c r="P15" s="2" t="e">
        <v>#N/A</v>
      </c>
      <c r="Q15" s="2" t="e">
        <v>#N/A</v>
      </c>
      <c r="R15" s="2">
        <v>462.375</v>
      </c>
      <c r="S15" s="2">
        <v>15.848750000000001</v>
      </c>
      <c r="T15" s="2">
        <v>15.12147</v>
      </c>
      <c r="U15" s="2">
        <v>13.956289999999999</v>
      </c>
      <c r="V15" s="2">
        <v>12.881259999999999</v>
      </c>
      <c r="W15" s="2">
        <v>1.837556</v>
      </c>
      <c r="X15" s="2">
        <v>1.863016</v>
      </c>
      <c r="Y15" s="2">
        <v>1.8824719999999999</v>
      </c>
      <c r="Z15" s="2">
        <v>1.91658</v>
      </c>
      <c r="AA15" s="2">
        <v>13.47045</v>
      </c>
      <c r="AB15" s="2">
        <v>14.86326</v>
      </c>
      <c r="AC15" s="2">
        <v>13.64945</v>
      </c>
      <c r="AD15" s="2">
        <v>12.33</v>
      </c>
      <c r="AE15" s="2">
        <v>0.9659797</v>
      </c>
      <c r="AF15" s="2">
        <v>1.5229649999999999</v>
      </c>
      <c r="AG15" s="2">
        <v>2.3298709999999998</v>
      </c>
      <c r="AH15" s="2">
        <v>1.6888970000000001</v>
      </c>
      <c r="AI15" s="2">
        <v>2.6334309999999999</v>
      </c>
      <c r="AJ15" s="2">
        <v>3.9506380000000001</v>
      </c>
      <c r="AK15" s="3" t="e">
        <v>#N/A</v>
      </c>
      <c r="AL15" s="3" t="e">
        <v>#N/A</v>
      </c>
      <c r="AM15" s="2">
        <v>75.164330000000007</v>
      </c>
      <c r="AN15" s="2">
        <v>73.115549999999999</v>
      </c>
      <c r="AO15" s="2">
        <v>75.438479999999998</v>
      </c>
      <c r="AP15" s="2">
        <v>77.369010000000003</v>
      </c>
      <c r="AQ15" s="2">
        <v>7.5429659999999998</v>
      </c>
      <c r="AR15" s="2">
        <v>6.4726129999999999</v>
      </c>
      <c r="AS15" s="2">
        <v>5.8850959999999999</v>
      </c>
      <c r="AT15" s="2">
        <v>5.2845930000000001</v>
      </c>
      <c r="AU15" s="1" t="s">
        <v>5</v>
      </c>
      <c r="AV15" s="3">
        <v>1.285714</v>
      </c>
      <c r="AW15" s="3">
        <v>47.5</v>
      </c>
      <c r="AX15" s="2">
        <v>28.413080000000001</v>
      </c>
      <c r="AY15" s="2">
        <v>-1.435414</v>
      </c>
      <c r="AZ15" s="2" t="e">
        <v>#N/A</v>
      </c>
      <c r="BA15" s="2">
        <v>-0.1080155</v>
      </c>
      <c r="BB15" s="2">
        <v>19.631309999999999</v>
      </c>
      <c r="BC15" s="3">
        <v>28.02</v>
      </c>
      <c r="BD15" s="2">
        <v>32.012860000000003</v>
      </c>
      <c r="BE15" s="3">
        <v>44.9</v>
      </c>
      <c r="BF15" s="2">
        <v>-17.61693</v>
      </c>
      <c r="BG15" s="2" t="e">
        <v>#N/A</v>
      </c>
      <c r="BH15" s="2" t="e">
        <v>#N/A</v>
      </c>
      <c r="BI15" s="2" t="e">
        <v>#N/A</v>
      </c>
      <c r="BJ15" s="2">
        <v>268.7713</v>
      </c>
      <c r="BK15" s="2">
        <v>24</v>
      </c>
      <c r="BL15" s="2">
        <v>20</v>
      </c>
      <c r="BM15" s="4">
        <v>28</v>
      </c>
      <c r="BN15" s="4">
        <v>0</v>
      </c>
      <c r="BO15" s="4">
        <v>1</v>
      </c>
      <c r="BP15" s="4">
        <v>28</v>
      </c>
      <c r="BQ15" s="2">
        <v>0</v>
      </c>
      <c r="BR15" s="4">
        <v>21</v>
      </c>
      <c r="BS15" s="4">
        <v>0</v>
      </c>
      <c r="BT15" s="4">
        <v>28</v>
      </c>
      <c r="BU15" s="2">
        <v>75</v>
      </c>
      <c r="BV15" s="2">
        <v>8.1544699999999999</v>
      </c>
      <c r="BW15" s="2">
        <v>706.47540000000004</v>
      </c>
      <c r="BX15" s="3">
        <v>1.4151720000000001</v>
      </c>
      <c r="BY15" s="3">
        <v>0.2003144</v>
      </c>
      <c r="BZ15" s="2">
        <v>0.29335800000000001</v>
      </c>
      <c r="CA15" s="3">
        <v>0.2003144</v>
      </c>
      <c r="CB15" s="3">
        <v>-0.2287324</v>
      </c>
      <c r="CC15" s="3">
        <v>-0.29119640000000002</v>
      </c>
      <c r="CD15" s="2">
        <v>27.308810000000001</v>
      </c>
      <c r="CE15" s="3">
        <v>462.11790000000002</v>
      </c>
      <c r="CF15" s="3">
        <v>424.44909999999999</v>
      </c>
      <c r="CG15" s="2">
        <v>-8.1513460000000002</v>
      </c>
      <c r="CH15" s="3">
        <v>49.901049999999998</v>
      </c>
      <c r="CI15" s="2">
        <v>-4.8116149999999998</v>
      </c>
      <c r="CJ15" s="3">
        <v>4031.2919999999999</v>
      </c>
      <c r="CK15" s="3">
        <v>4129.5259999999998</v>
      </c>
      <c r="CL15" s="2">
        <v>2.4368050000000001</v>
      </c>
      <c r="CM15" s="3">
        <v>34.88776</v>
      </c>
      <c r="CN15" s="3">
        <v>37.421959999999999</v>
      </c>
      <c r="CO15" s="3">
        <v>36.947299999999998</v>
      </c>
      <c r="CP15" s="2">
        <v>6.0257199999999997</v>
      </c>
      <c r="CQ15" s="2">
        <v>-1.154298</v>
      </c>
      <c r="CR15" s="2">
        <v>0.1155615</v>
      </c>
      <c r="CS15" s="2">
        <v>7.2638629999999997</v>
      </c>
      <c r="CT15" s="2">
        <v>43.857399999999998</v>
      </c>
      <c r="CU15" s="3">
        <v>0.1678269</v>
      </c>
      <c r="CV15" s="2">
        <v>0</v>
      </c>
      <c r="CW15" s="2">
        <v>0.36426619999999998</v>
      </c>
      <c r="CX15" s="2">
        <v>-8.7807910000000007</v>
      </c>
      <c r="CY15" s="2">
        <v>14.9596</v>
      </c>
    </row>
    <row r="16" spans="1:103" ht="15" customHeight="1" x14ac:dyDescent="0.2">
      <c r="A16" s="1">
        <f t="shared" si="0"/>
        <v>10</v>
      </c>
      <c r="B16" s="1" t="s">
        <v>35</v>
      </c>
      <c r="C16" s="1" t="s">
        <v>34</v>
      </c>
      <c r="D16" s="1" t="s">
        <v>36</v>
      </c>
      <c r="E16" s="1" t="s">
        <v>37</v>
      </c>
      <c r="F16" s="2">
        <v>2525.56</v>
      </c>
      <c r="G16" s="2">
        <v>68.587000000000003</v>
      </c>
      <c r="H16" s="2">
        <v>1732.2059999999999</v>
      </c>
      <c r="I16" s="3">
        <v>9.7240000000000002</v>
      </c>
      <c r="J16" s="3">
        <v>0</v>
      </c>
      <c r="K16" s="2">
        <v>6.1703000000000001</v>
      </c>
      <c r="L16" s="2">
        <v>6.1703000000000001</v>
      </c>
      <c r="M16" s="2">
        <v>6.1703000000000001</v>
      </c>
      <c r="N16" s="2">
        <v>6.1703000000000001</v>
      </c>
      <c r="O16" s="2">
        <v>4.5439249999999998</v>
      </c>
      <c r="P16" s="2">
        <v>5.8933330000000002</v>
      </c>
      <c r="Q16" s="2">
        <v>6.9878109999999998</v>
      </c>
      <c r="R16" s="2">
        <v>7.036022</v>
      </c>
      <c r="S16" s="2">
        <v>2.225997</v>
      </c>
      <c r="T16" s="2">
        <v>3.58324</v>
      </c>
      <c r="U16" s="2">
        <v>3.5725639999999999</v>
      </c>
      <c r="V16" s="2">
        <v>3.5325150000000001</v>
      </c>
      <c r="W16" s="2">
        <v>1.020357</v>
      </c>
      <c r="X16" s="2">
        <v>0.92874109999999999</v>
      </c>
      <c r="Y16" s="2">
        <v>0.86358789999999996</v>
      </c>
      <c r="Z16" s="2">
        <v>0.81851850000000004</v>
      </c>
      <c r="AA16" s="2">
        <v>2.6106479999999999</v>
      </c>
      <c r="AB16" s="2">
        <v>3.9529899999999998</v>
      </c>
      <c r="AC16" s="2">
        <v>4.8457140000000001</v>
      </c>
      <c r="AD16" s="2">
        <v>3.8133339999999998</v>
      </c>
      <c r="AE16" s="2">
        <v>16.852340000000002</v>
      </c>
      <c r="AF16" s="2">
        <v>18.793759999999999</v>
      </c>
      <c r="AG16" s="2">
        <v>15.96292</v>
      </c>
      <c r="AH16" s="2">
        <v>18.719190000000001</v>
      </c>
      <c r="AI16" s="2">
        <v>18.715820000000001</v>
      </c>
      <c r="AJ16" s="2">
        <v>15.206569999999999</v>
      </c>
      <c r="AK16" s="3" t="e">
        <v>#N/A</v>
      </c>
      <c r="AL16" s="3" t="e">
        <v>#N/A</v>
      </c>
      <c r="AM16" s="2">
        <v>14.686920000000001</v>
      </c>
      <c r="AN16" s="2">
        <v>10.98504</v>
      </c>
      <c r="AO16" s="2">
        <v>9.8834759999999999</v>
      </c>
      <c r="AP16" s="2">
        <v>9.3927870000000002</v>
      </c>
      <c r="AQ16" s="2">
        <v>0.34482760000000001</v>
      </c>
      <c r="AR16" s="2">
        <v>0.3573537</v>
      </c>
      <c r="AS16" s="2">
        <v>-1.48778E-2</v>
      </c>
      <c r="AT16" s="2">
        <v>-0.17570189999999999</v>
      </c>
      <c r="AU16" s="1" t="s">
        <v>5</v>
      </c>
      <c r="AV16" s="3">
        <v>1.25</v>
      </c>
      <c r="AW16" s="3">
        <v>13.3</v>
      </c>
      <c r="AX16" s="2">
        <v>36.774990000000003</v>
      </c>
      <c r="AY16" s="2">
        <v>15.759180000000001</v>
      </c>
      <c r="AZ16" s="2">
        <v>-10.608090000000001</v>
      </c>
      <c r="BA16" s="2">
        <v>5.2836780000000001</v>
      </c>
      <c r="BB16" s="2">
        <v>5.2153229999999997</v>
      </c>
      <c r="BC16" s="3">
        <v>7.9379999999999997</v>
      </c>
      <c r="BD16" s="2">
        <v>22.499369999999999</v>
      </c>
      <c r="BE16" s="3">
        <v>10.45</v>
      </c>
      <c r="BF16" s="2">
        <v>-6.9473690000000001</v>
      </c>
      <c r="BG16" s="2">
        <v>29.293669999999999</v>
      </c>
      <c r="BH16" s="2">
        <v>36.154490000000003</v>
      </c>
      <c r="BI16" s="2">
        <v>42.904139999999998</v>
      </c>
      <c r="BJ16" s="2">
        <v>41.374229999999997</v>
      </c>
      <c r="BK16" s="2">
        <v>16</v>
      </c>
      <c r="BL16" s="2">
        <v>16</v>
      </c>
      <c r="BM16" s="4">
        <v>18</v>
      </c>
      <c r="BN16" s="4">
        <v>1</v>
      </c>
      <c r="BO16" s="4">
        <v>0</v>
      </c>
      <c r="BP16" s="4">
        <v>17</v>
      </c>
      <c r="BQ16" s="2">
        <v>5.5555560000000002</v>
      </c>
      <c r="BR16" s="4">
        <v>15</v>
      </c>
      <c r="BS16" s="4">
        <v>1</v>
      </c>
      <c r="BT16" s="4">
        <v>18</v>
      </c>
      <c r="BU16" s="2">
        <v>83.333330000000004</v>
      </c>
      <c r="BV16" s="2">
        <v>9.9363899999999994</v>
      </c>
      <c r="BW16" s="2">
        <v>259.7244</v>
      </c>
      <c r="BX16" s="3">
        <v>0.98746990000000001</v>
      </c>
      <c r="BY16" s="3">
        <v>0.38019920000000001</v>
      </c>
      <c r="BZ16" s="2">
        <v>1.27206</v>
      </c>
      <c r="CA16" s="3">
        <v>0.38019920000000001</v>
      </c>
      <c r="CB16" s="3">
        <v>1.221355</v>
      </c>
      <c r="CC16" s="3">
        <v>1.6366780000000001</v>
      </c>
      <c r="CD16" s="2">
        <v>34.00515</v>
      </c>
      <c r="CE16" s="3">
        <v>446.4873</v>
      </c>
      <c r="CF16" s="3">
        <v>586.88210000000004</v>
      </c>
      <c r="CG16" s="2">
        <v>31.444289999999999</v>
      </c>
      <c r="CH16" s="3">
        <v>12.73667</v>
      </c>
      <c r="CI16" s="2">
        <v>4.4229269999999996</v>
      </c>
      <c r="CJ16" s="3">
        <v>7280.3249999999998</v>
      </c>
      <c r="CK16" s="3">
        <v>7073.4480000000003</v>
      </c>
      <c r="CL16" s="2">
        <v>-2.8415919999999999</v>
      </c>
      <c r="CM16" s="3">
        <v>9.4824540000000006</v>
      </c>
      <c r="CN16" s="3">
        <v>9.8523350000000001</v>
      </c>
      <c r="CO16" s="3">
        <v>9.9653080000000003</v>
      </c>
      <c r="CP16" s="2">
        <v>2.547288</v>
      </c>
      <c r="CQ16" s="2">
        <v>-1.3025819999999999</v>
      </c>
      <c r="CR16" s="2">
        <v>-2.4214799999999999</v>
      </c>
      <c r="CS16" s="2">
        <v>3.9006829999999999</v>
      </c>
      <c r="CT16" s="2">
        <v>6.5964700000000001</v>
      </c>
      <c r="CU16" s="3">
        <v>0.26118839999999999</v>
      </c>
      <c r="CV16" s="2">
        <v>62.5</v>
      </c>
      <c r="CW16" s="2">
        <v>-0.64120440000000001</v>
      </c>
      <c r="CX16" s="2">
        <v>44.536209999999997</v>
      </c>
      <c r="CY16" s="2">
        <v>15.353540000000001</v>
      </c>
    </row>
    <row r="17" spans="1:103" ht="15" customHeight="1" x14ac:dyDescent="0.2">
      <c r="A17" s="1">
        <f t="shared" si="0"/>
        <v>11</v>
      </c>
      <c r="B17" s="1" t="s">
        <v>39</v>
      </c>
      <c r="C17" s="1" t="s">
        <v>38</v>
      </c>
      <c r="D17" s="1" t="s">
        <v>40</v>
      </c>
      <c r="E17" s="1" t="s">
        <v>41</v>
      </c>
      <c r="F17" s="2">
        <v>5002.7640000000001</v>
      </c>
      <c r="G17" s="2">
        <v>68.848100000000002</v>
      </c>
      <c r="H17" s="2">
        <v>3444.308</v>
      </c>
      <c r="I17" s="3">
        <v>11.74</v>
      </c>
      <c r="J17" s="3">
        <v>0</v>
      </c>
      <c r="K17" s="2">
        <v>0</v>
      </c>
      <c r="L17" s="2">
        <v>0</v>
      </c>
      <c r="M17" s="2">
        <v>0</v>
      </c>
      <c r="N17" s="2">
        <v>0.68527689999999997</v>
      </c>
      <c r="O17" s="2">
        <v>28.1587</v>
      </c>
      <c r="P17" s="2">
        <v>21.417929999999998</v>
      </c>
      <c r="Q17" s="2">
        <v>11.180949999999999</v>
      </c>
      <c r="R17" s="2">
        <v>8.8270669999999996</v>
      </c>
      <c r="S17" s="2">
        <v>13.50792</v>
      </c>
      <c r="T17" s="2">
        <v>11.51083</v>
      </c>
      <c r="U17" s="2">
        <v>8.5607279999999992</v>
      </c>
      <c r="V17" s="2">
        <v>7.1951400000000003</v>
      </c>
      <c r="W17" s="2">
        <v>1.3075540000000001</v>
      </c>
      <c r="X17" s="2">
        <v>1.259657</v>
      </c>
      <c r="Y17" s="2">
        <v>1.1555120000000001</v>
      </c>
      <c r="Z17" s="2">
        <v>1.0071429999999999</v>
      </c>
      <c r="AA17" s="2">
        <v>39.382060000000003</v>
      </c>
      <c r="AB17" s="2">
        <v>11.066649999999999</v>
      </c>
      <c r="AC17" s="2">
        <v>7.6233769999999996</v>
      </c>
      <c r="AD17" s="2">
        <v>6.9058820000000001</v>
      </c>
      <c r="AE17" s="2">
        <v>3.6225200000000002</v>
      </c>
      <c r="AF17" s="2">
        <v>5.7383870000000003</v>
      </c>
      <c r="AG17" s="2">
        <v>7.2261819999999997</v>
      </c>
      <c r="AH17" s="2">
        <v>10.512729999999999</v>
      </c>
      <c r="AI17" s="2">
        <v>15.93446</v>
      </c>
      <c r="AJ17" s="2">
        <v>19.145689999999998</v>
      </c>
      <c r="AK17" s="3">
        <v>0.59671099999999999</v>
      </c>
      <c r="AL17" s="3">
        <v>0.3087879</v>
      </c>
      <c r="AM17" s="2">
        <v>20.5641</v>
      </c>
      <c r="AN17" s="2">
        <v>21.95307</v>
      </c>
      <c r="AO17" s="2">
        <v>26.474920000000001</v>
      </c>
      <c r="AP17" s="2">
        <v>28.406939999999999</v>
      </c>
      <c r="AQ17" s="2">
        <v>8.1860470000000003</v>
      </c>
      <c r="AR17" s="2">
        <v>6.5624140000000004</v>
      </c>
      <c r="AS17" s="2">
        <v>4.7370099999999997</v>
      </c>
      <c r="AT17" s="2">
        <v>3.8486750000000001</v>
      </c>
      <c r="AU17" s="1" t="s">
        <v>5</v>
      </c>
      <c r="AV17" s="3">
        <v>1.3055559999999999</v>
      </c>
      <c r="AW17" s="3">
        <v>18.2</v>
      </c>
      <c r="AX17" s="2">
        <v>55.025570000000002</v>
      </c>
      <c r="AY17" s="2">
        <v>5.8813190000000004</v>
      </c>
      <c r="AZ17" s="2">
        <v>36.176789999999997</v>
      </c>
      <c r="BA17" s="2">
        <v>-34.904350000000001</v>
      </c>
      <c r="BB17" s="2">
        <v>9.0064890000000002</v>
      </c>
      <c r="BC17" s="3">
        <v>7.82</v>
      </c>
      <c r="BD17" s="2">
        <v>50.127879999999998</v>
      </c>
      <c r="BE17" s="3">
        <v>18.809999999999999</v>
      </c>
      <c r="BF17" s="2">
        <v>-37.586390000000002</v>
      </c>
      <c r="BG17" s="2">
        <v>0</v>
      </c>
      <c r="BH17" s="2">
        <v>3.9402080000000002</v>
      </c>
      <c r="BI17" s="2">
        <v>8.9715629999999997</v>
      </c>
      <c r="BJ17" s="2">
        <v>15.047510000000001</v>
      </c>
      <c r="BK17" s="2">
        <v>17</v>
      </c>
      <c r="BL17" s="2">
        <v>16</v>
      </c>
      <c r="BM17" s="4">
        <v>18</v>
      </c>
      <c r="BN17" s="4">
        <v>3</v>
      </c>
      <c r="BO17" s="4">
        <v>1</v>
      </c>
      <c r="BP17" s="4">
        <v>15</v>
      </c>
      <c r="BQ17" s="2">
        <v>15.78947</v>
      </c>
      <c r="BR17" s="4">
        <v>13</v>
      </c>
      <c r="BS17" s="4">
        <v>0</v>
      </c>
      <c r="BT17" s="4">
        <v>18</v>
      </c>
      <c r="BU17" s="2">
        <v>72.222219999999993</v>
      </c>
      <c r="BV17" s="2">
        <v>11.055999999999999</v>
      </c>
      <c r="BW17" s="2">
        <v>426.12979999999999</v>
      </c>
      <c r="BX17" s="3">
        <v>1.5741210000000001</v>
      </c>
      <c r="BY17" s="3">
        <v>0.36939929999999999</v>
      </c>
      <c r="BZ17" s="2">
        <v>0.61514999999999997</v>
      </c>
      <c r="CA17" s="3">
        <v>0.36939929999999999</v>
      </c>
      <c r="CB17" s="3">
        <v>0.65312789999999998</v>
      </c>
      <c r="CC17" s="3">
        <v>0.54384359999999998</v>
      </c>
      <c r="CD17" s="2">
        <v>-16.73245</v>
      </c>
      <c r="CE17" s="3">
        <v>1021.236</v>
      </c>
      <c r="CF17" s="3">
        <v>908.65830000000005</v>
      </c>
      <c r="CG17" s="2">
        <v>-11.02369</v>
      </c>
      <c r="CH17" s="3">
        <v>17.65765</v>
      </c>
      <c r="CI17" s="2">
        <v>3.0714990000000002</v>
      </c>
      <c r="CJ17" s="3">
        <v>6620.3779999999997</v>
      </c>
      <c r="CK17" s="3">
        <v>6595.5320000000002</v>
      </c>
      <c r="CL17" s="2">
        <v>-0.37530659999999999</v>
      </c>
      <c r="CM17" s="3">
        <v>10.568300000000001</v>
      </c>
      <c r="CN17" s="3">
        <v>10.85755</v>
      </c>
      <c r="CO17" s="3">
        <v>11.4575</v>
      </c>
      <c r="CP17" s="2">
        <v>11.08689</v>
      </c>
      <c r="CQ17" s="2">
        <v>8.1275220000000008</v>
      </c>
      <c r="CR17" s="2">
        <v>2.4656410000000002</v>
      </c>
      <c r="CS17" s="2">
        <v>2.736926</v>
      </c>
      <c r="CT17" s="2">
        <v>15.83611</v>
      </c>
      <c r="CU17" s="3">
        <v>0.31654719999999997</v>
      </c>
      <c r="CV17" s="2">
        <v>-72.413790000000006</v>
      </c>
      <c r="CW17" s="2">
        <v>0.61025240000000003</v>
      </c>
      <c r="CX17" s="2">
        <v>6.5734269999999997</v>
      </c>
      <c r="CY17" s="2">
        <v>15.63636</v>
      </c>
    </row>
    <row r="18" spans="1:103" ht="15" customHeight="1" x14ac:dyDescent="0.2">
      <c r="A18" s="1">
        <f t="shared" si="0"/>
        <v>12</v>
      </c>
      <c r="B18" s="1" t="s">
        <v>43</v>
      </c>
      <c r="C18" s="1" t="s">
        <v>42</v>
      </c>
      <c r="D18" s="1" t="s">
        <v>15</v>
      </c>
      <c r="E18" s="1" t="s">
        <v>16</v>
      </c>
      <c r="F18" s="2">
        <v>5930.82</v>
      </c>
      <c r="G18" s="2">
        <v>99.192499999999995</v>
      </c>
      <c r="H18" s="2">
        <v>5882.9290000000001</v>
      </c>
      <c r="I18" s="3">
        <v>1.054</v>
      </c>
      <c r="J18" s="3">
        <v>0</v>
      </c>
      <c r="K18" s="2">
        <v>3.7950659999999998</v>
      </c>
      <c r="L18" s="2">
        <v>7.5901319999999997</v>
      </c>
      <c r="M18" s="2">
        <v>7.5901319999999997</v>
      </c>
      <c r="N18" s="2">
        <v>9.2929510000000004</v>
      </c>
      <c r="O18" s="2">
        <v>7.5339900000000002</v>
      </c>
      <c r="P18" s="2">
        <v>5.9548030000000001</v>
      </c>
      <c r="Q18" s="2">
        <v>6.2</v>
      </c>
      <c r="R18" s="2">
        <v>5.4051280000000004</v>
      </c>
      <c r="S18" s="2" t="e">
        <v>#N/A</v>
      </c>
      <c r="T18" s="2" t="e">
        <v>#N/A</v>
      </c>
      <c r="U18" s="2" t="e">
        <v>#N/A</v>
      </c>
      <c r="V18" s="2" t="e">
        <v>#N/A</v>
      </c>
      <c r="W18" s="2">
        <v>0.44940010000000002</v>
      </c>
      <c r="X18" s="2">
        <v>0.42218850000000002</v>
      </c>
      <c r="Y18" s="2">
        <v>0.40563850000000001</v>
      </c>
      <c r="Z18" s="2">
        <v>0.3895943</v>
      </c>
      <c r="AA18" s="2" t="e">
        <v>#N/A</v>
      </c>
      <c r="AB18" s="2" t="e">
        <v>#N/A</v>
      </c>
      <c r="AC18" s="2" t="e">
        <v>#N/A</v>
      </c>
      <c r="AD18" s="2" t="e">
        <v>#N/A</v>
      </c>
      <c r="AE18" s="2" t="e">
        <v>#N/A</v>
      </c>
      <c r="AF18" s="2" t="e">
        <v>#N/A</v>
      </c>
      <c r="AG18" s="2" t="e">
        <v>#N/A</v>
      </c>
      <c r="AH18" s="2" t="e">
        <v>#N/A</v>
      </c>
      <c r="AI18" s="2" t="e">
        <v>#N/A</v>
      </c>
      <c r="AJ18" s="2" t="e">
        <v>#N/A</v>
      </c>
      <c r="AK18" s="3">
        <v>0.60167099999999996</v>
      </c>
      <c r="AL18" s="3">
        <v>0.61390690000000003</v>
      </c>
      <c r="AM18" s="2" t="e">
        <v>#N/A</v>
      </c>
      <c r="AN18" s="2" t="e">
        <v>#N/A</v>
      </c>
      <c r="AO18" s="2" t="e">
        <v>#N/A</v>
      </c>
      <c r="AP18" s="2" t="e">
        <v>#N/A</v>
      </c>
      <c r="AQ18" s="2" t="e">
        <v>#N/A</v>
      </c>
      <c r="AR18" s="2" t="e">
        <v>#N/A</v>
      </c>
      <c r="AS18" s="2" t="e">
        <v>#N/A</v>
      </c>
      <c r="AT18" s="2" t="e">
        <v>#N/A</v>
      </c>
      <c r="AU18" s="1" t="s">
        <v>5</v>
      </c>
      <c r="AV18" s="3">
        <v>1.5</v>
      </c>
      <c r="AW18" s="3">
        <v>1.29</v>
      </c>
      <c r="AX18" s="2">
        <v>22.390889999999999</v>
      </c>
      <c r="AY18" s="2">
        <v>7.0898810000000001</v>
      </c>
      <c r="AZ18" s="2">
        <v>10.0253</v>
      </c>
      <c r="BA18" s="2">
        <v>38.574809999999999</v>
      </c>
      <c r="BB18" s="2">
        <v>19.66394</v>
      </c>
      <c r="BC18" s="3">
        <v>0.57499999999999996</v>
      </c>
      <c r="BD18" s="2">
        <v>83.304360000000003</v>
      </c>
      <c r="BE18" s="3">
        <v>1.3340000000000001</v>
      </c>
      <c r="BF18" s="2">
        <v>-20.9895</v>
      </c>
      <c r="BG18" s="2">
        <v>29.02468</v>
      </c>
      <c r="BH18" s="2">
        <v>45.478819999999999</v>
      </c>
      <c r="BI18" s="2">
        <v>45.313569999999999</v>
      </c>
      <c r="BJ18" s="2">
        <v>47.655920000000002</v>
      </c>
      <c r="BK18" s="2">
        <v>21</v>
      </c>
      <c r="BL18" s="2">
        <v>13</v>
      </c>
      <c r="BM18" s="4">
        <v>23</v>
      </c>
      <c r="BN18" s="4">
        <v>1</v>
      </c>
      <c r="BO18" s="4">
        <v>1</v>
      </c>
      <c r="BP18" s="4">
        <v>21</v>
      </c>
      <c r="BQ18" s="2">
        <v>4.3478260000000004</v>
      </c>
      <c r="BR18" s="4">
        <v>13</v>
      </c>
      <c r="BS18" s="4">
        <v>2</v>
      </c>
      <c r="BT18" s="4">
        <v>23</v>
      </c>
      <c r="BU18" s="2">
        <v>56.521740000000001</v>
      </c>
      <c r="BV18" s="2">
        <v>12.746700000000001</v>
      </c>
      <c r="BW18" s="2">
        <v>5626.9639999999999</v>
      </c>
      <c r="BX18" s="3">
        <v>32.947710000000001</v>
      </c>
      <c r="BY18" s="3">
        <v>0.58553259999999996</v>
      </c>
      <c r="BZ18" s="2">
        <v>1.3307599999999999</v>
      </c>
      <c r="CA18" s="3">
        <v>0.58553259999999996</v>
      </c>
      <c r="CB18" s="3">
        <v>0.16173650000000001</v>
      </c>
      <c r="CC18" s="3">
        <v>0.17473659999999999</v>
      </c>
      <c r="CD18" s="2">
        <v>8.037865</v>
      </c>
      <c r="CE18" s="3">
        <v>2585.2539999999999</v>
      </c>
      <c r="CF18" s="3">
        <v>2634.61</v>
      </c>
      <c r="CG18" s="2">
        <v>1.909149</v>
      </c>
      <c r="CH18" s="3">
        <v>1.3673679999999999</v>
      </c>
      <c r="CI18" s="2">
        <v>-5.6582030000000003</v>
      </c>
      <c r="CJ18" s="3">
        <v>5600.7550000000001</v>
      </c>
      <c r="CK18" s="3">
        <v>5617.56</v>
      </c>
      <c r="CL18" s="2">
        <v>0.30004979999999998</v>
      </c>
      <c r="CM18" s="3">
        <v>0.95960630000000002</v>
      </c>
      <c r="CN18" s="3">
        <v>0.976047</v>
      </c>
      <c r="CO18" s="3">
        <v>1.0014540000000001</v>
      </c>
      <c r="CP18" s="2">
        <v>9.8367100000000001</v>
      </c>
      <c r="CQ18" s="2">
        <v>7.986605</v>
      </c>
      <c r="CR18" s="2">
        <v>5.2469849999999996</v>
      </c>
      <c r="CS18" s="2">
        <v>1.713276</v>
      </c>
      <c r="CT18" s="2">
        <v>24.329160000000002</v>
      </c>
      <c r="CU18" s="3">
        <v>0.41021580000000002</v>
      </c>
      <c r="CV18" s="2">
        <v>56.132860000000001</v>
      </c>
      <c r="CW18" s="2">
        <v>12.22049</v>
      </c>
      <c r="CX18" s="2">
        <v>6.532203</v>
      </c>
      <c r="CY18" s="2">
        <v>16.171720000000001</v>
      </c>
    </row>
    <row r="19" spans="1:103" ht="15" customHeight="1" x14ac:dyDescent="0.2">
      <c r="A19" s="1">
        <f t="shared" si="0"/>
        <v>13</v>
      </c>
      <c r="B19" s="1" t="s">
        <v>45</v>
      </c>
      <c r="C19" s="1" t="s">
        <v>44</v>
      </c>
      <c r="D19" s="1" t="s">
        <v>46</v>
      </c>
      <c r="E19" s="1" t="s">
        <v>47</v>
      </c>
      <c r="F19" s="2">
        <v>2045.6579999999999</v>
      </c>
      <c r="G19" s="2">
        <v>66.403300000000002</v>
      </c>
      <c r="H19" s="2">
        <v>1358.384</v>
      </c>
      <c r="I19" s="3">
        <v>11.58</v>
      </c>
      <c r="J19" s="3">
        <v>0</v>
      </c>
      <c r="K19" s="2">
        <v>2.1588949999999998</v>
      </c>
      <c r="L19" s="2">
        <v>2.3531949999999999</v>
      </c>
      <c r="M19" s="2">
        <v>2.8065630000000001</v>
      </c>
      <c r="N19" s="2">
        <v>3.0567790000000001</v>
      </c>
      <c r="O19" s="2">
        <v>12.866669999999999</v>
      </c>
      <c r="P19" s="2">
        <v>9.8746010000000002</v>
      </c>
      <c r="Q19" s="2">
        <v>9.0442850000000004</v>
      </c>
      <c r="R19" s="2">
        <v>8.4835170000000009</v>
      </c>
      <c r="S19" s="2">
        <v>4.8073180000000004</v>
      </c>
      <c r="T19" s="2">
        <v>4.4324149999999998</v>
      </c>
      <c r="U19" s="2">
        <v>3.8346939999999998</v>
      </c>
      <c r="V19" s="2">
        <v>3.249994</v>
      </c>
      <c r="W19" s="2">
        <v>2.0989409999999999</v>
      </c>
      <c r="X19" s="2">
        <v>1.8037380000000001</v>
      </c>
      <c r="Y19" s="2">
        <v>1.5885940000000001</v>
      </c>
      <c r="Z19" s="2">
        <v>1.415648</v>
      </c>
      <c r="AA19" s="2">
        <v>7.0352309999999996</v>
      </c>
      <c r="AB19" s="2">
        <v>7.1636540000000002</v>
      </c>
      <c r="AC19" s="2">
        <v>6.5857890000000001</v>
      </c>
      <c r="AD19" s="2">
        <v>6.4333330000000002</v>
      </c>
      <c r="AE19" s="2">
        <v>10.909420000000001</v>
      </c>
      <c r="AF19" s="2">
        <v>13.22663</v>
      </c>
      <c r="AG19" s="2">
        <v>16.424520000000001</v>
      </c>
      <c r="AH19" s="2">
        <v>10.32671</v>
      </c>
      <c r="AI19" s="2">
        <v>11.46618</v>
      </c>
      <c r="AJ19" s="2">
        <v>12.763310000000001</v>
      </c>
      <c r="AK19" s="3" t="e">
        <v>#N/A</v>
      </c>
      <c r="AL19" s="3" t="e">
        <v>#N/A</v>
      </c>
      <c r="AM19" s="2">
        <v>10.3947</v>
      </c>
      <c r="AN19" s="2">
        <v>10.74184</v>
      </c>
      <c r="AO19" s="2">
        <v>10.875970000000001</v>
      </c>
      <c r="AP19" s="2">
        <v>10.947319999999999</v>
      </c>
      <c r="AQ19" s="2">
        <v>0.1074194</v>
      </c>
      <c r="AR19" s="2">
        <v>-0.25010949999999998</v>
      </c>
      <c r="AS19" s="2">
        <v>-0.58875560000000005</v>
      </c>
      <c r="AT19" s="2">
        <v>-0.9322743</v>
      </c>
      <c r="AU19" s="1" t="s">
        <v>5</v>
      </c>
      <c r="AV19" s="3">
        <v>1.4666669999999999</v>
      </c>
      <c r="AW19" s="3">
        <v>14.500489999999999</v>
      </c>
      <c r="AX19" s="2">
        <v>25.220120000000001</v>
      </c>
      <c r="AY19" s="2">
        <v>18.266439999999999</v>
      </c>
      <c r="AZ19" s="2" t="e">
        <v>#N/A</v>
      </c>
      <c r="BA19" s="2">
        <v>26.904109999999999</v>
      </c>
      <c r="BB19" s="2">
        <v>8.7324029999999997</v>
      </c>
      <c r="BC19" s="3">
        <v>7.5149999999999997</v>
      </c>
      <c r="BD19" s="2">
        <v>54.091819999999998</v>
      </c>
      <c r="BE19" s="3">
        <v>12.8</v>
      </c>
      <c r="BF19" s="2">
        <v>-9.5312540000000006</v>
      </c>
      <c r="BG19" s="2">
        <v>24.33531</v>
      </c>
      <c r="BH19" s="2">
        <v>26.859010000000001</v>
      </c>
      <c r="BI19" s="2">
        <v>29.601590000000002</v>
      </c>
      <c r="BJ19" s="2">
        <v>30.65924</v>
      </c>
      <c r="BK19" s="2">
        <v>14</v>
      </c>
      <c r="BL19" s="2">
        <v>14</v>
      </c>
      <c r="BM19" s="4">
        <v>15</v>
      </c>
      <c r="BN19" s="4">
        <v>0</v>
      </c>
      <c r="BO19" s="4">
        <v>1</v>
      </c>
      <c r="BP19" s="4">
        <v>14</v>
      </c>
      <c r="BQ19" s="2">
        <v>0</v>
      </c>
      <c r="BR19" s="4">
        <v>9</v>
      </c>
      <c r="BS19" s="4">
        <v>1</v>
      </c>
      <c r="BT19" s="4">
        <v>15</v>
      </c>
      <c r="BU19" s="2">
        <v>60</v>
      </c>
      <c r="BV19" s="2">
        <v>9.5965100000000003</v>
      </c>
      <c r="BW19" s="2">
        <v>176.65440000000001</v>
      </c>
      <c r="BX19" s="3">
        <v>0.59256070000000005</v>
      </c>
      <c r="BY19" s="3">
        <v>0.33543499999999998</v>
      </c>
      <c r="BZ19" s="2">
        <v>0.85267400000000004</v>
      </c>
      <c r="CA19" s="3">
        <v>0.33543499999999998</v>
      </c>
      <c r="CB19" s="3">
        <v>1.1173249999999999</v>
      </c>
      <c r="CC19" s="3">
        <v>1.1632169999999999</v>
      </c>
      <c r="CD19" s="2">
        <v>4.1073320000000004</v>
      </c>
      <c r="CE19" s="3">
        <v>322.85939999999999</v>
      </c>
      <c r="CF19" s="3">
        <v>330.33580000000001</v>
      </c>
      <c r="CG19" s="2">
        <v>2.3156639999999999</v>
      </c>
      <c r="CH19" s="3">
        <v>13.73667</v>
      </c>
      <c r="CI19" s="2">
        <v>5.5604699999999996</v>
      </c>
      <c r="CJ19" s="3">
        <v>3959.1170000000002</v>
      </c>
      <c r="CK19" s="3">
        <v>4054.395</v>
      </c>
      <c r="CL19" s="2">
        <v>2.4065379999999998</v>
      </c>
      <c r="CM19" s="3">
        <v>10.855449999999999</v>
      </c>
      <c r="CN19" s="3">
        <v>11.709809999999999</v>
      </c>
      <c r="CO19" s="3">
        <v>11.47308</v>
      </c>
      <c r="CP19" s="2">
        <v>6.6745640000000002</v>
      </c>
      <c r="CQ19" s="2">
        <v>-1.1085210000000001</v>
      </c>
      <c r="CR19" s="2">
        <v>0.93194250000000001</v>
      </c>
      <c r="CS19" s="2">
        <v>7.8703279999999998</v>
      </c>
      <c r="CT19" s="2">
        <v>7.1409710000000004</v>
      </c>
      <c r="CU19" s="3">
        <v>0.34907939999999998</v>
      </c>
      <c r="CV19" s="2">
        <v>2.234575</v>
      </c>
      <c r="CW19" s="2">
        <v>2.2706140000000001</v>
      </c>
      <c r="CX19" s="2">
        <v>-2.5</v>
      </c>
      <c r="CY19" s="2">
        <v>16.41414</v>
      </c>
    </row>
    <row r="20" spans="1:103" ht="15" customHeight="1" x14ac:dyDescent="0.2">
      <c r="A20" s="1">
        <f t="shared" si="0"/>
        <v>14</v>
      </c>
      <c r="B20" s="1" t="s">
        <v>49</v>
      </c>
      <c r="C20" s="1" t="s">
        <v>48</v>
      </c>
      <c r="D20" s="1" t="s">
        <v>50</v>
      </c>
      <c r="E20" s="1" t="s">
        <v>51</v>
      </c>
      <c r="F20" s="2">
        <v>1399.54</v>
      </c>
      <c r="G20" s="2">
        <v>44.985500000000002</v>
      </c>
      <c r="H20" s="2">
        <v>629.59010000000001</v>
      </c>
      <c r="I20" s="3">
        <v>6.35</v>
      </c>
      <c r="J20" s="3">
        <v>0</v>
      </c>
      <c r="K20" s="2">
        <v>0</v>
      </c>
      <c r="L20" s="2">
        <v>0</v>
      </c>
      <c r="M20" s="2">
        <v>0</v>
      </c>
      <c r="N20" s="2">
        <v>0</v>
      </c>
      <c r="O20" s="2">
        <v>12.7</v>
      </c>
      <c r="P20" s="2">
        <v>18.676469999999998</v>
      </c>
      <c r="Q20" s="2">
        <v>13.481949999999999</v>
      </c>
      <c r="R20" s="2">
        <v>11.869160000000001</v>
      </c>
      <c r="S20" s="2">
        <v>8.5453320000000001</v>
      </c>
      <c r="T20" s="2">
        <v>8.9920709999999993</v>
      </c>
      <c r="U20" s="2">
        <v>8.1237480000000009</v>
      </c>
      <c r="V20" s="2">
        <v>7.7410829999999997</v>
      </c>
      <c r="W20" s="2">
        <v>3.3824649999999998</v>
      </c>
      <c r="X20" s="2">
        <v>2.8535900000000001</v>
      </c>
      <c r="Y20" s="2">
        <v>2.4818950000000002</v>
      </c>
      <c r="Z20" s="2">
        <v>2.1078860000000001</v>
      </c>
      <c r="AA20" s="2">
        <v>5.3381460000000001</v>
      </c>
      <c r="AB20" s="2">
        <v>5.6122449999999997</v>
      </c>
      <c r="AC20" s="2">
        <v>5.3474700000000004</v>
      </c>
      <c r="AD20" s="2">
        <v>5.002923</v>
      </c>
      <c r="AE20" s="2">
        <v>4.5153629999999998</v>
      </c>
      <c r="AF20" s="2">
        <v>4.9593819999999997</v>
      </c>
      <c r="AG20" s="2">
        <v>5.5103210000000002</v>
      </c>
      <c r="AH20" s="2">
        <v>12.73596</v>
      </c>
      <c r="AI20" s="2">
        <v>13.61632</v>
      </c>
      <c r="AJ20" s="2">
        <v>14.843019999999999</v>
      </c>
      <c r="AK20" s="3">
        <v>2.340878</v>
      </c>
      <c r="AL20" s="3">
        <v>1.725052</v>
      </c>
      <c r="AM20" s="2">
        <v>25.46557</v>
      </c>
      <c r="AN20" s="2">
        <v>24.38889</v>
      </c>
      <c r="AO20" s="2">
        <v>25.181830000000001</v>
      </c>
      <c r="AP20" s="2">
        <v>24.946739999999998</v>
      </c>
      <c r="AQ20" s="2">
        <v>6.2036199999999999</v>
      </c>
      <c r="AR20" s="2">
        <v>5.8040529999999997</v>
      </c>
      <c r="AS20" s="2">
        <v>5.1648899999999998</v>
      </c>
      <c r="AT20" s="2">
        <v>4.8672839999999997</v>
      </c>
      <c r="AU20" s="1" t="s">
        <v>52</v>
      </c>
      <c r="AV20" s="3">
        <v>1.6363639999999999</v>
      </c>
      <c r="AW20" s="3">
        <v>7.1</v>
      </c>
      <c r="AX20" s="2">
        <v>11.811019999999999</v>
      </c>
      <c r="AY20" s="2">
        <v>15.279070000000001</v>
      </c>
      <c r="AZ20" s="2">
        <v>7.843369</v>
      </c>
      <c r="BA20" s="2">
        <v>4.8720119999999998</v>
      </c>
      <c r="BB20" s="2">
        <v>38.706850000000003</v>
      </c>
      <c r="BC20" s="3">
        <v>4.0620000000000003</v>
      </c>
      <c r="BD20" s="2">
        <v>56.32694</v>
      </c>
      <c r="BE20" s="3">
        <v>6.61</v>
      </c>
      <c r="BF20" s="2">
        <v>-3.9334359999999999</v>
      </c>
      <c r="BG20" s="2">
        <v>2.301431</v>
      </c>
      <c r="BH20" s="2">
        <v>9.0038879999999999</v>
      </c>
      <c r="BI20" s="2">
        <v>10.83644</v>
      </c>
      <c r="BJ20" s="2">
        <v>8.3278200000000009</v>
      </c>
      <c r="BK20" s="2">
        <v>11</v>
      </c>
      <c r="BL20" s="2">
        <v>11</v>
      </c>
      <c r="BM20" s="4">
        <v>11</v>
      </c>
      <c r="BN20" s="4">
        <v>0</v>
      </c>
      <c r="BO20" s="4">
        <v>1</v>
      </c>
      <c r="BP20" s="4">
        <v>11</v>
      </c>
      <c r="BQ20" s="2">
        <v>0</v>
      </c>
      <c r="BR20" s="4">
        <v>5</v>
      </c>
      <c r="BS20" s="4">
        <v>1</v>
      </c>
      <c r="BT20" s="4">
        <v>11</v>
      </c>
      <c r="BU20" s="2">
        <v>45.454549999999998</v>
      </c>
      <c r="BV20" s="2">
        <v>16.682700000000001</v>
      </c>
      <c r="BW20" s="2">
        <v>220.4</v>
      </c>
      <c r="BX20" s="3">
        <v>0.9988572</v>
      </c>
      <c r="BY20" s="3">
        <v>0.45320199999999999</v>
      </c>
      <c r="BZ20" s="2">
        <v>2.3133599999999999</v>
      </c>
      <c r="CA20" s="3">
        <v>0.45320199999999999</v>
      </c>
      <c r="CB20" s="3">
        <v>0.30592340000000001</v>
      </c>
      <c r="CC20" s="3">
        <v>0.34585359999999998</v>
      </c>
      <c r="CD20" s="2">
        <v>13.05237</v>
      </c>
      <c r="CE20" s="3">
        <v>171.4701</v>
      </c>
      <c r="CF20" s="3">
        <v>178.64269999999999</v>
      </c>
      <c r="CG20" s="2">
        <v>4.1830540000000003</v>
      </c>
      <c r="CH20" s="3">
        <v>6.4004089999999998</v>
      </c>
      <c r="CI20" s="2">
        <v>10.93041</v>
      </c>
      <c r="CJ20" s="3">
        <v>1746.886</v>
      </c>
      <c r="CK20" s="3">
        <v>1802.5229999999999</v>
      </c>
      <c r="CL20" s="2">
        <v>3.1849270000000001</v>
      </c>
      <c r="CM20" s="3">
        <v>5.5204820000000003</v>
      </c>
      <c r="CN20" s="3">
        <v>6.0013730000000001</v>
      </c>
      <c r="CO20" s="3">
        <v>6.2313470000000004</v>
      </c>
      <c r="CP20" s="2">
        <v>15.026199999999999</v>
      </c>
      <c r="CQ20" s="2">
        <v>5.8091280000000003</v>
      </c>
      <c r="CR20" s="2">
        <v>1.9041300000000001</v>
      </c>
      <c r="CS20" s="2">
        <v>8.7110400000000006</v>
      </c>
      <c r="CT20" s="2">
        <v>4.7354500000000002</v>
      </c>
      <c r="CU20" s="3">
        <v>0.33835759999999998</v>
      </c>
      <c r="CV20" s="2" t="e">
        <v>#N/A</v>
      </c>
      <c r="CW20" s="2">
        <v>1.1586609999999999</v>
      </c>
      <c r="CX20" s="2">
        <v>-25.379909999999999</v>
      </c>
      <c r="CY20" s="2">
        <v>16.41414</v>
      </c>
    </row>
    <row r="21" spans="1:103" ht="15" customHeight="1" x14ac:dyDescent="0.2">
      <c r="A21" s="1">
        <f t="shared" si="0"/>
        <v>15</v>
      </c>
      <c r="B21" s="1" t="s">
        <v>54</v>
      </c>
      <c r="C21" s="1" t="s">
        <v>53</v>
      </c>
      <c r="D21" s="1" t="s">
        <v>46</v>
      </c>
      <c r="E21" s="1" t="s">
        <v>47</v>
      </c>
      <c r="F21" s="2">
        <v>31399.79</v>
      </c>
      <c r="G21" s="2">
        <v>99.821100000000001</v>
      </c>
      <c r="H21" s="2">
        <v>31343.62</v>
      </c>
      <c r="I21" s="3">
        <v>69.7</v>
      </c>
      <c r="J21" s="3">
        <v>0</v>
      </c>
      <c r="K21" s="2">
        <v>1.061693</v>
      </c>
      <c r="L21" s="2">
        <v>1.5997129999999999</v>
      </c>
      <c r="M21" s="2">
        <v>1.9942610000000001</v>
      </c>
      <c r="N21" s="2">
        <v>2.2698870000000002</v>
      </c>
      <c r="O21" s="2">
        <v>42.242420000000003</v>
      </c>
      <c r="P21" s="2">
        <v>28.966560000000001</v>
      </c>
      <c r="Q21" s="2">
        <v>23.003150000000002</v>
      </c>
      <c r="R21" s="2">
        <v>20.400919999999999</v>
      </c>
      <c r="S21" s="2">
        <v>14.806850000000001</v>
      </c>
      <c r="T21" s="2">
        <v>15.63059</v>
      </c>
      <c r="U21" s="2">
        <v>13.06583</v>
      </c>
      <c r="V21" s="2">
        <v>11.506679999999999</v>
      </c>
      <c r="W21" s="2">
        <v>6.8513679999999999</v>
      </c>
      <c r="X21" s="2">
        <v>6.0533219999999996</v>
      </c>
      <c r="Y21" s="2">
        <v>5.2752850000000002</v>
      </c>
      <c r="Z21" s="2">
        <v>4.7094589999999998</v>
      </c>
      <c r="AA21" s="2">
        <v>22.692309999999999</v>
      </c>
      <c r="AB21" s="2">
        <v>18.33962</v>
      </c>
      <c r="AC21" s="2">
        <v>15.878690000000001</v>
      </c>
      <c r="AD21" s="2">
        <v>14.899570000000001</v>
      </c>
      <c r="AE21" s="2">
        <v>3.3191009999999999</v>
      </c>
      <c r="AF21" s="2">
        <v>4.1828649999999996</v>
      </c>
      <c r="AG21" s="2">
        <v>4.7342839999999997</v>
      </c>
      <c r="AH21" s="2">
        <v>3.501064</v>
      </c>
      <c r="AI21" s="2">
        <v>4.3088550000000003</v>
      </c>
      <c r="AJ21" s="2">
        <v>4.751925</v>
      </c>
      <c r="AK21" s="3">
        <v>1.182857</v>
      </c>
      <c r="AL21" s="3">
        <v>0.95808680000000002</v>
      </c>
      <c r="AM21" s="2">
        <v>36.558999999999997</v>
      </c>
      <c r="AN21" s="2">
        <v>38.830860000000001</v>
      </c>
      <c r="AO21" s="2">
        <v>40.182980000000001</v>
      </c>
      <c r="AP21" s="2">
        <v>41.353439999999999</v>
      </c>
      <c r="AQ21" s="2">
        <v>1.4704269999999999</v>
      </c>
      <c r="AR21" s="2">
        <v>0.81237789999999999</v>
      </c>
      <c r="AS21" s="2">
        <v>0.38204189999999999</v>
      </c>
      <c r="AT21" s="2">
        <v>4.2716320000000002E-2</v>
      </c>
      <c r="AU21" s="1" t="s">
        <v>55</v>
      </c>
      <c r="AV21" s="3">
        <v>1.5961540000000001</v>
      </c>
      <c r="AW21" s="3">
        <v>70</v>
      </c>
      <c r="AX21" s="2">
        <v>0.4304171</v>
      </c>
      <c r="AY21" s="2">
        <v>20.89762</v>
      </c>
      <c r="AZ21" s="2">
        <v>25.945450000000001</v>
      </c>
      <c r="BA21" s="2">
        <v>31.113610000000001</v>
      </c>
      <c r="BB21" s="2">
        <v>43.563330000000001</v>
      </c>
      <c r="BC21" s="3">
        <v>44.85</v>
      </c>
      <c r="BD21" s="2">
        <v>55.40692</v>
      </c>
      <c r="BE21" s="3">
        <v>70.22</v>
      </c>
      <c r="BF21" s="2">
        <v>-0.74053409999999997</v>
      </c>
      <c r="BG21" s="2">
        <v>30.160869999999999</v>
      </c>
      <c r="BH21" s="2">
        <v>41.507559999999998</v>
      </c>
      <c r="BI21" s="2">
        <v>42.997959999999999</v>
      </c>
      <c r="BJ21" s="2">
        <v>44.239609999999999</v>
      </c>
      <c r="BK21" s="2">
        <v>23</v>
      </c>
      <c r="BL21" s="2">
        <v>22</v>
      </c>
      <c r="BM21" s="4">
        <v>26</v>
      </c>
      <c r="BN21" s="4">
        <v>1</v>
      </c>
      <c r="BO21" s="4">
        <v>1</v>
      </c>
      <c r="BP21" s="4">
        <v>24</v>
      </c>
      <c r="BQ21" s="2">
        <v>3.8461539999999999</v>
      </c>
      <c r="BR21" s="4">
        <v>13</v>
      </c>
      <c r="BS21" s="4">
        <v>1</v>
      </c>
      <c r="BT21" s="4">
        <v>26</v>
      </c>
      <c r="BU21" s="2">
        <v>50</v>
      </c>
      <c r="BV21" s="2">
        <v>9.8345199999999995</v>
      </c>
      <c r="BW21" s="2">
        <v>450.49919999999997</v>
      </c>
      <c r="BX21" s="3">
        <v>0.70892949999999999</v>
      </c>
      <c r="BY21" s="3">
        <v>0.15736530000000001</v>
      </c>
      <c r="BZ21" s="2">
        <v>1.3522099999999999</v>
      </c>
      <c r="CA21" s="3">
        <v>0.15736530000000001</v>
      </c>
      <c r="CB21" s="3">
        <v>2.362295</v>
      </c>
      <c r="CC21" s="3">
        <v>2.4268139999999998</v>
      </c>
      <c r="CD21" s="2">
        <v>2.7312159999999999</v>
      </c>
      <c r="CE21" s="3">
        <v>1459.4449999999999</v>
      </c>
      <c r="CF21" s="3">
        <v>1471.2550000000001</v>
      </c>
      <c r="CG21" s="2">
        <v>0.80918069999999997</v>
      </c>
      <c r="CH21" s="3">
        <v>64.08681</v>
      </c>
      <c r="CI21" s="2">
        <v>9.2268349999999995</v>
      </c>
      <c r="CJ21" s="3">
        <v>5464.8389999999999</v>
      </c>
      <c r="CK21" s="3">
        <v>5456.4359999999997</v>
      </c>
      <c r="CL21" s="2">
        <v>-0.15376809999999999</v>
      </c>
      <c r="CM21" s="3">
        <v>57.693899999999999</v>
      </c>
      <c r="CN21" s="3">
        <v>66.645089999999996</v>
      </c>
      <c r="CO21" s="3">
        <v>68.463849999999994</v>
      </c>
      <c r="CP21" s="2">
        <v>20.809979999999999</v>
      </c>
      <c r="CQ21" s="2">
        <v>4.5838479999999997</v>
      </c>
      <c r="CR21" s="2">
        <v>1.805544</v>
      </c>
      <c r="CS21" s="2">
        <v>15.51496</v>
      </c>
      <c r="CT21" s="2">
        <v>50.006970000000003</v>
      </c>
      <c r="CU21" s="3">
        <v>0.15925890000000001</v>
      </c>
      <c r="CV21" s="2">
        <v>12.439299999999999</v>
      </c>
      <c r="CW21" s="2">
        <v>2.0543369999999999</v>
      </c>
      <c r="CX21" s="2">
        <v>7.2174969999999998</v>
      </c>
      <c r="CY21" s="2">
        <v>16.52525</v>
      </c>
    </row>
    <row r="22" spans="1:103" ht="15" customHeight="1" x14ac:dyDescent="0.2">
      <c r="A22" s="1">
        <f t="shared" si="0"/>
        <v>16</v>
      </c>
      <c r="B22" s="1" t="s">
        <v>57</v>
      </c>
      <c r="C22" s="1" t="s">
        <v>56</v>
      </c>
      <c r="D22" s="1" t="s">
        <v>58</v>
      </c>
      <c r="E22" s="1" t="s">
        <v>59</v>
      </c>
      <c r="F22" s="2">
        <v>77034.05</v>
      </c>
      <c r="G22" s="2">
        <v>96.559799999999996</v>
      </c>
      <c r="H22" s="2">
        <v>74383.929999999993</v>
      </c>
      <c r="I22" s="3">
        <v>11.95</v>
      </c>
      <c r="J22" s="3">
        <v>0</v>
      </c>
      <c r="K22" s="2">
        <v>4.1004189999999996</v>
      </c>
      <c r="L22" s="2">
        <v>4.2895399999999997</v>
      </c>
      <c r="M22" s="2">
        <v>4.5188280000000001</v>
      </c>
      <c r="N22" s="2">
        <v>4.7698749999999999</v>
      </c>
      <c r="O22" s="2">
        <v>18.106059999999999</v>
      </c>
      <c r="P22" s="2">
        <v>16.59722</v>
      </c>
      <c r="Q22" s="2">
        <v>16.14865</v>
      </c>
      <c r="R22" s="2">
        <v>14.75309</v>
      </c>
      <c r="S22" s="2">
        <v>8.5641590000000001</v>
      </c>
      <c r="T22" s="2">
        <v>8.9640140000000006</v>
      </c>
      <c r="U22" s="2">
        <v>8.7703340000000001</v>
      </c>
      <c r="V22" s="2">
        <v>8.3597590000000004</v>
      </c>
      <c r="W22" s="2">
        <v>1.7806379999999999</v>
      </c>
      <c r="X22" s="2">
        <v>1.720839</v>
      </c>
      <c r="Y22" s="2">
        <v>1.6239079999999999</v>
      </c>
      <c r="Z22" s="2">
        <v>1.5935980000000001</v>
      </c>
      <c r="AA22" s="2">
        <v>8.0787130000000005</v>
      </c>
      <c r="AB22" s="2">
        <v>7.2344340000000003</v>
      </c>
      <c r="AC22" s="2">
        <v>6.9883040000000003</v>
      </c>
      <c r="AD22" s="2">
        <v>6.5959219999999998</v>
      </c>
      <c r="AE22" s="2">
        <v>-2.7322600000000001</v>
      </c>
      <c r="AF22" s="2">
        <v>-0.47298800000000002</v>
      </c>
      <c r="AG22" s="2">
        <v>0.18185399999999999</v>
      </c>
      <c r="AH22" s="2">
        <v>-4.5870509999999998</v>
      </c>
      <c r="AI22" s="2">
        <v>-0.81113860000000004</v>
      </c>
      <c r="AJ22" s="2">
        <v>0.31767190000000001</v>
      </c>
      <c r="AK22" s="3">
        <v>2.0471910000000002</v>
      </c>
      <c r="AL22" s="3">
        <v>2.0017290000000001</v>
      </c>
      <c r="AM22" s="2">
        <v>24.519449999999999</v>
      </c>
      <c r="AN22" s="2">
        <v>26.039090000000002</v>
      </c>
      <c r="AO22" s="2">
        <v>27.054880000000001</v>
      </c>
      <c r="AP22" s="2">
        <v>27.75122</v>
      </c>
      <c r="AQ22" s="2">
        <v>3.3073030000000001</v>
      </c>
      <c r="AR22" s="2">
        <v>3.6246339999999999</v>
      </c>
      <c r="AS22" s="2">
        <v>3.6562109999999999</v>
      </c>
      <c r="AT22" s="2">
        <v>3.574144</v>
      </c>
      <c r="AU22" s="1" t="s">
        <v>52</v>
      </c>
      <c r="AV22" s="3">
        <v>1.6481479999999999</v>
      </c>
      <c r="AW22" s="3">
        <v>12.4</v>
      </c>
      <c r="AX22" s="2">
        <v>3.7656900000000002</v>
      </c>
      <c r="AY22" s="2">
        <v>10.36824</v>
      </c>
      <c r="AZ22" s="2">
        <v>8.0385679999999997</v>
      </c>
      <c r="BA22" s="2">
        <v>20.755859999999998</v>
      </c>
      <c r="BB22" s="2">
        <v>9.3321079999999998</v>
      </c>
      <c r="BC22" s="3">
        <v>9.09</v>
      </c>
      <c r="BD22" s="2">
        <v>31.463149999999999</v>
      </c>
      <c r="BE22" s="3">
        <v>12.065</v>
      </c>
      <c r="BF22" s="2">
        <v>-0.95316769999999995</v>
      </c>
      <c r="BG22" s="2">
        <v>72.764390000000006</v>
      </c>
      <c r="BH22" s="2">
        <v>71.610110000000006</v>
      </c>
      <c r="BI22" s="2">
        <v>72.623050000000006</v>
      </c>
      <c r="BJ22" s="2">
        <v>70.473920000000007</v>
      </c>
      <c r="BK22" s="2">
        <v>24</v>
      </c>
      <c r="BL22" s="2">
        <v>22</v>
      </c>
      <c r="BM22" s="4">
        <v>27</v>
      </c>
      <c r="BN22" s="4">
        <v>1</v>
      </c>
      <c r="BO22" s="4">
        <v>2</v>
      </c>
      <c r="BP22" s="4">
        <v>25</v>
      </c>
      <c r="BQ22" s="2">
        <v>3.5714290000000002</v>
      </c>
      <c r="BR22" s="4">
        <v>12</v>
      </c>
      <c r="BS22" s="4">
        <v>1</v>
      </c>
      <c r="BT22" s="4">
        <v>27</v>
      </c>
      <c r="BU22" s="2">
        <v>44.444450000000003</v>
      </c>
      <c r="BV22" s="2">
        <v>6.6747899999999998</v>
      </c>
      <c r="BW22" s="2">
        <v>6446.3639999999996</v>
      </c>
      <c r="BX22" s="3">
        <v>11.94506</v>
      </c>
      <c r="BY22" s="3">
        <v>0.1852992</v>
      </c>
      <c r="BZ22" s="2">
        <v>0.56386499999999995</v>
      </c>
      <c r="CA22" s="3">
        <v>0.1852992</v>
      </c>
      <c r="CB22" s="3">
        <v>0.70787089999999997</v>
      </c>
      <c r="CC22" s="3">
        <v>0.72195980000000004</v>
      </c>
      <c r="CD22" s="2">
        <v>1.990318</v>
      </c>
      <c r="CE22" s="3">
        <v>8864.7890000000007</v>
      </c>
      <c r="CF22" s="3">
        <v>8942.6890000000003</v>
      </c>
      <c r="CG22" s="2">
        <v>0.87876319999999997</v>
      </c>
      <c r="CH22" s="3">
        <v>11.98119</v>
      </c>
      <c r="CI22" s="2">
        <v>3.4955379999999998</v>
      </c>
      <c r="CJ22" s="3">
        <v>51598.75</v>
      </c>
      <c r="CK22" s="3">
        <v>53676.73</v>
      </c>
      <c r="CL22" s="2">
        <v>4.0271879999999998</v>
      </c>
      <c r="CM22" s="3">
        <v>10.94139</v>
      </c>
      <c r="CN22" s="3">
        <v>11.691369999999999</v>
      </c>
      <c r="CO22" s="3">
        <v>11.641730000000001</v>
      </c>
      <c r="CP22" s="2">
        <v>9.2182639999999996</v>
      </c>
      <c r="CQ22" s="2">
        <v>2.2121309999999998</v>
      </c>
      <c r="CR22" s="2">
        <v>2.647948</v>
      </c>
      <c r="CS22" s="2">
        <v>6.8544980000000004</v>
      </c>
      <c r="CT22" s="2">
        <v>127.95229999999999</v>
      </c>
      <c r="CU22" s="3">
        <v>0.16609840000000001</v>
      </c>
      <c r="CV22" s="2">
        <v>34.4086</v>
      </c>
      <c r="CW22" s="2" t="e">
        <v>#N/A</v>
      </c>
      <c r="CX22" s="2">
        <v>10.64415</v>
      </c>
      <c r="CY22" s="2">
        <v>16.595960000000002</v>
      </c>
    </row>
    <row r="23" spans="1:103" ht="15" customHeight="1" x14ac:dyDescent="0.2">
      <c r="A23" s="1">
        <f t="shared" si="0"/>
        <v>17</v>
      </c>
      <c r="B23" s="1" t="s">
        <v>61</v>
      </c>
      <c r="C23" s="1" t="s">
        <v>60</v>
      </c>
      <c r="D23" s="1" t="s">
        <v>28</v>
      </c>
      <c r="E23" s="1" t="s">
        <v>29</v>
      </c>
      <c r="F23" s="2">
        <v>8948.5550000000003</v>
      </c>
      <c r="G23" s="2">
        <v>73.121899999999997</v>
      </c>
      <c r="H23" s="2">
        <v>6543.3530000000001</v>
      </c>
      <c r="I23" s="3">
        <v>32.17</v>
      </c>
      <c r="J23" s="3">
        <v>0</v>
      </c>
      <c r="K23" s="2">
        <v>6.2169730000000003</v>
      </c>
      <c r="L23" s="2">
        <v>6.2169730000000003</v>
      </c>
      <c r="M23" s="2">
        <v>6.2169730000000003</v>
      </c>
      <c r="N23" s="2">
        <v>6.2169730000000003</v>
      </c>
      <c r="O23" s="2">
        <v>12.868</v>
      </c>
      <c r="P23" s="2">
        <v>15.770820000000001</v>
      </c>
      <c r="Q23" s="2">
        <v>14.756880000000001</v>
      </c>
      <c r="R23" s="2">
        <v>13.30842</v>
      </c>
      <c r="S23" s="2">
        <v>4.2261550000000003</v>
      </c>
      <c r="T23" s="2">
        <v>5.5614369999999997</v>
      </c>
      <c r="U23" s="2">
        <v>5.2029880000000004</v>
      </c>
      <c r="V23" s="2">
        <v>4.7857380000000003</v>
      </c>
      <c r="W23" s="2" t="e">
        <v>#N/A</v>
      </c>
      <c r="X23" s="2">
        <v>1.6693389999999999</v>
      </c>
      <c r="Y23" s="2">
        <v>1.704453</v>
      </c>
      <c r="Z23" s="2">
        <v>1.630099</v>
      </c>
      <c r="AA23" s="2">
        <v>7.7414420000000002</v>
      </c>
      <c r="AB23" s="2">
        <v>7.9784829999999998</v>
      </c>
      <c r="AC23" s="2">
        <v>7.3586919999999996</v>
      </c>
      <c r="AD23" s="2">
        <v>7.7616500000000004</v>
      </c>
      <c r="AE23" s="2">
        <v>6.5037260000000003</v>
      </c>
      <c r="AF23" s="2">
        <v>9.7754290000000008</v>
      </c>
      <c r="AG23" s="2">
        <v>10.58132</v>
      </c>
      <c r="AH23" s="2">
        <v>7.6228389999999999</v>
      </c>
      <c r="AI23" s="2">
        <v>11.26707</v>
      </c>
      <c r="AJ23" s="2">
        <v>11.95266</v>
      </c>
      <c r="AK23" s="3" t="e">
        <v>#N/A</v>
      </c>
      <c r="AL23" s="3" t="e">
        <v>#N/A</v>
      </c>
      <c r="AM23" s="2">
        <v>5.1970850000000004</v>
      </c>
      <c r="AN23" s="2">
        <v>5.3389879999999996</v>
      </c>
      <c r="AO23" s="2">
        <v>5.5028509999999997</v>
      </c>
      <c r="AP23" s="2">
        <v>5.733009</v>
      </c>
      <c r="AQ23" s="2">
        <v>-0.1282161</v>
      </c>
      <c r="AR23" s="2">
        <v>0.81647729999999996</v>
      </c>
      <c r="AS23" s="2">
        <v>0.6888185</v>
      </c>
      <c r="AT23" s="2">
        <v>0.54907079999999997</v>
      </c>
      <c r="AU23" s="1" t="s">
        <v>62</v>
      </c>
      <c r="AV23" s="3">
        <v>1.566667</v>
      </c>
      <c r="AW23" s="3">
        <v>31.094999999999999</v>
      </c>
      <c r="AX23" s="2">
        <v>-3.341621</v>
      </c>
      <c r="AY23" s="2">
        <v>10.58498</v>
      </c>
      <c r="AZ23" s="2" t="e">
        <v>#N/A</v>
      </c>
      <c r="BA23" s="2">
        <v>39.083440000000003</v>
      </c>
      <c r="BB23" s="2">
        <v>20.17182</v>
      </c>
      <c r="BC23" s="3">
        <v>20.69</v>
      </c>
      <c r="BD23" s="2">
        <v>55.485729999999997</v>
      </c>
      <c r="BE23" s="3">
        <v>32.229999999999997</v>
      </c>
      <c r="BF23" s="2">
        <v>-0.1861691</v>
      </c>
      <c r="BG23" s="2">
        <v>81.05</v>
      </c>
      <c r="BH23" s="2">
        <v>98.980999999999995</v>
      </c>
      <c r="BI23" s="2">
        <v>95.636390000000006</v>
      </c>
      <c r="BJ23" s="2">
        <v>91.493610000000004</v>
      </c>
      <c r="BK23" s="2">
        <v>11</v>
      </c>
      <c r="BL23" s="2">
        <v>10</v>
      </c>
      <c r="BM23" s="4">
        <v>15</v>
      </c>
      <c r="BN23" s="4">
        <v>2</v>
      </c>
      <c r="BO23" s="4">
        <v>1</v>
      </c>
      <c r="BP23" s="4">
        <v>13</v>
      </c>
      <c r="BQ23" s="2">
        <v>12.5</v>
      </c>
      <c r="BR23" s="4">
        <v>8</v>
      </c>
      <c r="BS23" s="4">
        <v>2</v>
      </c>
      <c r="BT23" s="4">
        <v>15</v>
      </c>
      <c r="BU23" s="2">
        <v>53.33334</v>
      </c>
      <c r="BV23" s="2">
        <v>8.1486800000000006</v>
      </c>
      <c r="BW23" s="2">
        <v>278.16460000000001</v>
      </c>
      <c r="BX23" s="3">
        <v>0.65178590000000003</v>
      </c>
      <c r="BY23" s="3">
        <v>0.23431660000000001</v>
      </c>
      <c r="BZ23" s="2">
        <v>0.98453500000000005</v>
      </c>
      <c r="CA23" s="3">
        <v>0.23431660000000001</v>
      </c>
      <c r="CB23" s="3">
        <v>2.1206749999999999</v>
      </c>
      <c r="CC23" s="3">
        <v>2.039123</v>
      </c>
      <c r="CD23" s="2">
        <v>-3.845567</v>
      </c>
      <c r="CE23" s="3">
        <v>1264.8800000000001</v>
      </c>
      <c r="CF23" s="3">
        <v>1224.4639999999999</v>
      </c>
      <c r="CG23" s="2">
        <v>-3.1952560000000001</v>
      </c>
      <c r="CH23" s="3">
        <v>29.830549999999999</v>
      </c>
      <c r="CI23" s="2">
        <v>4.2387839999999999</v>
      </c>
      <c r="CJ23" s="3">
        <v>33264.339999999997</v>
      </c>
      <c r="CK23" s="3">
        <v>34954.800000000003</v>
      </c>
      <c r="CL23" s="2">
        <v>5.0818919999999999</v>
      </c>
      <c r="CM23" s="3">
        <v>28.055520000000001</v>
      </c>
      <c r="CN23" s="3">
        <v>31.34431</v>
      </c>
      <c r="CO23" s="3">
        <v>31.338080000000001</v>
      </c>
      <c r="CP23" s="2">
        <v>14.665480000000001</v>
      </c>
      <c r="CQ23" s="2">
        <v>2.634239</v>
      </c>
      <c r="CR23" s="2">
        <v>2.6546599999999998</v>
      </c>
      <c r="CS23" s="2">
        <v>11.72245</v>
      </c>
      <c r="CT23" s="2">
        <v>14.594810000000001</v>
      </c>
      <c r="CU23" s="3">
        <v>0.16309679999999999</v>
      </c>
      <c r="CV23" s="2">
        <v>19.34892</v>
      </c>
      <c r="CW23" s="2">
        <v>2.2115809999999998</v>
      </c>
      <c r="CX23" s="2">
        <v>1.0785819999999999</v>
      </c>
      <c r="CY23" s="2">
        <v>16.77778</v>
      </c>
    </row>
    <row r="24" spans="1:103" ht="15" customHeight="1" x14ac:dyDescent="0.2">
      <c r="A24" s="1">
        <f t="shared" si="0"/>
        <v>18</v>
      </c>
      <c r="B24" s="1" t="s">
        <v>64</v>
      </c>
      <c r="C24" s="1" t="s">
        <v>63</v>
      </c>
      <c r="D24" s="1" t="s">
        <v>36</v>
      </c>
      <c r="E24" s="1" t="s">
        <v>37</v>
      </c>
      <c r="F24" s="2">
        <v>21277.61</v>
      </c>
      <c r="G24" s="2" t="e">
        <v>#N/A</v>
      </c>
      <c r="H24" s="2" t="e">
        <v>#N/A</v>
      </c>
      <c r="I24" s="3">
        <v>24.95</v>
      </c>
      <c r="J24" s="3">
        <v>0</v>
      </c>
      <c r="K24" s="2">
        <v>1.6386609999999999</v>
      </c>
      <c r="L24" s="2">
        <v>1.679138</v>
      </c>
      <c r="M24" s="2">
        <v>1.798592</v>
      </c>
      <c r="N24" s="2">
        <v>1.8954580000000001</v>
      </c>
      <c r="O24" s="2">
        <v>2.6376409999999999</v>
      </c>
      <c r="P24" s="2">
        <v>5.3097789999999998</v>
      </c>
      <c r="Q24" s="2">
        <v>5.7756699999999999</v>
      </c>
      <c r="R24" s="2">
        <v>5.0554759999999996</v>
      </c>
      <c r="S24" s="2">
        <v>1.7991600000000001</v>
      </c>
      <c r="T24" s="2">
        <v>3.3021240000000001</v>
      </c>
      <c r="U24" s="2">
        <v>3.2897439999999998</v>
      </c>
      <c r="V24" s="2">
        <v>2.986764</v>
      </c>
      <c r="W24" s="2">
        <v>0.44716600000000001</v>
      </c>
      <c r="X24" s="2">
        <v>0.41052729999999998</v>
      </c>
      <c r="Y24" s="2">
        <v>0.3826581</v>
      </c>
      <c r="Z24" s="2">
        <v>0.3345014</v>
      </c>
      <c r="AA24" s="2">
        <v>2.2276790000000002</v>
      </c>
      <c r="AB24" s="2">
        <v>3.3840159999999999</v>
      </c>
      <c r="AC24" s="2">
        <v>3.5306479999999998</v>
      </c>
      <c r="AD24" s="2">
        <v>3.0265680000000001</v>
      </c>
      <c r="AE24" s="2">
        <v>12.485799999999999</v>
      </c>
      <c r="AF24" s="2">
        <v>9.2043789999999994</v>
      </c>
      <c r="AG24" s="2">
        <v>13.57686</v>
      </c>
      <c r="AH24" s="2">
        <v>14.27549</v>
      </c>
      <c r="AI24" s="2">
        <v>10.210710000000001</v>
      </c>
      <c r="AJ24" s="2">
        <v>14.676220000000001</v>
      </c>
      <c r="AK24" s="3" t="e">
        <v>#N/A</v>
      </c>
      <c r="AL24" s="3" t="e">
        <v>#N/A</v>
      </c>
      <c r="AM24" s="2">
        <v>17.73583</v>
      </c>
      <c r="AN24" s="2">
        <v>11.077109999999999</v>
      </c>
      <c r="AO24" s="2">
        <v>11.37588</v>
      </c>
      <c r="AP24" s="2">
        <v>12.30565</v>
      </c>
      <c r="AQ24" s="2">
        <v>0.1597297</v>
      </c>
      <c r="AR24" s="2">
        <v>0.41427009999999997</v>
      </c>
      <c r="AS24" s="2">
        <v>0.32445849999999998</v>
      </c>
      <c r="AT24" s="2">
        <v>0.22389800000000001</v>
      </c>
      <c r="AU24" s="1" t="s">
        <v>5</v>
      </c>
      <c r="AV24" s="3">
        <v>1.285714</v>
      </c>
      <c r="AW24" s="3">
        <v>34.490400000000001</v>
      </c>
      <c r="AX24" s="2">
        <v>38.238079999999997</v>
      </c>
      <c r="AY24" s="2">
        <v>7.7315319999999996</v>
      </c>
      <c r="AZ24" s="2">
        <v>-15.224550000000001</v>
      </c>
      <c r="BA24" s="2">
        <v>15.884819999999999</v>
      </c>
      <c r="BB24" s="2">
        <v>1.4640089999999999</v>
      </c>
      <c r="BC24" s="3">
        <v>19.420000000000002</v>
      </c>
      <c r="BD24" s="2">
        <v>28.4758</v>
      </c>
      <c r="BE24" s="3">
        <v>30.5</v>
      </c>
      <c r="BF24" s="2">
        <v>-18.196719999999999</v>
      </c>
      <c r="BG24" s="2">
        <v>4.3336629999999996</v>
      </c>
      <c r="BH24" s="2">
        <v>10.24452</v>
      </c>
      <c r="BI24" s="2">
        <v>11.06052</v>
      </c>
      <c r="BJ24" s="2">
        <v>9.1351619999999993</v>
      </c>
      <c r="BK24" s="2">
        <v>11</v>
      </c>
      <c r="BL24" s="2">
        <v>11</v>
      </c>
      <c r="BM24" s="4">
        <v>14</v>
      </c>
      <c r="BN24" s="4">
        <v>2</v>
      </c>
      <c r="BO24" s="4">
        <v>1</v>
      </c>
      <c r="BP24" s="4">
        <v>14</v>
      </c>
      <c r="BQ24" s="2">
        <v>11.764710000000001</v>
      </c>
      <c r="BR24" s="4">
        <v>10</v>
      </c>
      <c r="BS24" s="4">
        <v>0</v>
      </c>
      <c r="BT24" s="4">
        <v>14</v>
      </c>
      <c r="BU24" s="2">
        <v>71.428569999999993</v>
      </c>
      <c r="BV24" s="2">
        <v>12.430199999999999</v>
      </c>
      <c r="BW24" s="2">
        <v>852.8098</v>
      </c>
      <c r="BX24" s="3">
        <v>0.33023079999999999</v>
      </c>
      <c r="BY24" s="3">
        <v>3.8722680000000002E-2</v>
      </c>
      <c r="BZ24" s="2">
        <v>1.4839</v>
      </c>
      <c r="CA24" s="3">
        <v>3.8722680000000002E-2</v>
      </c>
      <c r="CB24" s="3">
        <v>3.6586240000000001</v>
      </c>
      <c r="CC24" s="3">
        <v>4.5489350000000002</v>
      </c>
      <c r="CD24" s="2">
        <v>24.334610000000001</v>
      </c>
      <c r="CE24" s="3">
        <v>4318.1239999999998</v>
      </c>
      <c r="CF24" s="3">
        <v>4851.6310000000003</v>
      </c>
      <c r="CG24" s="2">
        <v>12.355090000000001</v>
      </c>
      <c r="CH24" s="3">
        <v>35.248370000000001</v>
      </c>
      <c r="CI24" s="2">
        <v>-2.1503570000000001</v>
      </c>
      <c r="CJ24" s="3">
        <v>65327.59</v>
      </c>
      <c r="CK24" s="3">
        <v>65594.28</v>
      </c>
      <c r="CL24" s="2">
        <v>0.40823219999999999</v>
      </c>
      <c r="CM24" s="3">
        <v>25.53219</v>
      </c>
      <c r="CN24" s="3">
        <v>24.871269999999999</v>
      </c>
      <c r="CO24" s="3">
        <v>24.88308</v>
      </c>
      <c r="CP24" s="2">
        <v>-2.2802229999999999</v>
      </c>
      <c r="CQ24" s="2">
        <v>0.31656030000000002</v>
      </c>
      <c r="CR24" s="2">
        <v>0.26895999999999998</v>
      </c>
      <c r="CS24" s="2">
        <v>-2.5885880000000001</v>
      </c>
      <c r="CT24" s="2">
        <v>5.3043009999999997</v>
      </c>
      <c r="CU24" s="3">
        <v>2.4929030000000001E-2</v>
      </c>
      <c r="CV24" s="2">
        <v>59.71199</v>
      </c>
      <c r="CW24" s="2">
        <v>5.6130190000000004</v>
      </c>
      <c r="CX24" s="2">
        <v>20.07375</v>
      </c>
      <c r="CY24" s="2">
        <v>17.210529999999999</v>
      </c>
    </row>
    <row r="25" spans="1:103" ht="15" customHeight="1" x14ac:dyDescent="0.2">
      <c r="A25" s="1">
        <f t="shared" si="0"/>
        <v>19</v>
      </c>
      <c r="B25" s="1" t="s">
        <v>66</v>
      </c>
      <c r="C25" s="1" t="s">
        <v>65</v>
      </c>
      <c r="D25" s="1" t="s">
        <v>15</v>
      </c>
      <c r="E25" s="1" t="s">
        <v>16</v>
      </c>
      <c r="F25" s="2">
        <v>5060.6170000000002</v>
      </c>
      <c r="G25" s="2">
        <v>70.785300000000007</v>
      </c>
      <c r="H25" s="2">
        <v>3582.1729999999998</v>
      </c>
      <c r="I25" s="3">
        <v>5.63</v>
      </c>
      <c r="J25" s="3">
        <v>0</v>
      </c>
      <c r="K25" s="2">
        <v>5.5062170000000004</v>
      </c>
      <c r="L25" s="2">
        <v>6.7889340000000002</v>
      </c>
      <c r="M25" s="2">
        <v>6.571936</v>
      </c>
      <c r="N25" s="2">
        <v>7.294778</v>
      </c>
      <c r="O25" s="2">
        <v>9.2295079999999992</v>
      </c>
      <c r="P25" s="2">
        <v>7.1366370000000003</v>
      </c>
      <c r="Q25" s="2">
        <v>7.6081079999999996</v>
      </c>
      <c r="R25" s="2">
        <v>6.7831330000000003</v>
      </c>
      <c r="S25" s="2" t="e">
        <v>#N/A</v>
      </c>
      <c r="T25" s="2" t="e">
        <v>#N/A</v>
      </c>
      <c r="U25" s="2" t="e">
        <v>#N/A</v>
      </c>
      <c r="V25" s="2" t="e">
        <v>#N/A</v>
      </c>
      <c r="W25" s="2">
        <v>1.0311360000000001</v>
      </c>
      <c r="X25" s="2">
        <v>0.96569470000000002</v>
      </c>
      <c r="Y25" s="2">
        <v>0.91256649999999995</v>
      </c>
      <c r="Z25" s="2">
        <v>0.85692539999999995</v>
      </c>
      <c r="AA25" s="2" t="e">
        <v>#N/A</v>
      </c>
      <c r="AB25" s="2" t="e">
        <v>#N/A</v>
      </c>
      <c r="AC25" s="2" t="e">
        <v>#N/A</v>
      </c>
      <c r="AD25" s="2" t="e">
        <v>#N/A</v>
      </c>
      <c r="AE25" s="2" t="e">
        <v>#N/A</v>
      </c>
      <c r="AF25" s="2" t="e">
        <v>#N/A</v>
      </c>
      <c r="AG25" s="2" t="e">
        <v>#N/A</v>
      </c>
      <c r="AH25" s="2" t="e">
        <v>#N/A</v>
      </c>
      <c r="AI25" s="2" t="e">
        <v>#N/A</v>
      </c>
      <c r="AJ25" s="2" t="e">
        <v>#N/A</v>
      </c>
      <c r="AK25" s="3">
        <v>0.84491970000000005</v>
      </c>
      <c r="AL25" s="3">
        <v>0.88321079999999996</v>
      </c>
      <c r="AM25" s="2" t="e">
        <v>#N/A</v>
      </c>
      <c r="AN25" s="2" t="e">
        <v>#N/A</v>
      </c>
      <c r="AO25" s="2" t="e">
        <v>#N/A</v>
      </c>
      <c r="AP25" s="2" t="e">
        <v>#N/A</v>
      </c>
      <c r="AQ25" s="2" t="e">
        <v>#N/A</v>
      </c>
      <c r="AR25" s="2" t="e">
        <v>#N/A</v>
      </c>
      <c r="AS25" s="2" t="e">
        <v>#N/A</v>
      </c>
      <c r="AT25" s="2" t="e">
        <v>#N/A</v>
      </c>
      <c r="AU25" s="1" t="s">
        <v>52</v>
      </c>
      <c r="AV25" s="3">
        <v>1.619048</v>
      </c>
      <c r="AW25" s="3">
        <v>7</v>
      </c>
      <c r="AX25" s="2">
        <v>24.333919999999999</v>
      </c>
      <c r="AY25" s="2">
        <v>13.531510000000001</v>
      </c>
      <c r="AZ25" s="2">
        <v>11.44783</v>
      </c>
      <c r="BA25" s="2">
        <v>-5.4099440000000003</v>
      </c>
      <c r="BB25" s="2">
        <v>-10.17869</v>
      </c>
      <c r="BC25" s="3">
        <v>4.5309999999999997</v>
      </c>
      <c r="BD25" s="2">
        <v>24.255130000000001</v>
      </c>
      <c r="BE25" s="3">
        <v>6.9340000000000002</v>
      </c>
      <c r="BF25" s="2">
        <v>-18.805890000000002</v>
      </c>
      <c r="BG25" s="2">
        <v>49.819800000000001</v>
      </c>
      <c r="BH25" s="2">
        <v>49.846150000000002</v>
      </c>
      <c r="BI25" s="2">
        <v>49.9711</v>
      </c>
      <c r="BJ25" s="2">
        <v>51.327109999999998</v>
      </c>
      <c r="BK25" s="2">
        <v>20</v>
      </c>
      <c r="BL25" s="2">
        <v>13</v>
      </c>
      <c r="BM25" s="4">
        <v>21</v>
      </c>
      <c r="BN25" s="4">
        <v>3</v>
      </c>
      <c r="BO25" s="4">
        <v>2</v>
      </c>
      <c r="BP25" s="4">
        <v>20</v>
      </c>
      <c r="BQ25" s="2">
        <v>12</v>
      </c>
      <c r="BR25" s="4">
        <v>10</v>
      </c>
      <c r="BS25" s="4">
        <v>2</v>
      </c>
      <c r="BT25" s="4">
        <v>21</v>
      </c>
      <c r="BU25" s="2">
        <v>47.619050000000001</v>
      </c>
      <c r="BV25" s="2">
        <v>10.118</v>
      </c>
      <c r="BW25" s="2">
        <v>898.86609999999996</v>
      </c>
      <c r="BX25" s="3">
        <v>3.2943039999999999</v>
      </c>
      <c r="BY25" s="3">
        <v>0.36649549999999997</v>
      </c>
      <c r="BZ25" s="2">
        <v>0.87656199999999995</v>
      </c>
      <c r="CA25" s="3">
        <v>0.36649549999999997</v>
      </c>
      <c r="CB25" s="3">
        <v>0.73657689999999998</v>
      </c>
      <c r="CC25" s="3">
        <v>0.80161389999999999</v>
      </c>
      <c r="CD25" s="2">
        <v>8.829618</v>
      </c>
      <c r="CE25" s="3">
        <v>1403.3140000000001</v>
      </c>
      <c r="CF25" s="3">
        <v>1486.34</v>
      </c>
      <c r="CG25" s="2">
        <v>5.9164289999999999</v>
      </c>
      <c r="CH25" s="3">
        <v>7.4169999999999998</v>
      </c>
      <c r="CI25" s="2">
        <v>-5.6222139999999996</v>
      </c>
      <c r="CJ25" s="3">
        <v>2404.0700000000002</v>
      </c>
      <c r="CK25" s="3">
        <v>2475.0940000000001</v>
      </c>
      <c r="CL25" s="2">
        <v>2.9543159999999999</v>
      </c>
      <c r="CM25" s="3">
        <v>5.9395509999999998</v>
      </c>
      <c r="CN25" s="3">
        <v>5.4629799999999999</v>
      </c>
      <c r="CO25" s="3">
        <v>5.6073849999999998</v>
      </c>
      <c r="CP25" s="2">
        <v>-5.2116870000000004</v>
      </c>
      <c r="CQ25" s="2">
        <v>3.0573130000000002</v>
      </c>
      <c r="CR25" s="2">
        <v>0.40332079999999998</v>
      </c>
      <c r="CS25" s="2">
        <v>-8.0236909999999995</v>
      </c>
      <c r="CT25" s="2">
        <v>14.894869999999999</v>
      </c>
      <c r="CU25" s="3">
        <v>0.29432920000000001</v>
      </c>
      <c r="CV25" s="2">
        <v>20.08952</v>
      </c>
      <c r="CW25" s="2">
        <v>9.8020409999999991</v>
      </c>
      <c r="CX25" s="2">
        <v>15.5</v>
      </c>
      <c r="CY25" s="2">
        <v>17.41414</v>
      </c>
    </row>
    <row r="26" spans="1:103" ht="15" customHeight="1" x14ac:dyDescent="0.2">
      <c r="A26" s="1">
        <f t="shared" si="0"/>
        <v>20</v>
      </c>
      <c r="B26" s="1" t="s">
        <v>68</v>
      </c>
      <c r="C26" s="1" t="s">
        <v>67</v>
      </c>
      <c r="D26" s="1" t="s">
        <v>58</v>
      </c>
      <c r="E26" s="1" t="s">
        <v>59</v>
      </c>
      <c r="F26" s="2">
        <v>20804.48</v>
      </c>
      <c r="G26" s="2">
        <v>29.875</v>
      </c>
      <c r="H26" s="2">
        <v>6215.3379999999997</v>
      </c>
      <c r="I26" s="3">
        <v>19.649999999999999</v>
      </c>
      <c r="J26" s="3">
        <v>0</v>
      </c>
      <c r="K26" s="2">
        <v>8.0916029999999992</v>
      </c>
      <c r="L26" s="2">
        <v>5.3958779999999997</v>
      </c>
      <c r="M26" s="2">
        <v>5.9033439999999997</v>
      </c>
      <c r="N26" s="2">
        <v>6.7967060000000004</v>
      </c>
      <c r="O26" s="2">
        <v>8.6946899999999996</v>
      </c>
      <c r="P26" s="2">
        <v>13.18792</v>
      </c>
      <c r="Q26" s="2">
        <v>12.28125</v>
      </c>
      <c r="R26" s="2">
        <v>10.686210000000001</v>
      </c>
      <c r="S26" s="2">
        <v>5.3137629999999998</v>
      </c>
      <c r="T26" s="2">
        <v>6.9996960000000001</v>
      </c>
      <c r="U26" s="2">
        <v>6.7061760000000001</v>
      </c>
      <c r="V26" s="2">
        <v>6.4175529999999998</v>
      </c>
      <c r="W26" s="2">
        <v>3.7418130000000001</v>
      </c>
      <c r="X26" s="2">
        <v>3.7632759999999998</v>
      </c>
      <c r="Y26" s="2">
        <v>3.3787880000000001</v>
      </c>
      <c r="Z26" s="2">
        <v>2.932836</v>
      </c>
      <c r="AA26" s="2">
        <v>4.7643769999999996</v>
      </c>
      <c r="AB26" s="2">
        <v>6.0208599999999999</v>
      </c>
      <c r="AC26" s="2">
        <v>5.4466890000000001</v>
      </c>
      <c r="AD26" s="2">
        <v>5.1838680000000004</v>
      </c>
      <c r="AE26" s="2">
        <v>2.5615610000000002</v>
      </c>
      <c r="AF26" s="2">
        <v>3.1400670000000002</v>
      </c>
      <c r="AG26" s="2">
        <v>4.2758779999999996</v>
      </c>
      <c r="AH26" s="2">
        <v>4.0127309999999996</v>
      </c>
      <c r="AI26" s="2">
        <v>4.9940879999999996</v>
      </c>
      <c r="AJ26" s="2">
        <v>6.7835109999999998</v>
      </c>
      <c r="AK26" s="3" t="e">
        <v>#N/A</v>
      </c>
      <c r="AL26" s="3" t="e">
        <v>#N/A</v>
      </c>
      <c r="AM26" s="2">
        <v>16.91695</v>
      </c>
      <c r="AN26" s="2">
        <v>18.59986</v>
      </c>
      <c r="AO26" s="2">
        <v>22.038589999999999</v>
      </c>
      <c r="AP26" s="2">
        <v>21.691199999999998</v>
      </c>
      <c r="AQ26" s="2">
        <v>1.9586699999999999</v>
      </c>
      <c r="AR26" s="2">
        <v>2.5313810000000001</v>
      </c>
      <c r="AS26" s="2">
        <v>2.4896219999999998</v>
      </c>
      <c r="AT26" s="2">
        <v>2.3723510000000001</v>
      </c>
      <c r="AU26" s="1" t="s">
        <v>62</v>
      </c>
      <c r="AV26" s="3">
        <v>1.5227269999999999</v>
      </c>
      <c r="AW26" s="3">
        <v>22.7</v>
      </c>
      <c r="AX26" s="2">
        <v>15.52163</v>
      </c>
      <c r="AY26" s="2">
        <v>28.535789999999999</v>
      </c>
      <c r="AZ26" s="2" t="e">
        <v>#N/A</v>
      </c>
      <c r="BA26" s="2">
        <v>9.1666699999999999</v>
      </c>
      <c r="BB26" s="2">
        <v>11.42614</v>
      </c>
      <c r="BC26" s="3">
        <v>14.07</v>
      </c>
      <c r="BD26" s="2">
        <v>39.658839999999998</v>
      </c>
      <c r="BE26" s="3">
        <v>21.51</v>
      </c>
      <c r="BF26" s="2">
        <v>-8.6471440000000008</v>
      </c>
      <c r="BG26" s="2">
        <v>68.862390000000005</v>
      </c>
      <c r="BH26" s="2">
        <v>73.774889999999999</v>
      </c>
      <c r="BI26" s="2">
        <v>70.230189999999993</v>
      </c>
      <c r="BJ26" s="2">
        <v>72.552250000000001</v>
      </c>
      <c r="BK26" s="2">
        <v>20</v>
      </c>
      <c r="BL26" s="2">
        <v>18</v>
      </c>
      <c r="BM26" s="4">
        <v>22</v>
      </c>
      <c r="BN26" s="4">
        <v>0</v>
      </c>
      <c r="BO26" s="4">
        <v>2</v>
      </c>
      <c r="BP26" s="4">
        <v>19</v>
      </c>
      <c r="BQ26" s="2">
        <v>0</v>
      </c>
      <c r="BR26" s="4">
        <v>12</v>
      </c>
      <c r="BS26" s="4">
        <v>0</v>
      </c>
      <c r="BT26" s="4">
        <v>22</v>
      </c>
      <c r="BU26" s="2">
        <v>54.545459999999999</v>
      </c>
      <c r="BV26" s="2">
        <v>6.5033399999999997</v>
      </c>
      <c r="BW26" s="2">
        <v>1058.752</v>
      </c>
      <c r="BX26" s="3">
        <v>1.2957380000000001</v>
      </c>
      <c r="BY26" s="3">
        <v>0.12238350000000001</v>
      </c>
      <c r="BZ26" s="2">
        <v>0.475499</v>
      </c>
      <c r="CA26" s="3">
        <v>0.12238350000000001</v>
      </c>
      <c r="CB26" s="3">
        <v>1.5184660000000001</v>
      </c>
      <c r="CC26" s="3">
        <v>1.506483</v>
      </c>
      <c r="CD26" s="2">
        <v>-0.7891357</v>
      </c>
      <c r="CE26" s="3">
        <v>2642.578</v>
      </c>
      <c r="CF26" s="3">
        <v>2712.9720000000002</v>
      </c>
      <c r="CG26" s="2">
        <v>2.6638630000000001</v>
      </c>
      <c r="CH26" s="3">
        <v>21.836500000000001</v>
      </c>
      <c r="CI26" s="2">
        <v>3.9543870000000001</v>
      </c>
      <c r="CJ26" s="3">
        <v>23322.79</v>
      </c>
      <c r="CK26" s="3">
        <v>24718.39</v>
      </c>
      <c r="CL26" s="2">
        <v>5.9838180000000003</v>
      </c>
      <c r="CM26" s="3">
        <v>18.592890000000001</v>
      </c>
      <c r="CN26" s="3">
        <v>20.421669999999999</v>
      </c>
      <c r="CO26" s="3">
        <v>20.798649999999999</v>
      </c>
      <c r="CP26" s="2">
        <v>5.6855440000000002</v>
      </c>
      <c r="CQ26" s="2">
        <v>-3.7786780000000002</v>
      </c>
      <c r="CR26" s="2">
        <v>-5.5227339999999998</v>
      </c>
      <c r="CS26" s="2">
        <v>9.8358989999999995</v>
      </c>
      <c r="CT26" s="2">
        <v>30.119789999999998</v>
      </c>
      <c r="CU26" s="3">
        <v>0.1447755</v>
      </c>
      <c r="CV26" s="2">
        <v>1.818182</v>
      </c>
      <c r="CW26" s="2">
        <v>-37.533650000000002</v>
      </c>
      <c r="CX26" s="2">
        <v>4.7619049999999996</v>
      </c>
      <c r="CY26" s="2">
        <v>17.47475</v>
      </c>
    </row>
    <row r="27" spans="1:103" ht="15" customHeight="1" x14ac:dyDescent="0.2">
      <c r="A27" s="1">
        <f t="shared" si="0"/>
        <v>21</v>
      </c>
      <c r="B27" s="1" t="s">
        <v>70</v>
      </c>
      <c r="C27" s="1" t="s">
        <v>69</v>
      </c>
      <c r="D27" s="1" t="s">
        <v>32</v>
      </c>
      <c r="E27" s="1" t="s">
        <v>33</v>
      </c>
      <c r="F27" s="2">
        <v>21460.78</v>
      </c>
      <c r="G27" s="2">
        <v>90.071100000000001</v>
      </c>
      <c r="H27" s="2">
        <v>19329.96</v>
      </c>
      <c r="I27" s="3">
        <v>3.7160000000000002</v>
      </c>
      <c r="J27" s="3">
        <v>0</v>
      </c>
      <c r="K27" s="2">
        <v>8.0731970000000004</v>
      </c>
      <c r="L27" s="2">
        <v>8.0731970000000004</v>
      </c>
      <c r="M27" s="2">
        <v>8.0731970000000004</v>
      </c>
      <c r="N27" s="2">
        <v>8.0731970000000004</v>
      </c>
      <c r="O27" s="2">
        <v>11.26061</v>
      </c>
      <c r="P27" s="2">
        <v>11.95322</v>
      </c>
      <c r="Q27" s="2">
        <v>10.881399999999999</v>
      </c>
      <c r="R27" s="2">
        <v>10.643660000000001</v>
      </c>
      <c r="S27" s="2">
        <v>4.2860440000000004</v>
      </c>
      <c r="T27" s="2">
        <v>4.2918750000000001</v>
      </c>
      <c r="U27" s="2">
        <v>4.2169179999999997</v>
      </c>
      <c r="V27" s="2">
        <v>4.1368330000000002</v>
      </c>
      <c r="W27" s="2">
        <v>0.85021170000000001</v>
      </c>
      <c r="X27" s="2">
        <v>0.85622120000000002</v>
      </c>
      <c r="Y27" s="2">
        <v>0.86418600000000001</v>
      </c>
      <c r="Z27" s="2">
        <v>0.86007540000000005</v>
      </c>
      <c r="AA27" s="2">
        <v>1.925389</v>
      </c>
      <c r="AB27" s="2">
        <v>2.0430609999999998</v>
      </c>
      <c r="AC27" s="2">
        <v>2.0264129999999998</v>
      </c>
      <c r="AD27" s="2">
        <v>2.0109119999999998</v>
      </c>
      <c r="AE27" s="2">
        <v>5.9484389999999996</v>
      </c>
      <c r="AF27" s="2">
        <v>6.1257820000000001</v>
      </c>
      <c r="AG27" s="2">
        <v>6.4150239999999998</v>
      </c>
      <c r="AH27" s="2">
        <v>15.458320000000001</v>
      </c>
      <c r="AI27" s="2">
        <v>15.766540000000001</v>
      </c>
      <c r="AJ27" s="2">
        <v>16.419969999999999</v>
      </c>
      <c r="AK27" s="3">
        <v>0.56809860000000001</v>
      </c>
      <c r="AL27" s="3">
        <v>0.5037973</v>
      </c>
      <c r="AM27" s="2">
        <v>32.136699999999998</v>
      </c>
      <c r="AN27" s="2">
        <v>32.048459999999999</v>
      </c>
      <c r="AO27" s="2">
        <v>32.148539999999997</v>
      </c>
      <c r="AP27" s="2">
        <v>32.222520000000003</v>
      </c>
      <c r="AQ27" s="2">
        <v>2.7649949999999999</v>
      </c>
      <c r="AR27" s="2">
        <v>2.6403409999999998</v>
      </c>
      <c r="AS27" s="2">
        <v>2.5785170000000002</v>
      </c>
      <c r="AT27" s="2">
        <v>2.5206369999999998</v>
      </c>
      <c r="AU27" s="1" t="s">
        <v>55</v>
      </c>
      <c r="AV27" s="3">
        <v>1.5625</v>
      </c>
      <c r="AW27" s="3">
        <v>4.45</v>
      </c>
      <c r="AX27" s="2">
        <v>19.752420000000001</v>
      </c>
      <c r="AY27" s="2">
        <v>7.1630979999999997</v>
      </c>
      <c r="AZ27" s="2">
        <v>20.195509999999999</v>
      </c>
      <c r="BA27" s="2">
        <v>-23.570540000000001</v>
      </c>
      <c r="BB27" s="2">
        <v>9.7784399999999998</v>
      </c>
      <c r="BC27" s="3">
        <v>3.218</v>
      </c>
      <c r="BD27" s="2">
        <v>15.47545</v>
      </c>
      <c r="BE27" s="3">
        <v>4.9569999999999999</v>
      </c>
      <c r="BF27" s="2">
        <v>-25.035299999999999</v>
      </c>
      <c r="BG27" s="2">
        <v>90.909099999999995</v>
      </c>
      <c r="BH27" s="2">
        <v>88.486810000000006</v>
      </c>
      <c r="BI27" s="2">
        <v>78.818479999999994</v>
      </c>
      <c r="BJ27" s="2">
        <v>71.420640000000006</v>
      </c>
      <c r="BK27" s="2">
        <v>20</v>
      </c>
      <c r="BL27" s="2">
        <v>17</v>
      </c>
      <c r="BM27" s="4">
        <v>24</v>
      </c>
      <c r="BN27" s="4">
        <v>1</v>
      </c>
      <c r="BO27" s="4">
        <v>2</v>
      </c>
      <c r="BP27" s="4">
        <v>22</v>
      </c>
      <c r="BQ27" s="2">
        <v>4</v>
      </c>
      <c r="BR27" s="4">
        <v>12</v>
      </c>
      <c r="BS27" s="4">
        <v>1</v>
      </c>
      <c r="BT27" s="4">
        <v>24</v>
      </c>
      <c r="BU27" s="2">
        <v>50</v>
      </c>
      <c r="BV27" s="2">
        <v>8.85731</v>
      </c>
      <c r="BW27" s="2">
        <v>5775.2380000000003</v>
      </c>
      <c r="BX27" s="3">
        <v>17.317689999999999</v>
      </c>
      <c r="BY27" s="3">
        <v>0.29986109999999999</v>
      </c>
      <c r="BZ27" s="2">
        <v>0.92557500000000004</v>
      </c>
      <c r="CA27" s="3">
        <v>0.29986109999999999</v>
      </c>
      <c r="CB27" s="3">
        <v>0.3057029</v>
      </c>
      <c r="CC27" s="3">
        <v>0.33605960000000001</v>
      </c>
      <c r="CD27" s="2">
        <v>9.9301340000000007</v>
      </c>
      <c r="CE27" s="3">
        <v>4168.8810000000003</v>
      </c>
      <c r="CF27" s="3">
        <v>4154.625</v>
      </c>
      <c r="CG27" s="2">
        <v>-0.34196969999999999</v>
      </c>
      <c r="CH27" s="3">
        <v>4.2935999999999996</v>
      </c>
      <c r="CI27" s="2">
        <v>3.6426189999999998</v>
      </c>
      <c r="CJ27" s="3">
        <v>40170.129999999997</v>
      </c>
      <c r="CK27" s="3">
        <v>40477.69</v>
      </c>
      <c r="CL27" s="2">
        <v>0.76564549999999998</v>
      </c>
      <c r="CM27" s="3">
        <v>3.6803379999999999</v>
      </c>
      <c r="CN27" s="3">
        <v>3.8802750000000001</v>
      </c>
      <c r="CO27" s="3">
        <v>3.767077</v>
      </c>
      <c r="CP27" s="2">
        <v>0.96899270000000004</v>
      </c>
      <c r="CQ27" s="2">
        <v>-4.233581</v>
      </c>
      <c r="CR27" s="2">
        <v>-1.3558859999999999</v>
      </c>
      <c r="CS27" s="2">
        <v>5.4325580000000002</v>
      </c>
      <c r="CT27" s="2">
        <v>72.794250000000005</v>
      </c>
      <c r="CU27" s="3">
        <v>0.33919660000000001</v>
      </c>
      <c r="CV27" s="2">
        <v>12.5</v>
      </c>
      <c r="CW27" s="2">
        <v>2.6180970000000001</v>
      </c>
      <c r="CX27" s="2">
        <v>2.241981</v>
      </c>
      <c r="CY27" s="2">
        <v>17.80808</v>
      </c>
    </row>
    <row r="28" spans="1:103" ht="15" customHeight="1" x14ac:dyDescent="0.2">
      <c r="A28" s="1">
        <f t="shared" si="0"/>
        <v>22</v>
      </c>
      <c r="B28" s="1" t="s">
        <v>72</v>
      </c>
      <c r="C28" s="1" t="s">
        <v>71</v>
      </c>
      <c r="D28" s="1" t="s">
        <v>28</v>
      </c>
      <c r="E28" s="1" t="s">
        <v>29</v>
      </c>
      <c r="F28" s="2">
        <v>21074.03</v>
      </c>
      <c r="G28" s="2">
        <v>45.9405</v>
      </c>
      <c r="H28" s="2">
        <v>9681.5149999999994</v>
      </c>
      <c r="I28" s="3">
        <v>28.97</v>
      </c>
      <c r="J28" s="3">
        <v>0</v>
      </c>
      <c r="K28" s="2">
        <v>2.4853299999999998</v>
      </c>
      <c r="L28" s="2">
        <v>2.4853299999999998</v>
      </c>
      <c r="M28" s="2">
        <v>2.5543670000000001</v>
      </c>
      <c r="N28" s="2">
        <v>2.6269040000000001</v>
      </c>
      <c r="O28" s="2">
        <v>113.6078</v>
      </c>
      <c r="P28" s="2">
        <v>73.276470000000003</v>
      </c>
      <c r="Q28" s="2">
        <v>48.185229999999997</v>
      </c>
      <c r="R28" s="2">
        <v>38.626669999999997</v>
      </c>
      <c r="S28" s="2">
        <v>32.491799999999998</v>
      </c>
      <c r="T28" s="2">
        <v>28.175699999999999</v>
      </c>
      <c r="U28" s="2">
        <v>23.29917</v>
      </c>
      <c r="V28" s="2">
        <v>20.558810000000001</v>
      </c>
      <c r="W28" s="2">
        <v>5.1183740000000002</v>
      </c>
      <c r="X28" s="2">
        <v>5.5274710000000002</v>
      </c>
      <c r="Y28" s="2">
        <v>5.8014270000000003</v>
      </c>
      <c r="Z28" s="2">
        <v>5.9670439999999996</v>
      </c>
      <c r="AA28" s="2">
        <v>39.684930000000001</v>
      </c>
      <c r="AB28" s="2">
        <v>31.95233</v>
      </c>
      <c r="AC28" s="2">
        <v>25.329619999999998</v>
      </c>
      <c r="AD28" s="2">
        <v>18.098020000000002</v>
      </c>
      <c r="AE28" s="2">
        <v>1.802635</v>
      </c>
      <c r="AF28" s="2">
        <v>2.3400880000000002</v>
      </c>
      <c r="AG28" s="2">
        <v>3.3601519999999998</v>
      </c>
      <c r="AH28" s="2">
        <v>2.3185159999999998</v>
      </c>
      <c r="AI28" s="2">
        <v>3.0269900000000001</v>
      </c>
      <c r="AJ28" s="2">
        <v>4.353974</v>
      </c>
      <c r="AK28" s="3" t="e">
        <v>#N/A</v>
      </c>
      <c r="AL28" s="3" t="e">
        <v>#N/A</v>
      </c>
      <c r="AM28" s="2">
        <v>9.6411079999999991</v>
      </c>
      <c r="AN28" s="2">
        <v>12.107799999999999</v>
      </c>
      <c r="AO28" s="2">
        <v>14.29682</v>
      </c>
      <c r="AP28" s="2">
        <v>15.63555</v>
      </c>
      <c r="AQ28" s="2">
        <v>8.0405219999999993</v>
      </c>
      <c r="AR28" s="2">
        <v>6.2692310000000004</v>
      </c>
      <c r="AS28" s="2">
        <v>5.2871790000000001</v>
      </c>
      <c r="AT28" s="2">
        <v>4.6926759999999996</v>
      </c>
      <c r="AU28" s="1" t="s">
        <v>52</v>
      </c>
      <c r="AV28" s="3">
        <v>1.6666669999999999</v>
      </c>
      <c r="AW28" s="3">
        <v>30.5</v>
      </c>
      <c r="AX28" s="2">
        <v>5.2813290000000004</v>
      </c>
      <c r="AY28" s="2">
        <v>7.54331</v>
      </c>
      <c r="AZ28" s="2">
        <v>-23</v>
      </c>
      <c r="BA28" s="2">
        <v>19.76023</v>
      </c>
      <c r="BB28" s="2">
        <v>18.389869999999998</v>
      </c>
      <c r="BC28" s="3">
        <v>22.38</v>
      </c>
      <c r="BD28" s="2">
        <v>29.445930000000001</v>
      </c>
      <c r="BE28" s="3">
        <v>29.94</v>
      </c>
      <c r="BF28" s="2">
        <v>-3.2398159999999998</v>
      </c>
      <c r="BG28" s="2">
        <v>314.09269999999998</v>
      </c>
      <c r="BH28" s="2">
        <v>173.58750000000001</v>
      </c>
      <c r="BI28" s="2">
        <v>124.1464</v>
      </c>
      <c r="BJ28" s="2">
        <v>99.164490000000001</v>
      </c>
      <c r="BK28" s="2">
        <v>17</v>
      </c>
      <c r="BL28" s="2">
        <v>13</v>
      </c>
      <c r="BM28" s="4">
        <v>21</v>
      </c>
      <c r="BN28" s="4">
        <v>1</v>
      </c>
      <c r="BO28" s="4">
        <v>1</v>
      </c>
      <c r="BP28" s="4">
        <v>19</v>
      </c>
      <c r="BQ28" s="2">
        <v>4.7619049999999996</v>
      </c>
      <c r="BR28" s="4">
        <v>10</v>
      </c>
      <c r="BS28" s="4">
        <v>3</v>
      </c>
      <c r="BT28" s="4">
        <v>21</v>
      </c>
      <c r="BU28" s="2">
        <v>47.619050000000001</v>
      </c>
      <c r="BV28" s="2">
        <v>7.7621500000000001</v>
      </c>
      <c r="BW28" s="2">
        <v>727.44320000000005</v>
      </c>
      <c r="BX28" s="3">
        <v>1.015112</v>
      </c>
      <c r="BY28" s="3">
        <v>0.13954520000000001</v>
      </c>
      <c r="BZ28" s="2">
        <v>0.99904499999999996</v>
      </c>
      <c r="CA28" s="3">
        <v>0.13954520000000001</v>
      </c>
      <c r="CB28" s="3">
        <v>0.41576839999999998</v>
      </c>
      <c r="CC28" s="3">
        <v>0.42258869999999998</v>
      </c>
      <c r="CD28" s="2">
        <v>1.640415</v>
      </c>
      <c r="CE28" s="3">
        <v>606.27139999999997</v>
      </c>
      <c r="CF28" s="3">
        <v>620.81269999999995</v>
      </c>
      <c r="CG28" s="2">
        <v>2.398479</v>
      </c>
      <c r="CH28" s="3">
        <v>28.430479999999999</v>
      </c>
      <c r="CI28" s="2">
        <v>7.2792409999999999</v>
      </c>
      <c r="CJ28" s="3">
        <v>7702.2780000000002</v>
      </c>
      <c r="CK28" s="3">
        <v>7893.3819999999996</v>
      </c>
      <c r="CL28" s="2">
        <v>2.4811390000000002</v>
      </c>
      <c r="CM28" s="3">
        <v>26.460550000000001</v>
      </c>
      <c r="CN28" s="3">
        <v>28.904900000000001</v>
      </c>
      <c r="CO28" s="3">
        <v>28.967690000000001</v>
      </c>
      <c r="CP28" s="2">
        <v>9.4837550000000004</v>
      </c>
      <c r="CQ28" s="2">
        <v>0.2252102</v>
      </c>
      <c r="CR28" s="2">
        <v>7.9631809999999997E-3</v>
      </c>
      <c r="CS28" s="2">
        <v>9.2377300000000009</v>
      </c>
      <c r="CT28" s="2">
        <v>25.063410000000001</v>
      </c>
      <c r="CU28" s="3">
        <v>0.1189303</v>
      </c>
      <c r="CV28" s="2" t="e">
        <v>#N/A</v>
      </c>
      <c r="CW28" s="2">
        <v>6.3015309999999998</v>
      </c>
      <c r="CX28" s="2">
        <v>-1.7421599999999999</v>
      </c>
      <c r="CY28" s="2">
        <v>18.212119999999999</v>
      </c>
    </row>
    <row r="29" spans="1:103" ht="15" customHeight="1" x14ac:dyDescent="0.2">
      <c r="A29" s="1">
        <f t="shared" si="0"/>
        <v>23</v>
      </c>
      <c r="B29" s="1" t="s">
        <v>74</v>
      </c>
      <c r="C29" s="1" t="s">
        <v>73</v>
      </c>
      <c r="D29" s="1" t="s">
        <v>58</v>
      </c>
      <c r="E29" s="1" t="s">
        <v>75</v>
      </c>
      <c r="F29" s="2">
        <v>4715.8209999999999</v>
      </c>
      <c r="G29" s="2">
        <v>86.550600000000003</v>
      </c>
      <c r="H29" s="2">
        <v>4081.5720000000001</v>
      </c>
      <c r="I29" s="3">
        <v>18</v>
      </c>
      <c r="J29" s="3">
        <v>0</v>
      </c>
      <c r="K29" s="2">
        <v>9.5555559999999993</v>
      </c>
      <c r="L29" s="2">
        <v>9.6666659999999993</v>
      </c>
      <c r="M29" s="2">
        <v>9.6666659999999993</v>
      </c>
      <c r="N29" s="2">
        <v>9.6666659999999993</v>
      </c>
      <c r="O29" s="2">
        <v>12.58741</v>
      </c>
      <c r="P29" s="2">
        <v>15.517239999999999</v>
      </c>
      <c r="Q29" s="2">
        <v>19.354839999999999</v>
      </c>
      <c r="R29" s="2">
        <v>22.22222</v>
      </c>
      <c r="S29" s="2">
        <v>9.4850709999999996</v>
      </c>
      <c r="T29" s="2">
        <v>10.91905</v>
      </c>
      <c r="U29" s="2">
        <v>11.6326</v>
      </c>
      <c r="V29" s="2">
        <v>12.480090000000001</v>
      </c>
      <c r="W29" s="2">
        <v>1.4729950000000001</v>
      </c>
      <c r="X29" s="2">
        <v>1.538462</v>
      </c>
      <c r="Y29" s="2">
        <v>1.651376</v>
      </c>
      <c r="Z29" s="2">
        <v>1.82002</v>
      </c>
      <c r="AA29" s="2">
        <v>6.8215599999999998</v>
      </c>
      <c r="AB29" s="2">
        <v>8.3349890000000002</v>
      </c>
      <c r="AC29" s="2">
        <v>8.6538470000000007</v>
      </c>
      <c r="AD29" s="2">
        <v>9.5744679999999995</v>
      </c>
      <c r="AE29" s="2">
        <v>3.8087960000000001</v>
      </c>
      <c r="AF29" s="2">
        <v>4.7799469999999999</v>
      </c>
      <c r="AG29" s="2">
        <v>3.3111350000000002</v>
      </c>
      <c r="AH29" s="2">
        <v>6.794975</v>
      </c>
      <c r="AI29" s="2">
        <v>8.5365230000000007</v>
      </c>
      <c r="AJ29" s="2">
        <v>6.019965</v>
      </c>
      <c r="AK29" s="3" t="e">
        <v>#N/A</v>
      </c>
      <c r="AL29" s="3" t="e">
        <v>#N/A</v>
      </c>
      <c r="AM29" s="2">
        <v>82.180769999999995</v>
      </c>
      <c r="AN29" s="2">
        <v>81.620769999999993</v>
      </c>
      <c r="AO29" s="2">
        <v>80.893860000000004</v>
      </c>
      <c r="AP29" s="2">
        <v>81.742540000000005</v>
      </c>
      <c r="AQ29" s="2">
        <v>4.3842489999999996</v>
      </c>
      <c r="AR29" s="2">
        <v>4.7985819999999997</v>
      </c>
      <c r="AS29" s="2">
        <v>5.1190329999999999</v>
      </c>
      <c r="AT29" s="2">
        <v>5.6157209999999997</v>
      </c>
      <c r="AU29" s="1" t="s">
        <v>52</v>
      </c>
      <c r="AV29" s="3">
        <v>2.2000000000000002</v>
      </c>
      <c r="AW29" s="3">
        <v>17.635000000000002</v>
      </c>
      <c r="AX29" s="2">
        <v>-2.027774</v>
      </c>
      <c r="AY29" s="2">
        <v>9.9145299999999992</v>
      </c>
      <c r="AZ29" s="2">
        <v>-11.69843</v>
      </c>
      <c r="BA29" s="2">
        <v>-14.57048</v>
      </c>
      <c r="BB29" s="2">
        <v>15.94204</v>
      </c>
      <c r="BC29" s="3">
        <v>14.25</v>
      </c>
      <c r="BD29" s="2">
        <v>26.31578</v>
      </c>
      <c r="BE29" s="3">
        <v>21.73</v>
      </c>
      <c r="BF29" s="2">
        <v>-17.165209999999998</v>
      </c>
      <c r="BG29" s="2">
        <v>116.815</v>
      </c>
      <c r="BH29" s="2">
        <v>147.58940000000001</v>
      </c>
      <c r="BI29" s="2">
        <v>185.32660000000001</v>
      </c>
      <c r="BJ29" s="2">
        <v>207.5471</v>
      </c>
      <c r="BK29" s="2">
        <v>17</v>
      </c>
      <c r="BL29" s="2">
        <v>16</v>
      </c>
      <c r="BM29" s="4">
        <v>20</v>
      </c>
      <c r="BN29" s="4">
        <v>0</v>
      </c>
      <c r="BO29" s="4">
        <v>1</v>
      </c>
      <c r="BP29" s="4">
        <v>19</v>
      </c>
      <c r="BQ29" s="2">
        <v>0</v>
      </c>
      <c r="BR29" s="4">
        <v>4</v>
      </c>
      <c r="BS29" s="4">
        <v>9</v>
      </c>
      <c r="BT29" s="4">
        <v>20</v>
      </c>
      <c r="BU29" s="2">
        <v>20</v>
      </c>
      <c r="BV29" s="2">
        <v>5.5588499999999996</v>
      </c>
      <c r="BW29" s="2">
        <v>261.99009999999998</v>
      </c>
      <c r="BX29" s="3">
        <v>0.93563819999999998</v>
      </c>
      <c r="BY29" s="3">
        <v>0.35712729999999998</v>
      </c>
      <c r="BZ29" s="2">
        <v>0.46567199999999997</v>
      </c>
      <c r="CA29" s="3">
        <v>0.35712729999999998</v>
      </c>
      <c r="CB29" s="3">
        <v>1.1286080000000001</v>
      </c>
      <c r="CC29" s="3">
        <v>1.1489739999999999</v>
      </c>
      <c r="CD29" s="2">
        <v>1.804578</v>
      </c>
      <c r="CE29" s="3">
        <v>443.33600000000001</v>
      </c>
      <c r="CF29" s="3">
        <v>448.54349999999999</v>
      </c>
      <c r="CG29" s="2">
        <v>1.174617</v>
      </c>
      <c r="CH29" s="3">
        <v>16.656839999999999</v>
      </c>
      <c r="CI29" s="2">
        <v>5.8724160000000003</v>
      </c>
      <c r="CJ29" s="3">
        <v>933.61329999999998</v>
      </c>
      <c r="CK29" s="3">
        <v>939.76980000000003</v>
      </c>
      <c r="CL29" s="2">
        <v>0.65942999999999996</v>
      </c>
      <c r="CM29" s="3">
        <v>17.060890000000001</v>
      </c>
      <c r="CN29" s="3">
        <v>18.03471</v>
      </c>
      <c r="CO29" s="3">
        <v>18.053270000000001</v>
      </c>
      <c r="CP29" s="2">
        <v>5.5044529999999998</v>
      </c>
      <c r="CQ29" s="2">
        <v>-0.19243959999999999</v>
      </c>
      <c r="CR29" s="2">
        <v>-0.29505490000000001</v>
      </c>
      <c r="CS29" s="2">
        <v>5.7078720000000001</v>
      </c>
      <c r="CT29" s="2">
        <v>13.77399</v>
      </c>
      <c r="CU29" s="3">
        <v>0.29208050000000002</v>
      </c>
      <c r="CV29" s="2">
        <v>-16.883579999999998</v>
      </c>
      <c r="CW29" s="2">
        <v>-1.3909100000000001</v>
      </c>
      <c r="CX29" s="2">
        <v>2.3178809999999999</v>
      </c>
      <c r="CY29" s="2">
        <v>18.91919</v>
      </c>
    </row>
    <row r="30" spans="1:103" ht="15" customHeight="1" x14ac:dyDescent="0.2">
      <c r="A30" s="1">
        <f t="shared" si="0"/>
        <v>24</v>
      </c>
      <c r="B30" s="1" t="s">
        <v>77</v>
      </c>
      <c r="C30" s="1" t="s">
        <v>76</v>
      </c>
      <c r="D30" s="1" t="s">
        <v>78</v>
      </c>
      <c r="E30" s="1" t="s">
        <v>79</v>
      </c>
      <c r="F30" s="2">
        <v>3425.6619999999998</v>
      </c>
      <c r="G30" s="2">
        <v>43.365699999999997</v>
      </c>
      <c r="H30" s="2">
        <v>1485.5619999999999</v>
      </c>
      <c r="I30" s="3">
        <v>17.829999999999998</v>
      </c>
      <c r="J30" s="3">
        <v>0</v>
      </c>
      <c r="K30" s="2">
        <v>3.9259680000000001</v>
      </c>
      <c r="L30" s="2">
        <v>3.0555789999999998</v>
      </c>
      <c r="M30" s="2">
        <v>3.3090299999999999</v>
      </c>
      <c r="N30" s="2">
        <v>3.8137970000000001</v>
      </c>
      <c r="O30" s="2">
        <v>12.95471</v>
      </c>
      <c r="P30" s="2">
        <v>18.25938</v>
      </c>
      <c r="Q30" s="2">
        <v>15.47803</v>
      </c>
      <c r="R30" s="2">
        <v>13.362159999999999</v>
      </c>
      <c r="S30" s="2">
        <v>8.1360039999999998</v>
      </c>
      <c r="T30" s="2">
        <v>10.735239999999999</v>
      </c>
      <c r="U30" s="2">
        <v>9.4230909999999994</v>
      </c>
      <c r="V30" s="2">
        <v>8.4038109999999993</v>
      </c>
      <c r="W30" s="2">
        <v>2.0696460000000001</v>
      </c>
      <c r="X30" s="2">
        <v>2.066049</v>
      </c>
      <c r="Y30" s="2">
        <v>2.0148039999999998</v>
      </c>
      <c r="Z30" s="2">
        <v>1.92944</v>
      </c>
      <c r="AA30" s="2">
        <v>11.84327</v>
      </c>
      <c r="AB30" s="2">
        <v>10.67329</v>
      </c>
      <c r="AC30" s="2">
        <v>11.09402</v>
      </c>
      <c r="AD30" s="2">
        <v>10.45424</v>
      </c>
      <c r="AE30" s="2">
        <v>6.9842209999999998</v>
      </c>
      <c r="AF30" s="2">
        <v>5.7095729999999998</v>
      </c>
      <c r="AG30" s="2">
        <v>6.2477359999999997</v>
      </c>
      <c r="AH30" s="2">
        <v>9.3818450000000002</v>
      </c>
      <c r="AI30" s="2">
        <v>7.4550549999999998</v>
      </c>
      <c r="AJ30" s="2">
        <v>7.9238109999999997</v>
      </c>
      <c r="AK30" s="3">
        <v>1.6830590000000001</v>
      </c>
      <c r="AL30" s="3">
        <v>1.370703</v>
      </c>
      <c r="AM30" s="2">
        <v>21.431560000000001</v>
      </c>
      <c r="AN30" s="2">
        <v>20.296410000000002</v>
      </c>
      <c r="AO30" s="2">
        <v>21.50564</v>
      </c>
      <c r="AP30" s="2">
        <v>22.531829999999999</v>
      </c>
      <c r="AQ30" s="2">
        <v>2.5880860000000001</v>
      </c>
      <c r="AR30" s="2">
        <v>2.7434970000000001</v>
      </c>
      <c r="AS30" s="2">
        <v>2.206267</v>
      </c>
      <c r="AT30" s="2">
        <v>1.7776080000000001</v>
      </c>
      <c r="AU30" s="1" t="s">
        <v>5</v>
      </c>
      <c r="AV30" s="3">
        <v>1.4375</v>
      </c>
      <c r="AW30" s="3">
        <v>19.77</v>
      </c>
      <c r="AX30" s="2">
        <v>10.88054</v>
      </c>
      <c r="AY30" s="2">
        <v>11.315</v>
      </c>
      <c r="AZ30" s="2">
        <v>2.7724289999999998</v>
      </c>
      <c r="BA30" s="2">
        <v>-7.8076540000000003</v>
      </c>
      <c r="BB30" s="2">
        <v>22.796140000000001</v>
      </c>
      <c r="BC30" s="3">
        <v>11.93</v>
      </c>
      <c r="BD30" s="2">
        <v>49.455150000000003</v>
      </c>
      <c r="BE30" s="3">
        <v>20.48</v>
      </c>
      <c r="BF30" s="2">
        <v>-12.939450000000001</v>
      </c>
      <c r="BG30" s="2">
        <v>55.802410000000002</v>
      </c>
      <c r="BH30" s="2">
        <v>61.523139999999998</v>
      </c>
      <c r="BI30" s="2">
        <v>53.000889999999998</v>
      </c>
      <c r="BJ30" s="2">
        <v>50.310360000000003</v>
      </c>
      <c r="BK30" s="2">
        <v>15</v>
      </c>
      <c r="BL30" s="2">
        <v>16</v>
      </c>
      <c r="BM30" s="4">
        <v>16</v>
      </c>
      <c r="BN30" s="4">
        <v>0</v>
      </c>
      <c r="BO30" s="4">
        <v>0</v>
      </c>
      <c r="BP30" s="4">
        <v>16</v>
      </c>
      <c r="BQ30" s="2">
        <v>0</v>
      </c>
      <c r="BR30" s="4">
        <v>10</v>
      </c>
      <c r="BS30" s="4">
        <v>1</v>
      </c>
      <c r="BT30" s="4">
        <v>16</v>
      </c>
      <c r="BU30" s="2">
        <v>62.5</v>
      </c>
      <c r="BV30" s="2">
        <v>9.5997900000000005</v>
      </c>
      <c r="BW30" s="2">
        <v>192.12909999999999</v>
      </c>
      <c r="BX30" s="3">
        <v>0.72712410000000005</v>
      </c>
      <c r="BY30" s="3">
        <v>0.37845600000000001</v>
      </c>
      <c r="BZ30" s="2">
        <v>0.65805499999999995</v>
      </c>
      <c r="CA30" s="3">
        <v>0.37845600000000001</v>
      </c>
      <c r="CB30" s="3">
        <v>0.99330039999999997</v>
      </c>
      <c r="CC30" s="3">
        <v>0.93003080000000005</v>
      </c>
      <c r="CD30" s="2">
        <v>-6.3696330000000003</v>
      </c>
      <c r="CE30" s="3">
        <v>277.31849999999997</v>
      </c>
      <c r="CF30" s="3">
        <v>253.6062</v>
      </c>
      <c r="CG30" s="2">
        <v>-8.5505600000000008</v>
      </c>
      <c r="CH30" s="3">
        <v>19.996880000000001</v>
      </c>
      <c r="CI30" s="2">
        <v>-1.134557</v>
      </c>
      <c r="CJ30" s="3">
        <v>2171.2779999999998</v>
      </c>
      <c r="CK30" s="3">
        <v>2112.797</v>
      </c>
      <c r="CL30" s="2">
        <v>-2.693403</v>
      </c>
      <c r="CM30" s="3">
        <v>15.52403</v>
      </c>
      <c r="CN30" s="3">
        <v>16.560980000000001</v>
      </c>
      <c r="CO30" s="3">
        <v>17.173459999999999</v>
      </c>
      <c r="CP30" s="2">
        <v>14.854179999999999</v>
      </c>
      <c r="CQ30" s="2">
        <v>7.6627020000000003</v>
      </c>
      <c r="CR30" s="2">
        <v>3.822994</v>
      </c>
      <c r="CS30" s="2">
        <v>6.6796420000000003</v>
      </c>
      <c r="CT30" s="2">
        <v>9.4110560000000003</v>
      </c>
      <c r="CU30" s="3">
        <v>0.27472229999999997</v>
      </c>
      <c r="CV30" s="2">
        <v>21.098130000000001</v>
      </c>
      <c r="CW30" s="2">
        <v>7.6136749999999997</v>
      </c>
      <c r="CX30" s="2">
        <v>13.387</v>
      </c>
      <c r="CY30" s="2">
        <v>19.757580000000001</v>
      </c>
    </row>
    <row r="31" spans="1:103" ht="15" customHeight="1" x14ac:dyDescent="0.2">
      <c r="A31" s="1">
        <f t="shared" si="0"/>
        <v>25</v>
      </c>
      <c r="B31" s="1" t="s">
        <v>81</v>
      </c>
      <c r="C31" s="1" t="s">
        <v>80</v>
      </c>
      <c r="D31" s="1" t="s">
        <v>82</v>
      </c>
      <c r="E31" s="1" t="s">
        <v>83</v>
      </c>
      <c r="F31" s="2">
        <v>17694.189999999999</v>
      </c>
      <c r="G31" s="2">
        <v>95.616200000000006</v>
      </c>
      <c r="H31" s="2">
        <v>16918.509999999998</v>
      </c>
      <c r="I31" s="3">
        <v>13.33</v>
      </c>
      <c r="J31" s="3">
        <v>0</v>
      </c>
      <c r="K31" s="2">
        <v>5.2513129999999997</v>
      </c>
      <c r="L31" s="2">
        <v>5.2513129999999997</v>
      </c>
      <c r="M31" s="2">
        <v>5.6264070000000004</v>
      </c>
      <c r="N31" s="2">
        <v>6.0015010000000002</v>
      </c>
      <c r="O31" s="2">
        <v>2.8740220000000001</v>
      </c>
      <c r="P31" s="2">
        <v>4.02719</v>
      </c>
      <c r="Q31" s="2">
        <v>5.0112779999999999</v>
      </c>
      <c r="R31" s="2">
        <v>5.1867700000000001</v>
      </c>
      <c r="S31" s="2">
        <v>1.6749700000000001</v>
      </c>
      <c r="T31" s="2">
        <v>1.8665179999999999</v>
      </c>
      <c r="U31" s="2">
        <v>2.1094339999999998</v>
      </c>
      <c r="V31" s="2">
        <v>2.100714</v>
      </c>
      <c r="W31" s="2">
        <v>0.71483439999999998</v>
      </c>
      <c r="X31" s="2">
        <v>0.62552790000000003</v>
      </c>
      <c r="Y31" s="2">
        <v>0.55774060000000003</v>
      </c>
      <c r="Z31" s="2">
        <v>0.49610959999999998</v>
      </c>
      <c r="AA31" s="2">
        <v>2.0089429999999999</v>
      </c>
      <c r="AB31" s="2">
        <v>2.4661209999999998</v>
      </c>
      <c r="AC31" s="2">
        <v>2.4009749999999999</v>
      </c>
      <c r="AD31" s="2">
        <v>2.2554989999999999</v>
      </c>
      <c r="AE31" s="2">
        <v>10.80912</v>
      </c>
      <c r="AF31" s="2">
        <v>11.28973</v>
      </c>
      <c r="AG31" s="2">
        <v>10.225770000000001</v>
      </c>
      <c r="AH31" s="2">
        <v>11.6836</v>
      </c>
      <c r="AI31" s="2">
        <v>12.238440000000001</v>
      </c>
      <c r="AJ31" s="2">
        <v>11.00596</v>
      </c>
      <c r="AK31" s="3" t="e">
        <v>#N/A</v>
      </c>
      <c r="AL31" s="3" t="e">
        <v>#N/A</v>
      </c>
      <c r="AM31" s="2">
        <v>17.41527</v>
      </c>
      <c r="AN31" s="2">
        <v>16.959869999999999</v>
      </c>
      <c r="AO31" s="2">
        <v>15.774139999999999</v>
      </c>
      <c r="AP31" s="2">
        <v>16.183910000000001</v>
      </c>
      <c r="AQ31" s="2">
        <v>0.1830416</v>
      </c>
      <c r="AR31" s="2">
        <v>0.1397032</v>
      </c>
      <c r="AS31" s="2">
        <v>0.16352059999999999</v>
      </c>
      <c r="AT31" s="2">
        <v>0.14891489999999999</v>
      </c>
      <c r="AU31" s="1" t="s">
        <v>5</v>
      </c>
      <c r="AV31" s="3">
        <v>1.5</v>
      </c>
      <c r="AW31" s="3">
        <v>17</v>
      </c>
      <c r="AX31" s="2">
        <v>27.531890000000001</v>
      </c>
      <c r="AY31" s="2">
        <v>15.53261</v>
      </c>
      <c r="AZ31" s="2">
        <v>-13.512689999999999</v>
      </c>
      <c r="BA31" s="2">
        <v>-5.1245570000000003</v>
      </c>
      <c r="BB31" s="2">
        <v>-10.23569</v>
      </c>
      <c r="BC31" s="3">
        <v>11.05</v>
      </c>
      <c r="BD31" s="2">
        <v>20.633479999999999</v>
      </c>
      <c r="BE31" s="3">
        <v>15.54</v>
      </c>
      <c r="BF31" s="2">
        <v>-14.221360000000001</v>
      </c>
      <c r="BG31" s="2">
        <v>14.44557</v>
      </c>
      <c r="BH31" s="2">
        <v>21.551690000000001</v>
      </c>
      <c r="BI31" s="2">
        <v>29.472429999999999</v>
      </c>
      <c r="BJ31" s="2">
        <v>32.85127</v>
      </c>
      <c r="BK31" s="2">
        <v>25</v>
      </c>
      <c r="BL31" s="2">
        <v>22</v>
      </c>
      <c r="BM31" s="4">
        <v>28</v>
      </c>
      <c r="BN31" s="4">
        <v>3</v>
      </c>
      <c r="BO31" s="4">
        <v>5</v>
      </c>
      <c r="BP31" s="4">
        <v>23</v>
      </c>
      <c r="BQ31" s="2">
        <v>9.6774190000000004</v>
      </c>
      <c r="BR31" s="4">
        <v>16</v>
      </c>
      <c r="BS31" s="4">
        <v>2</v>
      </c>
      <c r="BT31" s="4">
        <v>28</v>
      </c>
      <c r="BU31" s="2">
        <v>57.142859999999999</v>
      </c>
      <c r="BV31" s="2">
        <v>12.9345</v>
      </c>
      <c r="BW31" s="2">
        <v>1327.396</v>
      </c>
      <c r="BX31" s="3">
        <v>5.9241710000000003</v>
      </c>
      <c r="BY31" s="3">
        <v>0.44630019999999998</v>
      </c>
      <c r="BZ31" s="2">
        <v>1.64327</v>
      </c>
      <c r="CA31" s="3">
        <v>0.44630019999999998</v>
      </c>
      <c r="CB31" s="3">
        <v>3.2313040000000002</v>
      </c>
      <c r="CC31" s="3">
        <v>3.3106460000000002</v>
      </c>
      <c r="CD31" s="2">
        <v>2.4554130000000001</v>
      </c>
      <c r="CE31" s="3">
        <v>7524.3190000000004</v>
      </c>
      <c r="CF31" s="3">
        <v>7375.8329999999996</v>
      </c>
      <c r="CG31" s="2">
        <v>-1.97342</v>
      </c>
      <c r="CH31" s="3">
        <v>18.23507</v>
      </c>
      <c r="CI31" s="2">
        <v>-6.7730550000000003</v>
      </c>
      <c r="CJ31" s="3">
        <v>69891.16</v>
      </c>
      <c r="CK31" s="3">
        <v>64777.19</v>
      </c>
      <c r="CL31" s="2">
        <v>-7.3170419999999998</v>
      </c>
      <c r="CM31" s="3">
        <v>13.93413</v>
      </c>
      <c r="CN31" s="3">
        <v>13.24628</v>
      </c>
      <c r="CO31" s="3">
        <v>13.284039999999999</v>
      </c>
      <c r="CP31" s="2">
        <v>-4.335642</v>
      </c>
      <c r="CQ31" s="2">
        <v>0.63204769999999999</v>
      </c>
      <c r="CR31" s="2">
        <v>0.34599299999999999</v>
      </c>
      <c r="CS31" s="2">
        <v>-4.9364920000000003</v>
      </c>
      <c r="CT31" s="2">
        <v>65.547979999999995</v>
      </c>
      <c r="CU31" s="3">
        <v>0.37044919999999998</v>
      </c>
      <c r="CV31" s="2">
        <v>-23.983499999999999</v>
      </c>
      <c r="CW31" s="2">
        <v>-6.5571229999999998</v>
      </c>
      <c r="CX31" s="2">
        <v>12.22312</v>
      </c>
      <c r="CY31" s="2">
        <v>20.434339999999999</v>
      </c>
    </row>
    <row r="32" spans="1:103" ht="15" customHeight="1" x14ac:dyDescent="0.2">
      <c r="A32" s="1">
        <f t="shared" si="0"/>
        <v>26</v>
      </c>
      <c r="B32" s="1" t="s">
        <v>85</v>
      </c>
      <c r="C32" s="1" t="s">
        <v>84</v>
      </c>
      <c r="D32" s="1" t="s">
        <v>15</v>
      </c>
      <c r="E32" s="1" t="s">
        <v>86</v>
      </c>
      <c r="F32" s="2">
        <v>3683.0030000000002</v>
      </c>
      <c r="G32" s="2">
        <v>66.211399999999998</v>
      </c>
      <c r="H32" s="2">
        <v>2438.5680000000002</v>
      </c>
      <c r="I32" s="3">
        <v>7.84</v>
      </c>
      <c r="J32" s="3">
        <v>0</v>
      </c>
      <c r="K32" s="2">
        <v>15.178570000000001</v>
      </c>
      <c r="L32" s="2">
        <v>5.6122449999999997</v>
      </c>
      <c r="M32" s="2">
        <v>5.8673469999999996</v>
      </c>
      <c r="N32" s="2">
        <v>6.2643659999999999</v>
      </c>
      <c r="O32" s="2">
        <v>12.852460000000001</v>
      </c>
      <c r="P32" s="2">
        <v>13.517239999999999</v>
      </c>
      <c r="Q32" s="2">
        <v>12.44444</v>
      </c>
      <c r="R32" s="2">
        <v>11.403639999999999</v>
      </c>
      <c r="S32" s="2">
        <v>24.397189999999998</v>
      </c>
      <c r="T32" s="2">
        <v>21.673220000000001</v>
      </c>
      <c r="U32" s="2">
        <v>20.15784</v>
      </c>
      <c r="V32" s="2">
        <v>19.04514</v>
      </c>
      <c r="W32" s="2">
        <v>0.5377229</v>
      </c>
      <c r="X32" s="2">
        <v>0.5980877</v>
      </c>
      <c r="Y32" s="2">
        <v>0.60716689999999995</v>
      </c>
      <c r="Z32" s="2">
        <v>0.54671760000000003</v>
      </c>
      <c r="AA32" s="2">
        <v>13.48789</v>
      </c>
      <c r="AB32" s="2">
        <v>14.39442</v>
      </c>
      <c r="AC32" s="2">
        <v>13.500260000000001</v>
      </c>
      <c r="AD32" s="2">
        <v>12.25</v>
      </c>
      <c r="AE32" s="2">
        <v>1.6713480000000001</v>
      </c>
      <c r="AF32" s="2">
        <v>2.2742619999999998</v>
      </c>
      <c r="AG32" s="2">
        <v>2.7316400000000001</v>
      </c>
      <c r="AH32" s="2">
        <v>3.509239</v>
      </c>
      <c r="AI32" s="2">
        <v>4.8109609999999998</v>
      </c>
      <c r="AJ32" s="2">
        <v>5.812665</v>
      </c>
      <c r="AK32" s="3" t="e">
        <v>#N/A</v>
      </c>
      <c r="AL32" s="3" t="e">
        <v>#N/A</v>
      </c>
      <c r="AM32" s="2">
        <v>72.453199999999995</v>
      </c>
      <c r="AN32" s="2">
        <v>74.403989999999993</v>
      </c>
      <c r="AO32" s="2">
        <v>74.645319999999998</v>
      </c>
      <c r="AP32" s="2">
        <v>75.389009999999999</v>
      </c>
      <c r="AQ32" s="2">
        <v>11.83755</v>
      </c>
      <c r="AR32" s="2">
        <v>11.350899999999999</v>
      </c>
      <c r="AS32" s="2">
        <v>10.62872</v>
      </c>
      <c r="AT32" s="2">
        <v>10.094939999999999</v>
      </c>
      <c r="AU32" s="1" t="s">
        <v>5</v>
      </c>
      <c r="AV32" s="3">
        <v>1.40625</v>
      </c>
      <c r="AW32" s="3">
        <v>10.5</v>
      </c>
      <c r="AX32" s="2">
        <v>33.928570000000001</v>
      </c>
      <c r="AY32" s="2">
        <v>4.4246280000000002</v>
      </c>
      <c r="AZ32" s="2" t="e">
        <v>#N/A</v>
      </c>
      <c r="BA32" s="2">
        <v>-14.828900000000001</v>
      </c>
      <c r="BB32" s="2">
        <v>-10.65527</v>
      </c>
      <c r="BC32" s="3">
        <v>7.24</v>
      </c>
      <c r="BD32" s="2">
        <v>8.2872979999999998</v>
      </c>
      <c r="BE32" s="3">
        <v>10.52</v>
      </c>
      <c r="BF32" s="2">
        <v>-25.475290000000001</v>
      </c>
      <c r="BG32" s="2">
        <v>199.0436</v>
      </c>
      <c r="BH32" s="2">
        <v>76.897880000000001</v>
      </c>
      <c r="BI32" s="2">
        <v>73.492689999999996</v>
      </c>
      <c r="BJ32" s="2">
        <v>70.8065</v>
      </c>
      <c r="BK32" s="2">
        <v>15</v>
      </c>
      <c r="BL32" s="2">
        <v>9</v>
      </c>
      <c r="BM32" s="4">
        <v>16</v>
      </c>
      <c r="BN32" s="4">
        <v>1</v>
      </c>
      <c r="BO32" s="4">
        <v>0</v>
      </c>
      <c r="BP32" s="4">
        <v>14</v>
      </c>
      <c r="BQ32" s="2">
        <v>6.6666670000000003</v>
      </c>
      <c r="BR32" s="4">
        <v>10</v>
      </c>
      <c r="BS32" s="4">
        <v>0</v>
      </c>
      <c r="BT32" s="4">
        <v>16</v>
      </c>
      <c r="BU32" s="2">
        <v>62.5</v>
      </c>
      <c r="BV32" s="2">
        <v>9.2356400000000001</v>
      </c>
      <c r="BW32" s="2">
        <v>469.77080000000001</v>
      </c>
      <c r="BX32" s="3">
        <v>0.83725289999999997</v>
      </c>
      <c r="BY32" s="3">
        <v>0.17822579999999999</v>
      </c>
      <c r="BZ32" s="2">
        <v>1.1246499999999999</v>
      </c>
      <c r="CA32" s="3">
        <v>0.17822579999999999</v>
      </c>
      <c r="CB32" s="3">
        <v>0.59839370000000003</v>
      </c>
      <c r="CC32" s="3">
        <v>0.57753699999999997</v>
      </c>
      <c r="CD32" s="2">
        <v>-3.4854530000000001</v>
      </c>
      <c r="CE32" s="3">
        <v>352.92860000000002</v>
      </c>
      <c r="CF32" s="3">
        <v>346.4171</v>
      </c>
      <c r="CG32" s="2">
        <v>-1.8449899999999999</v>
      </c>
      <c r="CH32" s="3">
        <v>10.47059</v>
      </c>
      <c r="CI32" s="2">
        <v>0.2808928</v>
      </c>
      <c r="CJ32" s="3">
        <v>473.00900000000001</v>
      </c>
      <c r="CK32" s="3">
        <v>480.77629999999999</v>
      </c>
      <c r="CL32" s="2">
        <v>1.64212</v>
      </c>
      <c r="CM32" s="3">
        <v>8.4065670000000008</v>
      </c>
      <c r="CN32" s="3">
        <v>7.7954910000000002</v>
      </c>
      <c r="CO32" s="3">
        <v>7.8561529999999999</v>
      </c>
      <c r="CP32" s="2">
        <v>-6.7395690000000004</v>
      </c>
      <c r="CQ32" s="2">
        <v>0.57096480000000005</v>
      </c>
      <c r="CR32" s="2">
        <v>-0.20561219999999999</v>
      </c>
      <c r="CS32" s="2">
        <v>-7.269031</v>
      </c>
      <c r="CT32" s="2">
        <v>6.2656749999999999</v>
      </c>
      <c r="CU32" s="3">
        <v>0.1701241</v>
      </c>
      <c r="CV32" s="2" t="e">
        <v>#N/A</v>
      </c>
      <c r="CW32" s="2" t="e">
        <v>#N/A</v>
      </c>
      <c r="CX32" s="2" t="e">
        <v>#N/A</v>
      </c>
      <c r="CY32" s="2">
        <v>20.52525</v>
      </c>
    </row>
    <row r="33" spans="1:103" ht="15" customHeight="1" x14ac:dyDescent="0.2">
      <c r="A33" s="1">
        <f t="shared" si="0"/>
        <v>27</v>
      </c>
      <c r="B33" s="1" t="s">
        <v>88</v>
      </c>
      <c r="C33" s="1" t="s">
        <v>87</v>
      </c>
      <c r="D33" s="1" t="s">
        <v>58</v>
      </c>
      <c r="E33" s="1" t="s">
        <v>59</v>
      </c>
      <c r="F33" s="2">
        <v>26431.67</v>
      </c>
      <c r="G33" s="2">
        <v>12.860200000000001</v>
      </c>
      <c r="H33" s="2">
        <v>3399.1660000000002</v>
      </c>
      <c r="I33" s="3">
        <v>27.26</v>
      </c>
      <c r="J33" s="3">
        <v>0</v>
      </c>
      <c r="K33" s="2">
        <v>4.4020539999999997</v>
      </c>
      <c r="L33" s="2">
        <v>4.4020539999999997</v>
      </c>
      <c r="M33" s="2">
        <v>4.4020539999999997</v>
      </c>
      <c r="N33" s="2">
        <v>4.4020539999999997</v>
      </c>
      <c r="O33" s="2">
        <v>16.025870000000001</v>
      </c>
      <c r="P33" s="2">
        <v>14.26998</v>
      </c>
      <c r="Q33" s="2">
        <v>15.8573</v>
      </c>
      <c r="R33" s="2">
        <v>16.830870000000001</v>
      </c>
      <c r="S33" s="2">
        <v>7.244008</v>
      </c>
      <c r="T33" s="2">
        <v>7.7550280000000003</v>
      </c>
      <c r="U33" s="2">
        <v>8.2673729999999992</v>
      </c>
      <c r="V33" s="2">
        <v>8.3942060000000005</v>
      </c>
      <c r="W33" s="2">
        <v>3.494872</v>
      </c>
      <c r="X33" s="2">
        <v>3.1189930000000001</v>
      </c>
      <c r="Y33" s="2">
        <v>3.052632</v>
      </c>
      <c r="Z33" s="2">
        <v>2.9495019999999998</v>
      </c>
      <c r="AA33" s="2">
        <v>8.4917320000000007</v>
      </c>
      <c r="AB33" s="2">
        <v>7.6358550000000003</v>
      </c>
      <c r="AC33" s="2">
        <v>7.8073920000000001</v>
      </c>
      <c r="AD33" s="2">
        <v>7.9489729999999996</v>
      </c>
      <c r="AE33" s="2">
        <v>1.5893269999999999</v>
      </c>
      <c r="AF33" s="2">
        <v>2.102757</v>
      </c>
      <c r="AG33" s="2">
        <v>2.2595149999999999</v>
      </c>
      <c r="AH33" s="2">
        <v>2.359057</v>
      </c>
      <c r="AI33" s="2">
        <v>3.142763</v>
      </c>
      <c r="AJ33" s="2">
        <v>3.440331</v>
      </c>
      <c r="AK33" s="3" t="e">
        <v>#N/A</v>
      </c>
      <c r="AL33" s="3" t="e">
        <v>#N/A</v>
      </c>
      <c r="AM33" s="2">
        <v>14.585599999999999</v>
      </c>
      <c r="AN33" s="2">
        <v>16.549520000000001</v>
      </c>
      <c r="AO33" s="2">
        <v>17.405000000000001</v>
      </c>
      <c r="AP33" s="2">
        <v>18.439820000000001</v>
      </c>
      <c r="AQ33" s="2">
        <v>2.4859710000000002</v>
      </c>
      <c r="AR33" s="2">
        <v>2.5303659999999999</v>
      </c>
      <c r="AS33" s="2">
        <v>2.7358470000000001</v>
      </c>
      <c r="AT33" s="2">
        <v>2.881122</v>
      </c>
      <c r="AU33" s="1" t="s">
        <v>89</v>
      </c>
      <c r="AV33" s="3">
        <v>2.545455</v>
      </c>
      <c r="AW33" s="3">
        <v>24.12</v>
      </c>
      <c r="AX33" s="2">
        <v>-11.51871</v>
      </c>
      <c r="AY33" s="2">
        <v>21.857030000000002</v>
      </c>
      <c r="AZ33" s="2">
        <v>-5.5</v>
      </c>
      <c r="BA33" s="2">
        <v>-0.76446530000000001</v>
      </c>
      <c r="BB33" s="2">
        <v>12.134919999999999</v>
      </c>
      <c r="BC33" s="3">
        <v>22.16</v>
      </c>
      <c r="BD33" s="2">
        <v>23.01444</v>
      </c>
      <c r="BE33" s="3">
        <v>30.05</v>
      </c>
      <c r="BF33" s="2">
        <v>-9.2845200000000006</v>
      </c>
      <c r="BG33" s="2">
        <v>70.644419999999997</v>
      </c>
      <c r="BH33" s="2">
        <v>67.009420000000006</v>
      </c>
      <c r="BI33" s="2">
        <v>74.463909999999998</v>
      </c>
      <c r="BJ33" s="2">
        <v>77.770300000000006</v>
      </c>
      <c r="BK33" s="2">
        <v>8</v>
      </c>
      <c r="BL33" s="2">
        <v>8</v>
      </c>
      <c r="BM33" s="4">
        <v>11</v>
      </c>
      <c r="BN33" s="4">
        <v>1</v>
      </c>
      <c r="BO33" s="4">
        <v>3</v>
      </c>
      <c r="BP33" s="4">
        <v>8</v>
      </c>
      <c r="BQ33" s="2">
        <v>8.3333340000000007</v>
      </c>
      <c r="BR33" s="4">
        <v>0</v>
      </c>
      <c r="BS33" s="4">
        <v>7</v>
      </c>
      <c r="BT33" s="4">
        <v>11</v>
      </c>
      <c r="BU33" s="2">
        <v>0</v>
      </c>
      <c r="BV33" s="2">
        <v>7.5484600000000004</v>
      </c>
      <c r="BW33" s="2">
        <v>969.61379999999997</v>
      </c>
      <c r="BX33" s="3">
        <v>0.36093730000000002</v>
      </c>
      <c r="BY33" s="3">
        <v>3.7224849999999997E-2</v>
      </c>
      <c r="BZ33" s="2">
        <v>0.66413599999999995</v>
      </c>
      <c r="CA33" s="3">
        <v>3.7224849999999997E-2</v>
      </c>
      <c r="CB33" s="3">
        <v>1.7777970000000001</v>
      </c>
      <c r="CC33" s="3">
        <v>1.9213709999999999</v>
      </c>
      <c r="CD33" s="2">
        <v>8.0760000000000005</v>
      </c>
      <c r="CE33" s="3">
        <v>3236.2640000000001</v>
      </c>
      <c r="CF33" s="3">
        <v>3343.471</v>
      </c>
      <c r="CG33" s="2">
        <v>3.3126709999999999</v>
      </c>
      <c r="CH33" s="3">
        <v>23.983129999999999</v>
      </c>
      <c r="CI33" s="2">
        <v>0.57071450000000001</v>
      </c>
      <c r="CJ33" s="3">
        <v>29755.9</v>
      </c>
      <c r="CK33" s="3">
        <v>30567.81</v>
      </c>
      <c r="CL33" s="2">
        <v>2.7285699999999999</v>
      </c>
      <c r="CM33" s="3">
        <v>26.327169999999999</v>
      </c>
      <c r="CN33" s="3">
        <v>27.268630000000002</v>
      </c>
      <c r="CO33" s="3">
        <v>26.716920000000002</v>
      </c>
      <c r="CP33" s="2">
        <v>3.543234</v>
      </c>
      <c r="CQ33" s="2">
        <v>-3.1644110000000003E-2</v>
      </c>
      <c r="CR33" s="2">
        <v>2.0327090000000001</v>
      </c>
      <c r="CS33" s="2">
        <v>3.5760049999999999</v>
      </c>
      <c r="CT33" s="2">
        <v>8.125648</v>
      </c>
      <c r="CU33" s="3">
        <v>3.074209E-2</v>
      </c>
      <c r="CV33" s="2" t="e">
        <v>#N/A</v>
      </c>
      <c r="CW33" s="2" t="e">
        <v>#N/A</v>
      </c>
      <c r="CX33" s="2" t="e">
        <v>#N/A</v>
      </c>
      <c r="CY33" s="2">
        <v>20.737369999999999</v>
      </c>
    </row>
    <row r="34" spans="1:103" ht="15" customHeight="1" x14ac:dyDescent="0.2">
      <c r="A34" s="1">
        <f t="shared" si="0"/>
        <v>28</v>
      </c>
      <c r="B34" s="1" t="s">
        <v>91</v>
      </c>
      <c r="C34" s="1" t="s">
        <v>90</v>
      </c>
      <c r="D34" s="1" t="s">
        <v>40</v>
      </c>
      <c r="E34" s="1" t="s">
        <v>41</v>
      </c>
      <c r="F34" s="2">
        <v>2287.0439999999999</v>
      </c>
      <c r="G34" s="2">
        <v>38.361899999999999</v>
      </c>
      <c r="H34" s="2">
        <v>877.35350000000005</v>
      </c>
      <c r="I34" s="3">
        <v>42.34</v>
      </c>
      <c r="J34" s="3">
        <v>0</v>
      </c>
      <c r="K34" s="2">
        <v>3.046764</v>
      </c>
      <c r="L34" s="2">
        <v>2.0697960000000002</v>
      </c>
      <c r="M34" s="2">
        <v>2.038262</v>
      </c>
      <c r="N34" s="2">
        <v>2.7279170000000001</v>
      </c>
      <c r="O34" s="2">
        <v>11.443239999999999</v>
      </c>
      <c r="P34" s="2">
        <v>20.161909999999999</v>
      </c>
      <c r="Q34" s="2">
        <v>15.50348</v>
      </c>
      <c r="R34" s="2">
        <v>12.23699</v>
      </c>
      <c r="S34" s="2">
        <v>6.7914779999999997</v>
      </c>
      <c r="T34" s="2">
        <v>13.196</v>
      </c>
      <c r="U34" s="2">
        <v>10.227040000000001</v>
      </c>
      <c r="V34" s="2">
        <v>7.511863</v>
      </c>
      <c r="W34" s="2">
        <v>4.4012479999999998</v>
      </c>
      <c r="X34" s="2">
        <v>3.9924569999999999</v>
      </c>
      <c r="Y34" s="2">
        <v>3.3629869999999999</v>
      </c>
      <c r="Z34" s="2">
        <v>2.7919550000000002</v>
      </c>
      <c r="AA34" s="2">
        <v>9.5391870000000001</v>
      </c>
      <c r="AB34" s="2">
        <v>16.28754</v>
      </c>
      <c r="AC34" s="2">
        <v>11.908429999999999</v>
      </c>
      <c r="AD34" s="2">
        <v>10.35609</v>
      </c>
      <c r="AE34" s="2">
        <v>4.9655430000000003</v>
      </c>
      <c r="AF34" s="2">
        <v>6.2871379999999997</v>
      </c>
      <c r="AG34" s="2">
        <v>8.4020849999999996</v>
      </c>
      <c r="AH34" s="2">
        <v>4.756011</v>
      </c>
      <c r="AI34" s="2">
        <v>5.7634499999999997</v>
      </c>
      <c r="AJ34" s="2">
        <v>7.3131789999999999</v>
      </c>
      <c r="AK34" s="3" t="e">
        <v>#N/A</v>
      </c>
      <c r="AL34" s="3" t="e">
        <v>#N/A</v>
      </c>
      <c r="AM34" s="2">
        <v>34.120089999999998</v>
      </c>
      <c r="AN34" s="2">
        <v>23.32443</v>
      </c>
      <c r="AO34" s="2">
        <v>26.349609999999998</v>
      </c>
      <c r="AP34" s="2">
        <v>30.066320000000001</v>
      </c>
      <c r="AQ34" s="2">
        <v>-0.1899642</v>
      </c>
      <c r="AR34" s="2">
        <v>-0.58136739999999998</v>
      </c>
      <c r="AS34" s="2">
        <v>-0.92926830000000005</v>
      </c>
      <c r="AT34" s="2">
        <v>-1.1184909999999999</v>
      </c>
      <c r="AU34" s="1" t="s">
        <v>5</v>
      </c>
      <c r="AV34" s="3">
        <v>1.25</v>
      </c>
      <c r="AW34" s="3">
        <v>54.3</v>
      </c>
      <c r="AX34" s="2">
        <v>28.247520000000002</v>
      </c>
      <c r="AY34" s="2">
        <v>19.80198</v>
      </c>
      <c r="AZ34" s="2">
        <v>-3</v>
      </c>
      <c r="BA34" s="2">
        <v>-27.5</v>
      </c>
      <c r="BB34" s="2">
        <v>17.415420000000001</v>
      </c>
      <c r="BC34" s="3">
        <v>35.200000000000003</v>
      </c>
      <c r="BD34" s="2">
        <v>20.284089999999999</v>
      </c>
      <c r="BE34" s="3">
        <v>61.45</v>
      </c>
      <c r="BF34" s="2">
        <v>-31.098459999999999</v>
      </c>
      <c r="BG34" s="2">
        <v>33.133690000000001</v>
      </c>
      <c r="BH34" s="2">
        <v>41.253480000000003</v>
      </c>
      <c r="BI34" s="2">
        <v>34.023269999999997</v>
      </c>
      <c r="BJ34" s="2">
        <v>33.084580000000003</v>
      </c>
      <c r="BK34" s="2">
        <v>9</v>
      </c>
      <c r="BL34" s="2">
        <v>8</v>
      </c>
      <c r="BM34" s="4">
        <v>10</v>
      </c>
      <c r="BN34" s="4">
        <v>0</v>
      </c>
      <c r="BO34" s="4">
        <v>0</v>
      </c>
      <c r="BP34" s="4">
        <v>10</v>
      </c>
      <c r="BQ34" s="2">
        <v>0</v>
      </c>
      <c r="BR34" s="4">
        <v>8</v>
      </c>
      <c r="BS34" s="4">
        <v>0</v>
      </c>
      <c r="BT34" s="4">
        <v>10</v>
      </c>
      <c r="BU34" s="2">
        <v>80</v>
      </c>
      <c r="BV34" s="2">
        <v>10.1875</v>
      </c>
      <c r="BW34" s="2">
        <v>54.016159999999999</v>
      </c>
      <c r="BX34" s="3">
        <v>0.15411430000000001</v>
      </c>
      <c r="BY34" s="3">
        <v>0.2853115</v>
      </c>
      <c r="BZ34" s="2">
        <v>0.74853800000000004</v>
      </c>
      <c r="CA34" s="3">
        <v>0.2853115</v>
      </c>
      <c r="CB34" s="3">
        <v>2.2913380000000001</v>
      </c>
      <c r="CC34" s="3">
        <v>2.2267589999999999</v>
      </c>
      <c r="CD34" s="2">
        <v>-2.8184</v>
      </c>
      <c r="CE34" s="3">
        <v>152.54990000000001</v>
      </c>
      <c r="CF34" s="3">
        <v>150.11279999999999</v>
      </c>
      <c r="CG34" s="2">
        <v>-1.5976189999999999</v>
      </c>
      <c r="CH34" s="3">
        <v>58.621729999999999</v>
      </c>
      <c r="CI34" s="2">
        <v>-7.3722310000000002</v>
      </c>
      <c r="CJ34" s="3">
        <v>718.45820000000003</v>
      </c>
      <c r="CK34" s="3">
        <v>711.81560000000002</v>
      </c>
      <c r="CL34" s="2">
        <v>-0.92456939999999999</v>
      </c>
      <c r="CM34" s="3">
        <v>40.365369999999999</v>
      </c>
      <c r="CN34" s="3">
        <v>42.132159999999999</v>
      </c>
      <c r="CO34" s="3">
        <v>42.39846</v>
      </c>
      <c r="CP34" s="2">
        <v>4.8918840000000001</v>
      </c>
      <c r="CQ34" s="2">
        <v>0.49330000000000002</v>
      </c>
      <c r="CR34" s="2">
        <v>-0.13788339999999999</v>
      </c>
      <c r="CS34" s="2">
        <v>4.3769960000000001</v>
      </c>
      <c r="CT34" s="2">
        <v>4.3820519999999998</v>
      </c>
      <c r="CU34" s="3">
        <v>0.1916033</v>
      </c>
      <c r="CV34" s="2" t="e">
        <v>#N/A</v>
      </c>
      <c r="CW34" s="2">
        <v>3.8600099999999999</v>
      </c>
      <c r="CX34" s="2">
        <v>11.580880000000001</v>
      </c>
      <c r="CY34" s="2">
        <v>21.33333</v>
      </c>
    </row>
    <row r="35" spans="1:103" ht="15" customHeight="1" x14ac:dyDescent="0.2">
      <c r="A35" s="1">
        <f t="shared" si="0"/>
        <v>29</v>
      </c>
      <c r="B35" s="1" t="s">
        <v>93</v>
      </c>
      <c r="C35" s="1" t="s">
        <v>92</v>
      </c>
      <c r="D35" s="1" t="s">
        <v>58</v>
      </c>
      <c r="E35" s="1" t="s">
        <v>94</v>
      </c>
      <c r="F35" s="2">
        <v>1754.9349999999999</v>
      </c>
      <c r="G35" s="2">
        <v>63.25</v>
      </c>
      <c r="H35" s="2">
        <v>1109.9960000000001</v>
      </c>
      <c r="I35" s="3">
        <v>14.045</v>
      </c>
      <c r="J35" s="3">
        <v>0</v>
      </c>
      <c r="K35" s="2">
        <v>0</v>
      </c>
      <c r="L35" s="2">
        <v>0</v>
      </c>
      <c r="M35" s="2">
        <v>0</v>
      </c>
      <c r="N35" s="2">
        <v>0</v>
      </c>
      <c r="O35" s="2">
        <v>19.50694</v>
      </c>
      <c r="P35" s="2">
        <v>16.273689999999998</v>
      </c>
      <c r="Q35" s="2">
        <v>15.43407</v>
      </c>
      <c r="R35" s="2">
        <v>13.905939999999999</v>
      </c>
      <c r="S35" s="2">
        <v>19.51952</v>
      </c>
      <c r="T35" s="2">
        <v>14.605230000000001</v>
      </c>
      <c r="U35" s="2">
        <v>12.991569999999999</v>
      </c>
      <c r="V35" s="2">
        <v>12.00975</v>
      </c>
      <c r="W35" s="2">
        <v>5.1072730000000002</v>
      </c>
      <c r="X35" s="2">
        <v>3.8691460000000002</v>
      </c>
      <c r="Y35" s="2">
        <v>3.12026</v>
      </c>
      <c r="Z35" s="2">
        <v>2.63015</v>
      </c>
      <c r="AA35" s="2">
        <v>15.25539</v>
      </c>
      <c r="AB35" s="2">
        <v>11.70417</v>
      </c>
      <c r="AC35" s="2">
        <v>10.88705</v>
      </c>
      <c r="AD35" s="2">
        <v>8.8536450000000002</v>
      </c>
      <c r="AE35" s="2">
        <v>-9.2364069999999998</v>
      </c>
      <c r="AF35" s="2">
        <v>-11.28824</v>
      </c>
      <c r="AG35" s="2">
        <v>-10.75081</v>
      </c>
      <c r="AH35" s="2">
        <v>-14.76267</v>
      </c>
      <c r="AI35" s="2">
        <v>-20.473549999999999</v>
      </c>
      <c r="AJ35" s="2">
        <v>-22.145240000000001</v>
      </c>
      <c r="AK35" s="3">
        <v>1.562783</v>
      </c>
      <c r="AL35" s="3">
        <v>1.3980710000000001</v>
      </c>
      <c r="AM35" s="2">
        <v>90.486459999999994</v>
      </c>
      <c r="AN35" s="2">
        <v>85.355549999999994</v>
      </c>
      <c r="AO35" s="2">
        <v>88.768119999999996</v>
      </c>
      <c r="AP35" s="2">
        <v>81.351349999999996</v>
      </c>
      <c r="AQ35" s="2">
        <v>4.971419</v>
      </c>
      <c r="AR35" s="2">
        <v>5.4673259999999999</v>
      </c>
      <c r="AS35" s="2">
        <v>5.8285710000000002</v>
      </c>
      <c r="AT35" s="2">
        <v>6.1794019999999996</v>
      </c>
      <c r="AU35" s="1" t="s">
        <v>52</v>
      </c>
      <c r="AV35" s="3">
        <v>1.71875</v>
      </c>
      <c r="AW35" s="3">
        <v>19</v>
      </c>
      <c r="AX35" s="2">
        <v>35.279449999999997</v>
      </c>
      <c r="AY35" s="2">
        <v>23.775469999999999</v>
      </c>
      <c r="AZ35" s="2">
        <v>10.5</v>
      </c>
      <c r="BA35" s="2">
        <v>-30.641970000000001</v>
      </c>
      <c r="BB35" s="2">
        <v>-17.961449999999999</v>
      </c>
      <c r="BC35" s="3">
        <v>12.484999999999999</v>
      </c>
      <c r="BD35" s="2">
        <v>12.49499</v>
      </c>
      <c r="BE35" s="3">
        <v>24.65</v>
      </c>
      <c r="BF35" s="2">
        <v>-43.022309999999997</v>
      </c>
      <c r="BG35" s="2">
        <v>0</v>
      </c>
      <c r="BH35" s="2">
        <v>0</v>
      </c>
      <c r="BI35" s="2">
        <v>0</v>
      </c>
      <c r="BJ35" s="2">
        <v>0</v>
      </c>
      <c r="BK35" s="2">
        <v>16</v>
      </c>
      <c r="BL35" s="2">
        <v>15</v>
      </c>
      <c r="BM35" s="4">
        <v>16</v>
      </c>
      <c r="BN35" s="4">
        <v>1</v>
      </c>
      <c r="BO35" s="4">
        <v>1</v>
      </c>
      <c r="BP35" s="4">
        <v>13</v>
      </c>
      <c r="BQ35" s="2">
        <v>6.6666670000000003</v>
      </c>
      <c r="BR35" s="4">
        <v>7</v>
      </c>
      <c r="BS35" s="4">
        <v>2</v>
      </c>
      <c r="BT35" s="4">
        <v>16</v>
      </c>
      <c r="BU35" s="2">
        <v>43.75</v>
      </c>
      <c r="BV35" s="2">
        <v>12.732799999999999</v>
      </c>
      <c r="BW35" s="2">
        <v>124.9509</v>
      </c>
      <c r="BX35" s="3">
        <v>0.5484059</v>
      </c>
      <c r="BY35" s="3">
        <v>0.43889719999999999</v>
      </c>
      <c r="BZ35" s="2">
        <v>0.65072799999999997</v>
      </c>
      <c r="CA35" s="3">
        <v>0.43889719999999999</v>
      </c>
      <c r="CB35" s="3">
        <v>0.877888</v>
      </c>
      <c r="CC35" s="3">
        <v>0.8559213</v>
      </c>
      <c r="CD35" s="2">
        <v>-2.502227</v>
      </c>
      <c r="CE35" s="3">
        <v>161.2611</v>
      </c>
      <c r="CF35" s="3">
        <v>161.8081</v>
      </c>
      <c r="CG35" s="2">
        <v>0.33916230000000003</v>
      </c>
      <c r="CH35" s="3">
        <v>19.368670000000002</v>
      </c>
      <c r="CI35" s="2">
        <v>-1.903421</v>
      </c>
      <c r="CJ35" s="3">
        <v>233.042</v>
      </c>
      <c r="CK35" s="3">
        <v>228.71789999999999</v>
      </c>
      <c r="CL35" s="2">
        <v>-1.855475</v>
      </c>
      <c r="CM35" s="3">
        <v>16.208649999999999</v>
      </c>
      <c r="CN35" s="3">
        <v>13.9102</v>
      </c>
      <c r="CO35" s="3">
        <v>13.43962</v>
      </c>
      <c r="CP35" s="2">
        <v>-13.34876</v>
      </c>
      <c r="CQ35" s="2">
        <v>0.96911190000000003</v>
      </c>
      <c r="CR35" s="2">
        <v>4.5044779999999998</v>
      </c>
      <c r="CS35" s="2">
        <v>-14.18045</v>
      </c>
      <c r="CT35" s="2">
        <v>6.6094229999999996</v>
      </c>
      <c r="CU35" s="3">
        <v>0.37661919999999999</v>
      </c>
      <c r="CV35" s="2" t="e">
        <v>#N/A</v>
      </c>
      <c r="CW35" s="2" t="e">
        <v>#N/A</v>
      </c>
      <c r="CX35" s="2" t="e">
        <v>#N/A</v>
      </c>
      <c r="CY35" s="2">
        <v>21.63636</v>
      </c>
    </row>
    <row r="36" spans="1:103" ht="15" customHeight="1" x14ac:dyDescent="0.2">
      <c r="A36" s="1">
        <f t="shared" si="0"/>
        <v>30</v>
      </c>
      <c r="B36" s="1" t="s">
        <v>96</v>
      </c>
      <c r="C36" s="1" t="s">
        <v>95</v>
      </c>
      <c r="D36" s="1" t="s">
        <v>15</v>
      </c>
      <c r="E36" s="1" t="s">
        <v>16</v>
      </c>
      <c r="F36" s="2">
        <v>2556.605</v>
      </c>
      <c r="G36" s="2">
        <v>47.862699999999997</v>
      </c>
      <c r="H36" s="2">
        <v>1223.6600000000001</v>
      </c>
      <c r="I36" s="3">
        <v>0.96299999999999997</v>
      </c>
      <c r="J36" s="3">
        <v>0</v>
      </c>
      <c r="K36" s="2">
        <v>5.1921080000000002</v>
      </c>
      <c r="L36" s="2">
        <v>7.2689510000000004</v>
      </c>
      <c r="M36" s="2">
        <v>8.0634479999999993</v>
      </c>
      <c r="N36" s="2">
        <v>9.0029400000000006</v>
      </c>
      <c r="O36" s="2">
        <v>10.49729</v>
      </c>
      <c r="P36" s="2">
        <v>7.0353760000000003</v>
      </c>
      <c r="Q36" s="2">
        <v>6.42</v>
      </c>
      <c r="R36" s="2">
        <v>5.2810920000000001</v>
      </c>
      <c r="S36" s="2" t="e">
        <v>#N/A</v>
      </c>
      <c r="T36" s="2" t="e">
        <v>#N/A</v>
      </c>
      <c r="U36" s="2" t="e">
        <v>#N/A</v>
      </c>
      <c r="V36" s="2" t="e">
        <v>#N/A</v>
      </c>
      <c r="W36" s="2">
        <v>0.39629629999999999</v>
      </c>
      <c r="X36" s="2">
        <v>0.38752520000000001</v>
      </c>
      <c r="Y36" s="2">
        <v>0.37913390000000002</v>
      </c>
      <c r="Z36" s="2">
        <v>0.36685709999999999</v>
      </c>
      <c r="AA36" s="2" t="e">
        <v>#N/A</v>
      </c>
      <c r="AB36" s="2" t="e">
        <v>#N/A</v>
      </c>
      <c r="AC36" s="2" t="e">
        <v>#N/A</v>
      </c>
      <c r="AD36" s="2" t="e">
        <v>#N/A</v>
      </c>
      <c r="AE36" s="2" t="e">
        <v>#N/A</v>
      </c>
      <c r="AF36" s="2" t="e">
        <v>#N/A</v>
      </c>
      <c r="AG36" s="2" t="e">
        <v>#N/A</v>
      </c>
      <c r="AH36" s="2" t="e">
        <v>#N/A</v>
      </c>
      <c r="AI36" s="2" t="e">
        <v>#N/A</v>
      </c>
      <c r="AJ36" s="2" t="e">
        <v>#N/A</v>
      </c>
      <c r="AK36" s="3">
        <v>0.28262419999999999</v>
      </c>
      <c r="AL36" s="3">
        <v>0.25589109999999998</v>
      </c>
      <c r="AM36" s="2" t="e">
        <v>#N/A</v>
      </c>
      <c r="AN36" s="2" t="e">
        <v>#N/A</v>
      </c>
      <c r="AO36" s="2" t="e">
        <v>#N/A</v>
      </c>
      <c r="AP36" s="2" t="e">
        <v>#N/A</v>
      </c>
      <c r="AQ36" s="2" t="e">
        <v>#N/A</v>
      </c>
      <c r="AR36" s="2" t="e">
        <v>#N/A</v>
      </c>
      <c r="AS36" s="2" t="e">
        <v>#N/A</v>
      </c>
      <c r="AT36" s="2" t="e">
        <v>#N/A</v>
      </c>
      <c r="AU36" s="1" t="s">
        <v>5</v>
      </c>
      <c r="AV36" s="3">
        <v>1.5</v>
      </c>
      <c r="AW36" s="3">
        <v>1.35</v>
      </c>
      <c r="AX36" s="2">
        <v>40.186920000000001</v>
      </c>
      <c r="AY36" s="2">
        <v>5.5082370000000003</v>
      </c>
      <c r="AZ36" s="2">
        <v>24.81672</v>
      </c>
      <c r="BA36" s="2">
        <v>3.160155</v>
      </c>
      <c r="BB36" s="2">
        <v>-6.5955399999999997</v>
      </c>
      <c r="BC36" s="3">
        <v>0.753</v>
      </c>
      <c r="BD36" s="2">
        <v>27.888439999999999</v>
      </c>
      <c r="BE36" s="3">
        <v>1.2569999999999999</v>
      </c>
      <c r="BF36" s="2">
        <v>-23.389019999999999</v>
      </c>
      <c r="BG36" s="2">
        <v>49.803489999999996</v>
      </c>
      <c r="BH36" s="2">
        <v>47.371729999999999</v>
      </c>
      <c r="BI36" s="2">
        <v>48.299900000000001</v>
      </c>
      <c r="BJ36" s="2">
        <v>50.578360000000004</v>
      </c>
      <c r="BK36" s="2">
        <v>15</v>
      </c>
      <c r="BL36" s="2">
        <v>12</v>
      </c>
      <c r="BM36" s="4">
        <v>16</v>
      </c>
      <c r="BN36" s="4">
        <v>1</v>
      </c>
      <c r="BO36" s="4">
        <v>1</v>
      </c>
      <c r="BP36" s="4">
        <v>13</v>
      </c>
      <c r="BQ36" s="2">
        <v>6.6666670000000003</v>
      </c>
      <c r="BR36" s="4">
        <v>10</v>
      </c>
      <c r="BS36" s="4">
        <v>2</v>
      </c>
      <c r="BT36" s="4">
        <v>16</v>
      </c>
      <c r="BU36" s="2">
        <v>62.5</v>
      </c>
      <c r="BV36" s="2">
        <v>11.853999999999999</v>
      </c>
      <c r="BW36" s="2">
        <v>2654.8330000000001</v>
      </c>
      <c r="BX36" s="3">
        <v>5.6149930000000001</v>
      </c>
      <c r="BY36" s="3">
        <v>0.21150070000000001</v>
      </c>
      <c r="BZ36" s="2">
        <v>0.98867499999999997</v>
      </c>
      <c r="CA36" s="3">
        <v>0.21150070000000001</v>
      </c>
      <c r="CB36" s="3">
        <v>0.15073120000000001</v>
      </c>
      <c r="CC36" s="3">
        <v>0.14402309999999999</v>
      </c>
      <c r="CD36" s="2">
        <v>-4.4503690000000002</v>
      </c>
      <c r="CE36" s="3">
        <v>878.73099999999999</v>
      </c>
      <c r="CF36" s="3">
        <v>848.13819999999998</v>
      </c>
      <c r="CG36" s="2">
        <v>-3.4814769999999999</v>
      </c>
      <c r="CH36" s="3">
        <v>1.4452940000000001</v>
      </c>
      <c r="CI36" s="2">
        <v>-6.5934059999999999</v>
      </c>
      <c r="CJ36" s="3">
        <v>1734.0219999999999</v>
      </c>
      <c r="CK36" s="3">
        <v>1729.9649999999999</v>
      </c>
      <c r="CL36" s="2">
        <v>-0.23394229999999999</v>
      </c>
      <c r="CM36" s="3">
        <v>1.013177</v>
      </c>
      <c r="CN36" s="3">
        <v>0.93475490000000006</v>
      </c>
      <c r="CO36" s="3">
        <v>0.92871150000000002</v>
      </c>
      <c r="CP36" s="2">
        <v>-4.9524010000000001</v>
      </c>
      <c r="CQ36" s="2">
        <v>3.0216569999999998</v>
      </c>
      <c r="CR36" s="2">
        <v>3.692043</v>
      </c>
      <c r="CS36" s="2">
        <v>-7.7401759999999999</v>
      </c>
      <c r="CT36" s="2">
        <v>5.5370429999999997</v>
      </c>
      <c r="CU36" s="3">
        <v>0.21657799999999999</v>
      </c>
      <c r="CV36" s="2">
        <v>-60</v>
      </c>
      <c r="CW36" s="2">
        <v>-2.547355</v>
      </c>
      <c r="CX36" s="2">
        <v>-6.8219630000000002</v>
      </c>
      <c r="CY36" s="2">
        <v>21.69697</v>
      </c>
    </row>
    <row r="37" spans="1:103" ht="15" customHeight="1" x14ac:dyDescent="0.2">
      <c r="A37" s="1">
        <f t="shared" si="0"/>
        <v>31</v>
      </c>
      <c r="B37" s="1" t="s">
        <v>98</v>
      </c>
      <c r="C37" s="1" t="s">
        <v>97</v>
      </c>
      <c r="D37" s="1" t="s">
        <v>28</v>
      </c>
      <c r="E37" s="1" t="s">
        <v>29</v>
      </c>
      <c r="F37" s="2">
        <v>8524.723</v>
      </c>
      <c r="G37" s="2">
        <v>43.504899999999999</v>
      </c>
      <c r="H37" s="2">
        <v>3708.672</v>
      </c>
      <c r="I37" s="3">
        <v>155.4</v>
      </c>
      <c r="J37" s="3">
        <v>0</v>
      </c>
      <c r="K37" s="2">
        <v>2.895753</v>
      </c>
      <c r="L37" s="2">
        <v>3.043758</v>
      </c>
      <c r="M37" s="2">
        <v>3.1917629999999999</v>
      </c>
      <c r="N37" s="2">
        <v>3.3524159999999998</v>
      </c>
      <c r="O37" s="2">
        <v>19.32836</v>
      </c>
      <c r="P37" s="2">
        <v>16.53192</v>
      </c>
      <c r="Q37" s="2">
        <v>16.20438</v>
      </c>
      <c r="R37" s="2">
        <v>15.32544</v>
      </c>
      <c r="S37" s="2">
        <v>7.100028</v>
      </c>
      <c r="T37" s="2">
        <v>7.6735949999999997</v>
      </c>
      <c r="U37" s="2">
        <v>8.1991460000000007</v>
      </c>
      <c r="V37" s="2">
        <v>8.7188429999999997</v>
      </c>
      <c r="W37" s="2">
        <v>1.745479</v>
      </c>
      <c r="X37" s="2">
        <v>1.6556569999999999</v>
      </c>
      <c r="Y37" s="2">
        <v>1.560565</v>
      </c>
      <c r="Z37" s="2">
        <v>1.46957</v>
      </c>
      <c r="AA37" s="2">
        <v>5.596876</v>
      </c>
      <c r="AB37" s="2">
        <v>6.9167560000000003</v>
      </c>
      <c r="AC37" s="2">
        <v>6.5611550000000003</v>
      </c>
      <c r="AD37" s="2">
        <v>6.5684290000000001</v>
      </c>
      <c r="AE37" s="2">
        <v>-6.9457199999999997</v>
      </c>
      <c r="AF37" s="2">
        <v>-5.2119309999999999</v>
      </c>
      <c r="AG37" s="2">
        <v>-3.5941540000000001</v>
      </c>
      <c r="AH37" s="2">
        <v>-12.25911</v>
      </c>
      <c r="AI37" s="2">
        <v>-10.089600000000001</v>
      </c>
      <c r="AJ37" s="2">
        <v>-7.4953609999999999</v>
      </c>
      <c r="AK37" s="3" t="e">
        <v>#N/A</v>
      </c>
      <c r="AL37" s="3" t="e">
        <v>#N/A</v>
      </c>
      <c r="AM37" s="2">
        <v>18.472529999999999</v>
      </c>
      <c r="AN37" s="2">
        <v>17.737839999999998</v>
      </c>
      <c r="AO37" s="2">
        <v>17.995290000000001</v>
      </c>
      <c r="AP37" s="2">
        <v>17.76906</v>
      </c>
      <c r="AQ37" s="2">
        <v>2.5401349999999998</v>
      </c>
      <c r="AR37" s="2">
        <v>3.3259189999999998</v>
      </c>
      <c r="AS37" s="2">
        <v>3.9637570000000002</v>
      </c>
      <c r="AT37" s="2">
        <v>4.5380089999999997</v>
      </c>
      <c r="AU37" s="1" t="s">
        <v>52</v>
      </c>
      <c r="AV37" s="3">
        <v>1.7222219999999999</v>
      </c>
      <c r="AW37" s="3">
        <v>200</v>
      </c>
      <c r="AX37" s="2">
        <v>28.700140000000001</v>
      </c>
      <c r="AY37" s="2">
        <v>10.01492</v>
      </c>
      <c r="AZ37" s="2" t="e">
        <v>#N/A</v>
      </c>
      <c r="BA37" s="2">
        <v>-11.452999999999999</v>
      </c>
      <c r="BB37" s="2">
        <v>-9.5986069999999994</v>
      </c>
      <c r="BC37" s="3">
        <v>149.55000000000001</v>
      </c>
      <c r="BD37" s="2">
        <v>3.911734</v>
      </c>
      <c r="BE37" s="3">
        <v>211</v>
      </c>
      <c r="BF37" s="2">
        <v>-26.350709999999999</v>
      </c>
      <c r="BG37" s="2">
        <v>54.966119999999997</v>
      </c>
      <c r="BH37" s="2">
        <v>51.315179999999998</v>
      </c>
      <c r="BI37" s="2">
        <v>53.025379999999998</v>
      </c>
      <c r="BJ37" s="2">
        <v>51.716290000000001</v>
      </c>
      <c r="BK37" s="2">
        <v>9</v>
      </c>
      <c r="BL37" s="2">
        <v>8</v>
      </c>
      <c r="BM37" s="4">
        <v>9</v>
      </c>
      <c r="BN37" s="4">
        <v>4</v>
      </c>
      <c r="BO37" s="4">
        <v>0</v>
      </c>
      <c r="BP37" s="4">
        <v>8</v>
      </c>
      <c r="BQ37" s="2">
        <v>33.33334</v>
      </c>
      <c r="BR37" s="4">
        <v>4</v>
      </c>
      <c r="BS37" s="4">
        <v>1</v>
      </c>
      <c r="BT37" s="4">
        <v>9</v>
      </c>
      <c r="BU37" s="2">
        <v>44.444450000000003</v>
      </c>
      <c r="BV37" s="2">
        <v>7.99838</v>
      </c>
      <c r="BW37" s="2">
        <v>54.856650000000002</v>
      </c>
      <c r="BX37" s="3">
        <v>8.5630579999999998E-2</v>
      </c>
      <c r="BY37" s="3">
        <v>0.15609880000000001</v>
      </c>
      <c r="BZ37" s="2">
        <v>0.75649200000000005</v>
      </c>
      <c r="CA37" s="3">
        <v>0.15609880000000001</v>
      </c>
      <c r="CB37" s="3">
        <v>9.6872380000000007</v>
      </c>
      <c r="CC37" s="3">
        <v>9.2309429999999999</v>
      </c>
      <c r="CD37" s="2">
        <v>-4.7102690000000003</v>
      </c>
      <c r="CE37" s="3">
        <v>1260.7940000000001</v>
      </c>
      <c r="CF37" s="3">
        <v>1239.2670000000001</v>
      </c>
      <c r="CG37" s="2">
        <v>-1.707435</v>
      </c>
      <c r="CH37" s="3">
        <v>203.81639999999999</v>
      </c>
      <c r="CI37" s="2">
        <v>-1.8724499999999999</v>
      </c>
      <c r="CJ37" s="3">
        <v>10596.34</v>
      </c>
      <c r="CK37" s="3">
        <v>11142.75</v>
      </c>
      <c r="CL37" s="2">
        <v>5.1566239999999999</v>
      </c>
      <c r="CM37" s="3">
        <v>175.92679999999999</v>
      </c>
      <c r="CN37" s="3">
        <v>163.40979999999999</v>
      </c>
      <c r="CO37" s="3">
        <v>158.625</v>
      </c>
      <c r="CP37" s="2">
        <v>-11.66784</v>
      </c>
      <c r="CQ37" s="2">
        <v>-4.9016590000000004</v>
      </c>
      <c r="CR37" s="2">
        <v>-2.0331079999999999</v>
      </c>
      <c r="CS37" s="2">
        <v>-7.1149230000000001</v>
      </c>
      <c r="CT37" s="2">
        <v>13.8066</v>
      </c>
      <c r="CU37" s="3">
        <v>0.16195950000000001</v>
      </c>
      <c r="CV37" s="2" t="e">
        <v>#N/A</v>
      </c>
      <c r="CW37" s="2" t="e">
        <v>#N/A</v>
      </c>
      <c r="CX37" s="2" t="e">
        <v>#N/A</v>
      </c>
      <c r="CY37" s="2">
        <v>21.818180000000002</v>
      </c>
    </row>
    <row r="38" spans="1:103" ht="15" customHeight="1" x14ac:dyDescent="0.2">
      <c r="A38" s="1">
        <f t="shared" si="0"/>
        <v>32</v>
      </c>
      <c r="B38" s="1" t="s">
        <v>100</v>
      </c>
      <c r="C38" s="1" t="s">
        <v>99</v>
      </c>
      <c r="D38" s="1" t="s">
        <v>15</v>
      </c>
      <c r="E38" s="1" t="s">
        <v>101</v>
      </c>
      <c r="F38" s="2">
        <v>5601.7079999999996</v>
      </c>
      <c r="G38" s="2">
        <v>29.560199999999998</v>
      </c>
      <c r="H38" s="2">
        <v>1655.876</v>
      </c>
      <c r="I38" s="3">
        <v>1.819</v>
      </c>
      <c r="J38" s="3">
        <v>0</v>
      </c>
      <c r="K38" s="2">
        <v>8.2462890000000009</v>
      </c>
      <c r="L38" s="2">
        <v>8.2462890000000009</v>
      </c>
      <c r="M38" s="2">
        <v>8.2462890000000009</v>
      </c>
      <c r="N38" s="2">
        <v>8.7960410000000007</v>
      </c>
      <c r="O38" s="2">
        <v>8.6619050000000009</v>
      </c>
      <c r="P38" s="2">
        <v>7.8054350000000001</v>
      </c>
      <c r="Q38" s="2">
        <v>6.7370369999999999</v>
      </c>
      <c r="R38" s="2">
        <v>6.3824560000000004</v>
      </c>
      <c r="S38" s="2" t="e">
        <v>#N/A</v>
      </c>
      <c r="T38" s="2" t="e">
        <v>#N/A</v>
      </c>
      <c r="U38" s="2" t="e">
        <v>#N/A</v>
      </c>
      <c r="V38" s="2" t="e">
        <v>#N/A</v>
      </c>
      <c r="W38" s="2">
        <v>0.76751060000000004</v>
      </c>
      <c r="X38" s="2">
        <v>0.73052209999999995</v>
      </c>
      <c r="Y38" s="2">
        <v>0.68641509999999994</v>
      </c>
      <c r="Z38" s="2">
        <v>0.62724139999999995</v>
      </c>
      <c r="AA38" s="2" t="e">
        <v>#N/A</v>
      </c>
      <c r="AB38" s="2" t="e">
        <v>#N/A</v>
      </c>
      <c r="AC38" s="2" t="e">
        <v>#N/A</v>
      </c>
      <c r="AD38" s="2" t="e">
        <v>#N/A</v>
      </c>
      <c r="AE38" s="2" t="e">
        <v>#N/A</v>
      </c>
      <c r="AF38" s="2" t="e">
        <v>#N/A</v>
      </c>
      <c r="AG38" s="2" t="e">
        <v>#N/A</v>
      </c>
      <c r="AH38" s="2">
        <v>10.050509999999999</v>
      </c>
      <c r="AI38" s="2">
        <v>11.425090000000001</v>
      </c>
      <c r="AJ38" s="2">
        <v>12.049899999999999</v>
      </c>
      <c r="AK38" s="3">
        <v>0.61561100000000002</v>
      </c>
      <c r="AL38" s="3">
        <v>0.51163829999999999</v>
      </c>
      <c r="AM38" s="2" t="e">
        <v>#N/A</v>
      </c>
      <c r="AN38" s="2">
        <v>0.95631100000000002</v>
      </c>
      <c r="AO38" s="2">
        <v>2.0843500000000001</v>
      </c>
      <c r="AP38" s="2">
        <v>2.4460950000000001</v>
      </c>
      <c r="AQ38" s="2" t="e">
        <v>#N/A</v>
      </c>
      <c r="AR38" s="2" t="e">
        <v>#N/A</v>
      </c>
      <c r="AS38" s="2" t="e">
        <v>#N/A</v>
      </c>
      <c r="AT38" s="2" t="e">
        <v>#N/A</v>
      </c>
      <c r="AU38" s="1" t="s">
        <v>55</v>
      </c>
      <c r="AV38" s="3">
        <v>1.875</v>
      </c>
      <c r="AW38" s="3">
        <v>2.1003669999999999</v>
      </c>
      <c r="AX38" s="2">
        <v>15.46823</v>
      </c>
      <c r="AY38" s="2">
        <v>9.3591470000000001</v>
      </c>
      <c r="AZ38" s="2">
        <v>12.638109999999999</v>
      </c>
      <c r="BA38" s="2">
        <v>8.1450700000000005</v>
      </c>
      <c r="BB38" s="2">
        <v>0.49724580000000002</v>
      </c>
      <c r="BC38" s="3">
        <v>1.5249999999999999</v>
      </c>
      <c r="BD38" s="2">
        <v>19.278690000000001</v>
      </c>
      <c r="BE38" s="3">
        <v>2.056</v>
      </c>
      <c r="BF38" s="2">
        <v>-11.527229999999999</v>
      </c>
      <c r="BG38" s="2">
        <v>70.238100000000003</v>
      </c>
      <c r="BH38" s="2">
        <v>63.550829999999998</v>
      </c>
      <c r="BI38" s="2">
        <v>56.27411</v>
      </c>
      <c r="BJ38" s="2">
        <v>55.127450000000003</v>
      </c>
      <c r="BK38" s="2">
        <v>12</v>
      </c>
      <c r="BL38" s="2">
        <v>3</v>
      </c>
      <c r="BM38" s="4">
        <v>12</v>
      </c>
      <c r="BN38" s="4">
        <v>0</v>
      </c>
      <c r="BO38" s="4">
        <v>1</v>
      </c>
      <c r="BP38" s="4">
        <v>12</v>
      </c>
      <c r="BQ38" s="2">
        <v>0</v>
      </c>
      <c r="BR38" s="4">
        <v>6</v>
      </c>
      <c r="BS38" s="4">
        <v>4</v>
      </c>
      <c r="BT38" s="4">
        <v>12</v>
      </c>
      <c r="BU38" s="2">
        <v>50</v>
      </c>
      <c r="BV38" s="2">
        <v>7.1372600000000004</v>
      </c>
      <c r="BW38" s="2">
        <v>3079.5529999999999</v>
      </c>
      <c r="BX38" s="3">
        <v>3.4697300000000002</v>
      </c>
      <c r="BY38" s="3">
        <v>0.1126699</v>
      </c>
      <c r="BZ38" s="2">
        <v>0.81834300000000004</v>
      </c>
      <c r="CA38" s="3">
        <v>0.1126699</v>
      </c>
      <c r="CB38" s="3">
        <v>0.23986460000000001</v>
      </c>
      <c r="CC38" s="3">
        <v>0.2337997</v>
      </c>
      <c r="CD38" s="2">
        <v>-2.5284710000000001</v>
      </c>
      <c r="CE38" s="3">
        <v>1635.8219999999999</v>
      </c>
      <c r="CF38" s="3">
        <v>1662.172</v>
      </c>
      <c r="CG38" s="2">
        <v>1.6107560000000001</v>
      </c>
      <c r="CH38" s="3">
        <v>2.169</v>
      </c>
      <c r="CI38" s="2">
        <v>-3.1642619999999999</v>
      </c>
      <c r="CJ38" s="3">
        <v>24990.93</v>
      </c>
      <c r="CK38" s="3">
        <v>26749.75</v>
      </c>
      <c r="CL38" s="2">
        <v>7.0378299999999996</v>
      </c>
      <c r="CM38" s="3">
        <v>1.8274630000000001</v>
      </c>
      <c r="CN38" s="3">
        <v>1.844039</v>
      </c>
      <c r="CO38" s="3">
        <v>1.8354999999999999</v>
      </c>
      <c r="CP38" s="2">
        <v>-0.4630744</v>
      </c>
      <c r="CQ38" s="2">
        <v>-1.3578300000000001</v>
      </c>
      <c r="CR38" s="2">
        <v>-0.89893940000000006</v>
      </c>
      <c r="CS38" s="2">
        <v>0.90707539999999998</v>
      </c>
      <c r="CT38" s="2">
        <v>5.8441080000000003</v>
      </c>
      <c r="CU38" s="3">
        <v>0.1043273</v>
      </c>
      <c r="CV38" s="2">
        <v>-81.501400000000004</v>
      </c>
      <c r="CW38" s="2">
        <v>32.217140000000001</v>
      </c>
      <c r="CX38" s="2">
        <v>-22.430720000000001</v>
      </c>
      <c r="CY38" s="2">
        <v>22.575759999999999</v>
      </c>
    </row>
    <row r="39" spans="1:103" ht="15" customHeight="1" x14ac:dyDescent="0.2">
      <c r="A39" s="1">
        <f t="shared" si="0"/>
        <v>33</v>
      </c>
      <c r="B39" s="1" t="s">
        <v>103</v>
      </c>
      <c r="C39" s="1" t="s">
        <v>102</v>
      </c>
      <c r="D39" s="1" t="s">
        <v>28</v>
      </c>
      <c r="E39" s="1" t="s">
        <v>29</v>
      </c>
      <c r="F39" s="2">
        <v>8324.5159999999996</v>
      </c>
      <c r="G39" s="2">
        <v>74.664699999999996</v>
      </c>
      <c r="H39" s="2">
        <v>6215.4750000000004</v>
      </c>
      <c r="I39" s="3">
        <v>15.385</v>
      </c>
      <c r="J39" s="3">
        <v>0</v>
      </c>
      <c r="K39" s="2">
        <v>6.4998370000000003</v>
      </c>
      <c r="L39" s="2">
        <v>6.4998370000000003</v>
      </c>
      <c r="M39" s="2">
        <v>5.1998699999999998</v>
      </c>
      <c r="N39" s="2">
        <v>5.1998699999999998</v>
      </c>
      <c r="O39" s="2">
        <v>12.50813</v>
      </c>
      <c r="P39" s="2">
        <v>12.55092</v>
      </c>
      <c r="Q39" s="2">
        <v>16.194739999999999</v>
      </c>
      <c r="R39" s="2">
        <v>15.76482</v>
      </c>
      <c r="S39" s="2">
        <v>9.0086940000000002</v>
      </c>
      <c r="T39" s="2">
        <v>9.0294620000000005</v>
      </c>
      <c r="U39" s="2">
        <v>10.47729</v>
      </c>
      <c r="V39" s="2">
        <v>10.392770000000001</v>
      </c>
      <c r="W39" s="2">
        <v>1.7382409999999999</v>
      </c>
      <c r="X39" s="2">
        <v>1.6925190000000001</v>
      </c>
      <c r="Y39" s="2">
        <v>1.6990609999999999</v>
      </c>
      <c r="Z39" s="2">
        <v>1.6641429999999999</v>
      </c>
      <c r="AA39" s="2">
        <v>6.9020400000000004</v>
      </c>
      <c r="AB39" s="2">
        <v>6.9606789999999998</v>
      </c>
      <c r="AC39" s="2">
        <v>7.903581</v>
      </c>
      <c r="AD39" s="2">
        <v>7.6352349999999998</v>
      </c>
      <c r="AE39" s="2">
        <v>-1.08066</v>
      </c>
      <c r="AF39" s="2">
        <v>0.93037519999999996</v>
      </c>
      <c r="AG39" s="2">
        <v>0.49647330000000001</v>
      </c>
      <c r="AH39" s="2">
        <v>-1.7910809999999999</v>
      </c>
      <c r="AI39" s="2">
        <v>1.589431</v>
      </c>
      <c r="AJ39" s="2">
        <v>0.87581070000000005</v>
      </c>
      <c r="AK39" s="3" t="e">
        <v>#N/A</v>
      </c>
      <c r="AL39" s="3" t="e">
        <v>#N/A</v>
      </c>
      <c r="AM39" s="2">
        <v>73.99503</v>
      </c>
      <c r="AN39" s="2">
        <v>74.102810000000005</v>
      </c>
      <c r="AO39" s="2">
        <v>72.819509999999994</v>
      </c>
      <c r="AP39" s="2">
        <v>73.631249999999994</v>
      </c>
      <c r="AQ39" s="2">
        <v>3.1079810000000001</v>
      </c>
      <c r="AR39" s="2">
        <v>3.5814789999999999</v>
      </c>
      <c r="AS39" s="2">
        <v>4.3443949999999996</v>
      </c>
      <c r="AT39" s="2">
        <v>4.5013889999999996</v>
      </c>
      <c r="AU39" s="1" t="s">
        <v>52</v>
      </c>
      <c r="AV39" s="3">
        <v>2.2777780000000001</v>
      </c>
      <c r="AW39" s="3">
        <v>17</v>
      </c>
      <c r="AX39" s="2">
        <v>10.49724</v>
      </c>
      <c r="AY39" s="2">
        <v>13.48522</v>
      </c>
      <c r="AZ39" s="2">
        <v>-7.05</v>
      </c>
      <c r="BA39" s="2">
        <v>-14.646319999999999</v>
      </c>
      <c r="BB39" s="2">
        <v>-5.3813040000000001</v>
      </c>
      <c r="BC39" s="3">
        <v>14.505000000000001</v>
      </c>
      <c r="BD39" s="2">
        <v>6.0668709999999999</v>
      </c>
      <c r="BE39" s="3">
        <v>19.925000000000001</v>
      </c>
      <c r="BF39" s="2">
        <v>-22.785440000000001</v>
      </c>
      <c r="BG39" s="2">
        <v>81.394409999999993</v>
      </c>
      <c r="BH39" s="2">
        <v>81.792860000000005</v>
      </c>
      <c r="BI39" s="2">
        <v>88.668530000000004</v>
      </c>
      <c r="BJ39" s="2">
        <v>87.003630000000001</v>
      </c>
      <c r="BK39" s="2">
        <v>13</v>
      </c>
      <c r="BL39" s="2">
        <v>13</v>
      </c>
      <c r="BM39" s="4">
        <v>18</v>
      </c>
      <c r="BN39" s="4">
        <v>0</v>
      </c>
      <c r="BO39" s="4">
        <v>0</v>
      </c>
      <c r="BP39" s="4">
        <v>18</v>
      </c>
      <c r="BQ39" s="2">
        <v>0</v>
      </c>
      <c r="BR39" s="4">
        <v>1</v>
      </c>
      <c r="BS39" s="4">
        <v>7</v>
      </c>
      <c r="BT39" s="4">
        <v>18</v>
      </c>
      <c r="BU39" s="2">
        <v>5.5555560000000002</v>
      </c>
      <c r="BV39" s="2">
        <v>5.63009</v>
      </c>
      <c r="BW39" s="2">
        <v>541.08000000000004</v>
      </c>
      <c r="BX39" s="3">
        <v>1.1625430000000001</v>
      </c>
      <c r="BY39" s="3">
        <v>0.21485599999999999</v>
      </c>
      <c r="BZ39" s="2">
        <v>0.48921399999999998</v>
      </c>
      <c r="CA39" s="3">
        <v>0.21485599999999999</v>
      </c>
      <c r="CB39" s="3">
        <v>1.219557</v>
      </c>
      <c r="CC39" s="3">
        <v>1.222601</v>
      </c>
      <c r="CD39" s="2">
        <v>0.24954080000000001</v>
      </c>
      <c r="CE39" s="3">
        <v>992.8098</v>
      </c>
      <c r="CF39" s="3">
        <v>993.61019999999996</v>
      </c>
      <c r="CG39" s="2">
        <v>8.0633159999999995E-2</v>
      </c>
      <c r="CH39" s="3">
        <v>17.135560000000002</v>
      </c>
      <c r="CI39" s="2">
        <v>-0.79107879999999997</v>
      </c>
      <c r="CJ39" s="3">
        <v>2073.3960000000002</v>
      </c>
      <c r="CK39" s="3">
        <v>2063.585</v>
      </c>
      <c r="CL39" s="2">
        <v>-0.47320129999999999</v>
      </c>
      <c r="CM39" s="3">
        <v>16.296679999999999</v>
      </c>
      <c r="CN39" s="3">
        <v>16.17539</v>
      </c>
      <c r="CO39" s="3">
        <v>16.048649999999999</v>
      </c>
      <c r="CP39" s="2">
        <v>-5.5942889999999998</v>
      </c>
      <c r="CQ39" s="2">
        <v>-4.8863830000000004</v>
      </c>
      <c r="CR39" s="2">
        <v>-4.1352630000000001</v>
      </c>
      <c r="CS39" s="2">
        <v>-0.74427719999999997</v>
      </c>
      <c r="CT39" s="2">
        <v>20.51934</v>
      </c>
      <c r="CU39" s="3">
        <v>0.24649289999999999</v>
      </c>
      <c r="CV39" s="2">
        <v>-7.133286</v>
      </c>
      <c r="CW39" s="2">
        <v>-0.1092505</v>
      </c>
      <c r="CX39" s="2">
        <v>-0.18348619999999999</v>
      </c>
      <c r="CY39" s="2">
        <v>23.121210000000001</v>
      </c>
    </row>
    <row r="40" spans="1:103" ht="15" customHeight="1" x14ac:dyDescent="0.2">
      <c r="A40" s="1">
        <f t="shared" si="0"/>
        <v>34</v>
      </c>
      <c r="B40" s="1" t="s">
        <v>105</v>
      </c>
      <c r="C40" s="1" t="s">
        <v>104</v>
      </c>
      <c r="D40" s="1" t="s">
        <v>15</v>
      </c>
      <c r="E40" s="1" t="s">
        <v>86</v>
      </c>
      <c r="F40" s="2">
        <v>2992.1689999999999</v>
      </c>
      <c r="G40" s="2">
        <v>47.539700000000003</v>
      </c>
      <c r="H40" s="2">
        <v>1422.4680000000001</v>
      </c>
      <c r="I40" s="3">
        <v>5.5449999999999999</v>
      </c>
      <c r="J40" s="3">
        <v>0</v>
      </c>
      <c r="K40" s="2">
        <v>4.3282230000000004</v>
      </c>
      <c r="L40" s="2">
        <v>4.5085660000000001</v>
      </c>
      <c r="M40" s="2">
        <v>4.9594230000000001</v>
      </c>
      <c r="N40" s="2">
        <v>5.1760250000000001</v>
      </c>
      <c r="O40" s="2">
        <v>18.58437</v>
      </c>
      <c r="P40" s="2">
        <v>18.483329999999999</v>
      </c>
      <c r="Q40" s="2">
        <v>16.694659999999999</v>
      </c>
      <c r="R40" s="2">
        <v>15.84286</v>
      </c>
      <c r="S40" s="2">
        <v>30.312380000000001</v>
      </c>
      <c r="T40" s="2">
        <v>26.453610000000001</v>
      </c>
      <c r="U40" s="2">
        <v>24.165479999999999</v>
      </c>
      <c r="V40" s="2">
        <v>22.649159999999998</v>
      </c>
      <c r="W40" s="2">
        <v>0.4859772</v>
      </c>
      <c r="X40" s="2">
        <v>0.59687829999999997</v>
      </c>
      <c r="Y40" s="2">
        <v>0.58895379999999997</v>
      </c>
      <c r="Z40" s="2">
        <v>0.53062200000000004</v>
      </c>
      <c r="AA40" s="2">
        <v>26.48563</v>
      </c>
      <c r="AB40" s="2">
        <v>17.328119999999998</v>
      </c>
      <c r="AC40" s="2">
        <v>16.80303</v>
      </c>
      <c r="AD40" s="2">
        <v>13.20238</v>
      </c>
      <c r="AE40" s="2">
        <v>3.5986959999999999</v>
      </c>
      <c r="AF40" s="2">
        <v>3.0238900000000002</v>
      </c>
      <c r="AG40" s="2">
        <v>3.1785199999999998</v>
      </c>
      <c r="AH40" s="2">
        <v>9.6083960000000008</v>
      </c>
      <c r="AI40" s="2">
        <v>8.0591519999999992</v>
      </c>
      <c r="AJ40" s="2">
        <v>8.4930889999999994</v>
      </c>
      <c r="AK40" s="3">
        <v>2.759798</v>
      </c>
      <c r="AL40" s="3">
        <v>2.4712879999999999</v>
      </c>
      <c r="AM40" s="2">
        <v>79.436610000000002</v>
      </c>
      <c r="AN40" s="2">
        <v>78.645830000000004</v>
      </c>
      <c r="AO40" s="2">
        <v>79.959149999999994</v>
      </c>
      <c r="AP40" s="2">
        <v>80.410020000000003</v>
      </c>
      <c r="AQ40" s="2">
        <v>18.812059999999999</v>
      </c>
      <c r="AR40" s="2">
        <v>16.545760000000001</v>
      </c>
      <c r="AS40" s="2">
        <v>15.0983</v>
      </c>
      <c r="AT40" s="2">
        <v>14.17276</v>
      </c>
      <c r="AU40" s="1" t="s">
        <v>5</v>
      </c>
      <c r="AV40" s="3">
        <v>1.5555559999999999</v>
      </c>
      <c r="AW40" s="3">
        <v>7</v>
      </c>
      <c r="AX40" s="2">
        <v>26.239850000000001</v>
      </c>
      <c r="AY40" s="2">
        <v>3.229279</v>
      </c>
      <c r="AZ40" s="2">
        <v>6.5891390000000003</v>
      </c>
      <c r="BA40" s="2">
        <v>-9.1728100000000001</v>
      </c>
      <c r="BB40" s="2">
        <v>-7.7371059999999998</v>
      </c>
      <c r="BC40" s="3">
        <v>4.5019999999999998</v>
      </c>
      <c r="BD40" s="2">
        <v>23.167490000000001</v>
      </c>
      <c r="BE40" s="3">
        <v>7.01</v>
      </c>
      <c r="BF40" s="2">
        <v>-20.898720000000001</v>
      </c>
      <c r="BG40" s="2">
        <v>83.793779999999998</v>
      </c>
      <c r="BH40" s="2">
        <v>83.934079999999994</v>
      </c>
      <c r="BI40" s="2">
        <v>80.346919999999997</v>
      </c>
      <c r="BJ40" s="2">
        <v>77.726050000000001</v>
      </c>
      <c r="BK40" s="2">
        <v>16</v>
      </c>
      <c r="BL40" s="2">
        <v>10</v>
      </c>
      <c r="BM40" s="4">
        <v>18</v>
      </c>
      <c r="BN40" s="4">
        <v>0</v>
      </c>
      <c r="BO40" s="4">
        <v>1</v>
      </c>
      <c r="BP40" s="4">
        <v>16</v>
      </c>
      <c r="BQ40" s="2">
        <v>0</v>
      </c>
      <c r="BR40" s="4">
        <v>10</v>
      </c>
      <c r="BS40" s="4">
        <v>2</v>
      </c>
      <c r="BT40" s="4">
        <v>18</v>
      </c>
      <c r="BU40" s="2">
        <v>55.55556</v>
      </c>
      <c r="BV40" s="2">
        <v>9.1845199999999991</v>
      </c>
      <c r="BW40" s="2">
        <v>539.61559999999997</v>
      </c>
      <c r="BX40" s="3">
        <v>1.1465959999999999</v>
      </c>
      <c r="BY40" s="3">
        <v>0.2124838</v>
      </c>
      <c r="BZ40" s="2">
        <v>1.2989200000000001</v>
      </c>
      <c r="CA40" s="3">
        <v>0.2124838</v>
      </c>
      <c r="CB40" s="3">
        <v>0.3268739</v>
      </c>
      <c r="CC40" s="3">
        <v>0.3049268</v>
      </c>
      <c r="CD40" s="2">
        <v>-6.7142540000000004</v>
      </c>
      <c r="CE40" s="3">
        <v>308.51240000000001</v>
      </c>
      <c r="CF40" s="3">
        <v>289.96719999999999</v>
      </c>
      <c r="CG40" s="2">
        <v>-6.0111879999999998</v>
      </c>
      <c r="CH40" s="3">
        <v>7.2593750000000004</v>
      </c>
      <c r="CI40" s="2">
        <v>-3.5729649999999999</v>
      </c>
      <c r="CJ40" s="3">
        <v>386.67759999999998</v>
      </c>
      <c r="CK40" s="3">
        <v>377.81060000000002</v>
      </c>
      <c r="CL40" s="2">
        <v>-2.2931339999999998</v>
      </c>
      <c r="CM40" s="3">
        <v>5.8523610000000001</v>
      </c>
      <c r="CN40" s="3">
        <v>5.6015699999999997</v>
      </c>
      <c r="CO40" s="3">
        <v>5.6044229999999997</v>
      </c>
      <c r="CP40" s="2">
        <v>-5.2519140000000002</v>
      </c>
      <c r="CQ40" s="2">
        <v>-1.009887</v>
      </c>
      <c r="CR40" s="2">
        <v>-1.060289</v>
      </c>
      <c r="CS40" s="2">
        <v>-4.2853060000000003</v>
      </c>
      <c r="CT40" s="2">
        <v>5.6591360000000002</v>
      </c>
      <c r="CU40" s="3">
        <v>0.18913160000000001</v>
      </c>
      <c r="CV40" s="2" t="e">
        <v>#N/A</v>
      </c>
      <c r="CW40" s="2" t="e">
        <v>#N/A</v>
      </c>
      <c r="CX40" s="2" t="e">
        <v>#N/A</v>
      </c>
      <c r="CY40" s="2">
        <v>25.06061</v>
      </c>
    </row>
    <row r="41" spans="1:103" ht="15" customHeight="1" x14ac:dyDescent="0.2">
      <c r="A41" s="1">
        <f t="shared" si="0"/>
        <v>35</v>
      </c>
      <c r="B41" s="1" t="s">
        <v>107</v>
      </c>
      <c r="C41" s="1" t="s">
        <v>106</v>
      </c>
      <c r="D41" s="1" t="s">
        <v>58</v>
      </c>
      <c r="E41" s="1" t="s">
        <v>94</v>
      </c>
      <c r="F41" s="2">
        <v>10081.65</v>
      </c>
      <c r="G41" s="2">
        <v>17.326499999999999</v>
      </c>
      <c r="H41" s="2">
        <v>1746.798</v>
      </c>
      <c r="I41" s="3">
        <v>30.62</v>
      </c>
      <c r="J41" s="3">
        <v>0</v>
      </c>
      <c r="K41" s="2">
        <v>2.2860870000000002</v>
      </c>
      <c r="L41" s="2">
        <v>2.102649</v>
      </c>
      <c r="M41" s="2">
        <v>1.943174</v>
      </c>
      <c r="N41" s="2">
        <v>1.9595039999999999</v>
      </c>
      <c r="O41" s="2">
        <v>13.313040000000001</v>
      </c>
      <c r="P41" s="2">
        <v>16.506740000000001</v>
      </c>
      <c r="Q41" s="2">
        <v>18.645</v>
      </c>
      <c r="R41" s="2">
        <v>19.50319</v>
      </c>
      <c r="S41" s="2">
        <v>8.4211229999999997</v>
      </c>
      <c r="T41" s="2">
        <v>8.9035609999999998</v>
      </c>
      <c r="U41" s="2">
        <v>9.8013150000000007</v>
      </c>
      <c r="V41" s="2">
        <v>9.7673170000000002</v>
      </c>
      <c r="W41" s="2">
        <v>1.71733</v>
      </c>
      <c r="X41" s="2">
        <v>1.612852</v>
      </c>
      <c r="Y41" s="2">
        <v>1.5302</v>
      </c>
      <c r="Z41" s="2">
        <v>1.4649829999999999</v>
      </c>
      <c r="AA41" s="2">
        <v>8.8115109999999994</v>
      </c>
      <c r="AB41" s="2">
        <v>9.4523630000000001</v>
      </c>
      <c r="AC41" s="2">
        <v>10.41497</v>
      </c>
      <c r="AD41" s="2">
        <v>10.206670000000001</v>
      </c>
      <c r="AE41" s="2">
        <v>-6.0227659999999998</v>
      </c>
      <c r="AF41" s="2">
        <v>-5.6625170000000002</v>
      </c>
      <c r="AG41" s="2">
        <v>-4.5648090000000003</v>
      </c>
      <c r="AH41" s="2">
        <v>-7.8161810000000003</v>
      </c>
      <c r="AI41" s="2">
        <v>-7.9538039999999999</v>
      </c>
      <c r="AJ41" s="2">
        <v>-6.748634</v>
      </c>
      <c r="AK41" s="3">
        <v>1.0743389999999999</v>
      </c>
      <c r="AL41" s="3">
        <v>1.1795869999999999</v>
      </c>
      <c r="AM41" s="2">
        <v>37.99127</v>
      </c>
      <c r="AN41" s="2">
        <v>39.780459999999998</v>
      </c>
      <c r="AO41" s="2">
        <v>39.31474</v>
      </c>
      <c r="AP41" s="2">
        <v>41.557679999999998</v>
      </c>
      <c r="AQ41" s="2">
        <v>1.2226250000000001</v>
      </c>
      <c r="AR41" s="2">
        <v>2.042913</v>
      </c>
      <c r="AS41" s="2">
        <v>2.8235070000000002</v>
      </c>
      <c r="AT41" s="2">
        <v>3.160657</v>
      </c>
      <c r="AU41" s="1" t="s">
        <v>52</v>
      </c>
      <c r="AV41" s="3">
        <v>1.763158</v>
      </c>
      <c r="AW41" s="3">
        <v>39</v>
      </c>
      <c r="AX41" s="2">
        <v>27.367730000000002</v>
      </c>
      <c r="AY41" s="2">
        <v>9.7708720000000007</v>
      </c>
      <c r="AZ41" s="2">
        <v>15.8</v>
      </c>
      <c r="BA41" s="2">
        <v>-16.74823</v>
      </c>
      <c r="BB41" s="2">
        <v>-15.27393</v>
      </c>
      <c r="BC41" s="3">
        <v>29.84</v>
      </c>
      <c r="BD41" s="2">
        <v>2.6139380000000001</v>
      </c>
      <c r="BE41" s="3">
        <v>44.2</v>
      </c>
      <c r="BF41" s="2">
        <v>-30.723980000000001</v>
      </c>
      <c r="BG41" s="2">
        <v>24.33248</v>
      </c>
      <c r="BH41" s="2">
        <v>34.194609999999997</v>
      </c>
      <c r="BI41" s="2">
        <v>34.947009999999999</v>
      </c>
      <c r="BJ41" s="2">
        <v>37.91422</v>
      </c>
      <c r="BK41" s="2">
        <v>18</v>
      </c>
      <c r="BL41" s="2">
        <v>16</v>
      </c>
      <c r="BM41" s="4">
        <v>19</v>
      </c>
      <c r="BN41" s="4">
        <v>1</v>
      </c>
      <c r="BO41" s="4">
        <v>0</v>
      </c>
      <c r="BP41" s="4">
        <v>17</v>
      </c>
      <c r="BQ41" s="2">
        <v>5.5555560000000002</v>
      </c>
      <c r="BR41" s="4">
        <v>6</v>
      </c>
      <c r="BS41" s="4">
        <v>1</v>
      </c>
      <c r="BT41" s="4">
        <v>19</v>
      </c>
      <c r="BU41" s="2">
        <v>31.578949999999999</v>
      </c>
      <c r="BV41" s="2">
        <v>7.6778199999999996</v>
      </c>
      <c r="BW41" s="2">
        <v>329.25060000000002</v>
      </c>
      <c r="BX41" s="3">
        <v>0.3153569</v>
      </c>
      <c r="BY41" s="3">
        <v>9.5780210000000005E-2</v>
      </c>
      <c r="BZ41" s="2">
        <v>0.40525</v>
      </c>
      <c r="CA41" s="3">
        <v>9.5780210000000005E-2</v>
      </c>
      <c r="CB41" s="3">
        <v>1.98637</v>
      </c>
      <c r="CC41" s="3">
        <v>1.803877</v>
      </c>
      <c r="CD41" s="2">
        <v>-9.1872810000000005</v>
      </c>
      <c r="CE41" s="3">
        <v>1094.8019999999999</v>
      </c>
      <c r="CF41" s="3">
        <v>981.03269999999998</v>
      </c>
      <c r="CG41" s="2">
        <v>-10.39174</v>
      </c>
      <c r="CH41" s="3">
        <v>40.766190000000002</v>
      </c>
      <c r="CI41" s="2">
        <v>-4.3324889999999998</v>
      </c>
      <c r="CJ41" s="3">
        <v>3830.2840000000001</v>
      </c>
      <c r="CK41" s="3">
        <v>3748.5940000000001</v>
      </c>
      <c r="CL41" s="2">
        <v>-2.1327560000000001</v>
      </c>
      <c r="CM41" s="3">
        <v>35.659709999999997</v>
      </c>
      <c r="CN41" s="3">
        <v>31.91412</v>
      </c>
      <c r="CO41" s="3">
        <v>31.471540000000001</v>
      </c>
      <c r="CP41" s="2">
        <v>-14.132770000000001</v>
      </c>
      <c r="CQ41" s="2">
        <v>-4.0549989999999996</v>
      </c>
      <c r="CR41" s="2">
        <v>-2.7057410000000002</v>
      </c>
      <c r="CS41" s="2">
        <v>-10.5037</v>
      </c>
      <c r="CT41" s="2">
        <v>11.06128</v>
      </c>
      <c r="CU41" s="3">
        <v>0.10971690000000001</v>
      </c>
      <c r="CV41" s="2" t="e">
        <v>#N/A</v>
      </c>
      <c r="CW41" s="2" t="e">
        <v>#N/A</v>
      </c>
      <c r="CX41" s="2" t="e">
        <v>#N/A</v>
      </c>
      <c r="CY41" s="2">
        <v>26.11111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link</cp:lastModifiedBy>
  <dcterms:created xsi:type="dcterms:W3CDTF">2023-07-03T05:04:31Z</dcterms:created>
  <dcterms:modified xsi:type="dcterms:W3CDTF">2023-07-03T05:04:31Z</dcterms:modified>
  <cp:category/>
</cp:coreProperties>
</file>