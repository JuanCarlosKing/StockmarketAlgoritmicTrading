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figar\Documents\Trabajo\FAXES\"/>
    </mc:Choice>
  </mc:AlternateContent>
  <xr:revisionPtr revIDLastSave="0" documentId="8_{E5169135-C449-4604-80B6-BF7D473EF6C2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Tab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<sst xmlns="http://schemas.openxmlformats.org/spreadsheetml/2006/main" count="380" uniqueCount="311">
  <si>
    <t>FactSet Universal Screen</t>
  </si>
  <si>
    <t>SAB-ES</t>
  </si>
  <si>
    <t>Banco de Sabadell SA</t>
  </si>
  <si>
    <t>Finance</t>
  </si>
  <si>
    <t>Major Banks</t>
  </si>
  <si>
    <t>Buy (1.00)</t>
  </si>
  <si>
    <t>CABK-ES</t>
  </si>
  <si>
    <t>CaixaBank SA</t>
  </si>
  <si>
    <t>Regional Banks</t>
  </si>
  <si>
    <t>BBVA-ES</t>
  </si>
  <si>
    <t>Banco Bilbao Vizcaya Argentaria, S.A.</t>
  </si>
  <si>
    <t>REP-ES</t>
  </si>
  <si>
    <t>Repsol SA</t>
  </si>
  <si>
    <t>Energy Minerals</t>
  </si>
  <si>
    <t>Integrated Oil</t>
  </si>
  <si>
    <t>BKT-ES</t>
  </si>
  <si>
    <t>Bankinter SA</t>
  </si>
  <si>
    <t>IDR-ES</t>
  </si>
  <si>
    <t>Indra Sistemas, S.A. Class A</t>
  </si>
  <si>
    <t>Technology Services</t>
  </si>
  <si>
    <t>Information Technology Services</t>
  </si>
  <si>
    <t>ROVI-ES</t>
  </si>
  <si>
    <t>Laboratorios Farmaceuticos Rovi, S.A.</t>
  </si>
  <si>
    <t>Health Technology</t>
  </si>
  <si>
    <t>Pharmaceuticals: Major</t>
  </si>
  <si>
    <t>GRF-ES</t>
  </si>
  <si>
    <t>Grifols, S.A. Class A</t>
  </si>
  <si>
    <t>SAN-ES</t>
  </si>
  <si>
    <t>Banco Santander, S.A.</t>
  </si>
  <si>
    <t>ITX-ES</t>
  </si>
  <si>
    <t>Industria de Diseno Textil, S.A.</t>
  </si>
  <si>
    <t>Retail Trade</t>
  </si>
  <si>
    <t>Apparel/Footwear Retail</t>
  </si>
  <si>
    <t>IBE-ES</t>
  </si>
  <si>
    <t>Iberdrola SA</t>
  </si>
  <si>
    <t>Utilities</t>
  </si>
  <si>
    <t>Electric Utilities</t>
  </si>
  <si>
    <t>Overweight (1.50)</t>
  </si>
  <si>
    <t>IAG-ES</t>
  </si>
  <si>
    <t>International Consolidated Airlines Group SA</t>
  </si>
  <si>
    <t>Transportation</t>
  </si>
  <si>
    <t>Airlines</t>
  </si>
  <si>
    <t>ACS-ES</t>
  </si>
  <si>
    <t>ACS Actividades de Construccion y Servicios SA</t>
  </si>
  <si>
    <t>Industrial Services</t>
  </si>
  <si>
    <t>Engineering &amp; Construction</t>
  </si>
  <si>
    <t>Hold (2.00)</t>
  </si>
  <si>
    <t>ANA-ES</t>
  </si>
  <si>
    <t>Acciona SA</t>
  </si>
  <si>
    <t>SLR-ES</t>
  </si>
  <si>
    <t>Solaria Energia y Medio Ambiente, S.A.</t>
  </si>
  <si>
    <t>Alternative Power Generation</t>
  </si>
  <si>
    <t>LOG-ES</t>
  </si>
  <si>
    <t>Compania de Distribucion Integral Logista Holdings S.A.</t>
  </si>
  <si>
    <t>Air Freight/Couriers</t>
  </si>
  <si>
    <t>FER-ES</t>
  </si>
  <si>
    <t>Ferrovial SE</t>
  </si>
  <si>
    <t>Hold (1.75)</t>
  </si>
  <si>
    <t>MEL-ES</t>
  </si>
  <si>
    <t>Melia Hotels International, S.A.</t>
  </si>
  <si>
    <t>Consumer Services</t>
  </si>
  <si>
    <t>Hotels/Resorts/Cruiselines</t>
  </si>
  <si>
    <t>TEF-ES</t>
  </si>
  <si>
    <t>Telefonica SA</t>
  </si>
  <si>
    <t>Communications</t>
  </si>
  <si>
    <t>Specialty Telecommunications</t>
  </si>
  <si>
    <t>FDR-ES</t>
  </si>
  <si>
    <t>Fluidra, S.A.</t>
  </si>
  <si>
    <t>Consumer Durables</t>
  </si>
  <si>
    <t>Recreational Products</t>
  </si>
  <si>
    <t>CLNX-ES</t>
  </si>
  <si>
    <t>Cellnex Telecom S.A.</t>
  </si>
  <si>
    <t>SCYR-ES</t>
  </si>
  <si>
    <t>Sacyr SA</t>
  </si>
  <si>
    <t>AENA-ES</t>
  </si>
  <si>
    <t>Aena SME SA</t>
  </si>
  <si>
    <t>Other Transportation</t>
  </si>
  <si>
    <t>ACX-ES</t>
  </si>
  <si>
    <t>Acerinox SA</t>
  </si>
  <si>
    <t>Non-Energy Minerals</t>
  </si>
  <si>
    <t>Steel</t>
  </si>
  <si>
    <t>MRL-ES</t>
  </si>
  <si>
    <t>MERLIN Properties SOCIMI, S.A.</t>
  </si>
  <si>
    <t>Real Estate Investment Trusts</t>
  </si>
  <si>
    <t>UNI-ES</t>
  </si>
  <si>
    <t>Unicaja Banco S.A.</t>
  </si>
  <si>
    <t>AMS-ES</t>
  </si>
  <si>
    <t>Amadeus IT Group SA Class A</t>
  </si>
  <si>
    <t>NTGY-ES</t>
  </si>
  <si>
    <t>Naturgy Energy Group, S.A.</t>
  </si>
  <si>
    <t>Sell (3.00)</t>
  </si>
  <si>
    <t>RED-ES</t>
  </si>
  <si>
    <t>Redeia Corporacion SA</t>
  </si>
  <si>
    <t>COL-ES</t>
  </si>
  <si>
    <t>Inmobiliaria Colonial SOCIMI SA</t>
  </si>
  <si>
    <t>ANE-ES</t>
  </si>
  <si>
    <t>Corporacion Acciona Energias Renovables SA</t>
  </si>
  <si>
    <t>MTS-ES</t>
  </si>
  <si>
    <t>ArcelorMittal SA</t>
  </si>
  <si>
    <t>ENG-ES</t>
  </si>
  <si>
    <t>Enagas SA</t>
  </si>
  <si>
    <t>Gas Distributors</t>
  </si>
  <si>
    <t>Underweight (2.50)</t>
  </si>
  <si>
    <t>ELE-ES</t>
  </si>
  <si>
    <t>Endesa S.A.</t>
  </si>
  <si>
    <t>MAP-ES</t>
  </si>
  <si>
    <t>Mapfre SA</t>
  </si>
  <si>
    <t>Multi-Line Insurance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</si>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</sst>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1770E-B2CD-4DE1-B741-49058158CB39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6" t="s">
        <v>113</v>
      </c>
      <c r="G4" s="6" t="s">
        <v>114</v>
      </c>
      <c r="H4" s="6" t="s">
        <v>115</v>
      </c>
      <c r="I4" s="6" t="s">
        <v>116</v>
      </c>
      <c r="J4" s="6" t="s">
        <v>117</v>
      </c>
      <c r="K4" s="6" t="s">
        <v>118</v>
      </c>
      <c r="L4" s="6" t="s">
        <v>119</v>
      </c>
      <c r="M4" s="6" t="s">
        <v>120</v>
      </c>
      <c r="N4" s="6" t="s">
        <v>121</v>
      </c>
      <c r="O4" s="6" t="s">
        <v>122</v>
      </c>
      <c r="P4" s="6" t="s">
        <v>123</v>
      </c>
      <c r="Q4" s="6" t="s">
        <v>124</v>
      </c>
      <c r="R4" s="6" t="s">
        <v>125</v>
      </c>
      <c r="S4" s="6" t="s">
        <v>126</v>
      </c>
      <c r="T4" s="6" t="s">
        <v>127</v>
      </c>
      <c r="U4" s="6" t="s">
        <v>128</v>
      </c>
      <c r="V4" s="6" t="s">
        <v>129</v>
      </c>
      <c r="W4" s="6" t="s">
        <v>130</v>
      </c>
      <c r="X4" s="6" t="s">
        <v>131</v>
      </c>
      <c r="Y4" s="6" t="s">
        <v>132</v>
      </c>
      <c r="Z4" s="6" t="s">
        <v>133</v>
      </c>
      <c r="AA4" s="6" t="s">
        <v>134</v>
      </c>
      <c r="AB4" s="6" t="s">
        <v>135</v>
      </c>
      <c r="AC4" s="6" t="s">
        <v>136</v>
      </c>
      <c r="AD4" s="6" t="s">
        <v>137</v>
      </c>
      <c r="AE4" s="6" t="s">
        <v>138</v>
      </c>
      <c r="AF4" s="6" t="s">
        <v>139</v>
      </c>
      <c r="AG4" s="6" t="s">
        <v>140</v>
      </c>
      <c r="AH4" s="6" t="s">
        <v>141</v>
      </c>
      <c r="AI4" s="6" t="s">
        <v>142</v>
      </c>
      <c r="AJ4" s="6" t="s">
        <v>143</v>
      </c>
      <c r="AK4" s="6" t="s">
        <v>144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149</v>
      </c>
      <c r="AQ4" s="6" t="s">
        <v>150</v>
      </c>
      <c r="AR4" s="6" t="s">
        <v>151</v>
      </c>
      <c r="AS4" s="6" t="s">
        <v>152</v>
      </c>
      <c r="AT4" s="6" t="s">
        <v>153</v>
      </c>
      <c r="AU4" s="5" t="s">
        <v>154</v>
      </c>
      <c r="AV4" s="6" t="s">
        <v>155</v>
      </c>
      <c r="AW4" s="6" t="s">
        <v>156</v>
      </c>
      <c r="AX4" s="6" t="s">
        <v>157</v>
      </c>
      <c r="AY4" s="6" t="s">
        <v>158</v>
      </c>
      <c r="AZ4" s="6" t="s">
        <v>159</v>
      </c>
      <c r="BA4" s="6" t="s">
        <v>160</v>
      </c>
      <c r="BB4" s="6" t="s">
        <v>161</v>
      </c>
      <c r="BC4" s="6" t="s">
        <v>162</v>
      </c>
      <c r="BD4" s="6" t="s">
        <v>163</v>
      </c>
      <c r="BE4" s="6" t="s">
        <v>164</v>
      </c>
      <c r="BF4" s="6" t="s">
        <v>165</v>
      </c>
      <c r="BG4" s="6" t="s">
        <v>166</v>
      </c>
      <c r="BH4" s="6" t="s">
        <v>167</v>
      </c>
      <c r="BI4" s="6" t="s">
        <v>168</v>
      </c>
      <c r="BJ4" s="6" t="s">
        <v>169</v>
      </c>
      <c r="BK4" s="6" t="s">
        <v>170</v>
      </c>
      <c r="BL4" s="6" t="s">
        <v>171</v>
      </c>
      <c r="BM4" s="6" t="s">
        <v>172</v>
      </c>
      <c r="BN4" s="6" t="s">
        <v>173</v>
      </c>
      <c r="BO4" s="6" t="s">
        <v>174</v>
      </c>
      <c r="BP4" s="6" t="s">
        <v>175</v>
      </c>
      <c r="BQ4" s="6" t="s">
        <v>176</v>
      </c>
      <c r="BR4" s="6" t="s">
        <v>177</v>
      </c>
      <c r="BS4" s="6" t="s">
        <v>178</v>
      </c>
      <c r="BT4" s="6" t="s">
        <v>172</v>
      </c>
      <c r="BU4" s="6" t="s">
        <v>179</v>
      </c>
      <c r="BV4" s="6" t="s">
        <v>180</v>
      </c>
      <c r="BW4" s="6" t="s">
        <v>181</v>
      </c>
      <c r="BX4" s="6" t="s">
        <v>182</v>
      </c>
      <c r="BY4" s="6" t="s">
        <v>183</v>
      </c>
      <c r="BZ4" s="6" t="s">
        <v>184</v>
      </c>
      <c r="CA4" s="6" t="s">
        <v>185</v>
      </c>
      <c r="CB4" s="6" t="s">
        <v>186</v>
      </c>
      <c r="CC4" s="6" t="s">
        <v>187</v>
      </c>
      <c r="CD4" s="6" t="s">
        <v>188</v>
      </c>
      <c r="CE4" s="6" t="s">
        <v>189</v>
      </c>
      <c r="CF4" s="6" t="s">
        <v>190</v>
      </c>
      <c r="CG4" s="6" t="s">
        <v>191</v>
      </c>
      <c r="CH4" s="6" t="s">
        <v>192</v>
      </c>
      <c r="CI4" s="6" t="s">
        <v>193</v>
      </c>
      <c r="CJ4" s="6" t="s">
        <v>194</v>
      </c>
      <c r="CK4" s="6" t="s">
        <v>195</v>
      </c>
      <c r="CL4" s="6" t="s">
        <v>196</v>
      </c>
      <c r="CM4" s="6" t="s">
        <v>197</v>
      </c>
      <c r="CN4" s="6" t="s">
        <v>198</v>
      </c>
      <c r="CO4" s="6" t="s">
        <v>199</v>
      </c>
      <c r="CP4" s="6" t="s">
        <v>200</v>
      </c>
      <c r="CQ4" s="6" t="s">
        <v>201</v>
      </c>
      <c r="CR4" s="6" t="s">
        <v>202</v>
      </c>
      <c r="CS4" s="6" t="s">
        <v>203</v>
      </c>
      <c r="CT4" s="6" t="s">
        <v>204</v>
      </c>
      <c r="CU4" s="6" t="s">
        <v>205</v>
      </c>
      <c r="CV4" s="6" t="s">
        <v>206</v>
      </c>
      <c r="CW4" s="6" t="s">
        <v>207</v>
      </c>
      <c r="CX4" s="6" t="s">
        <v>208</v>
      </c>
      <c r="CY4" s="6" t="s">
        <v>209</v>
      </c>
    </row>
    <row r="5" spans="1:103" ht="12.75" x14ac:dyDescent="0.2">
      <c r="A5" s="5"/>
      <c r="B5" s="5"/>
      <c r="C5" s="5" t="s">
        <v>210</v>
      </c>
      <c r="D5" s="5" t="s">
        <v>211</v>
      </c>
      <c r="E5" s="5" t="s">
        <v>212</v>
      </c>
      <c r="F5" s="6" t="s">
        <v>213</v>
      </c>
      <c r="G5" s="6" t="s">
        <v>214</v>
      </c>
      <c r="H5" s="6" t="s">
        <v>215</v>
      </c>
      <c r="I5" s="6" t="s">
        <v>216</v>
      </c>
      <c r="J5" s="6" t="s">
        <v>217</v>
      </c>
      <c r="K5" s="6" t="s">
        <v>218</v>
      </c>
      <c r="L5" s="6" t="s">
        <v>219</v>
      </c>
      <c r="M5" s="6" t="s">
        <v>220</v>
      </c>
      <c r="N5" s="6" t="s">
        <v>221</v>
      </c>
      <c r="O5" s="6" t="s">
        <v>222</v>
      </c>
      <c r="P5" s="6" t="s">
        <v>223</v>
      </c>
      <c r="Q5" s="6" t="s">
        <v>224</v>
      </c>
      <c r="R5" s="6" t="s">
        <v>225</v>
      </c>
      <c r="S5" s="6" t="s">
        <v>226</v>
      </c>
      <c r="T5" s="6" t="s">
        <v>227</v>
      </c>
      <c r="U5" s="6" t="s">
        <v>228</v>
      </c>
      <c r="V5" s="6" t="s">
        <v>229</v>
      </c>
      <c r="W5" s="6" t="s">
        <v>230</v>
      </c>
      <c r="X5" s="6" t="s">
        <v>231</v>
      </c>
      <c r="Y5" s="6" t="s">
        <v>232</v>
      </c>
      <c r="Z5" s="6" t="s">
        <v>233</v>
      </c>
      <c r="AA5" s="6" t="s">
        <v>234</v>
      </c>
      <c r="AB5" s="6" t="s">
        <v>235</v>
      </c>
      <c r="AC5" s="6" t="s">
        <v>236</v>
      </c>
      <c r="AD5" s="6" t="s">
        <v>237</v>
      </c>
      <c r="AE5" s="6" t="s">
        <v>238</v>
      </c>
      <c r="AF5" s="6" t="s">
        <v>239</v>
      </c>
      <c r="AG5" s="6" t="s">
        <v>240</v>
      </c>
      <c r="AH5" s="6" t="s">
        <v>241</v>
      </c>
      <c r="AI5" s="6" t="s">
        <v>242</v>
      </c>
      <c r="AJ5" s="6" t="s">
        <v>243</v>
      </c>
      <c r="AK5" s="6" t="s">
        <v>244</v>
      </c>
      <c r="AL5" s="6" t="s">
        <v>245</v>
      </c>
      <c r="AM5" s="6" t="s">
        <v>246</v>
      </c>
      <c r="AN5" s="6" t="s">
        <v>247</v>
      </c>
      <c r="AO5" s="6" t="s">
        <v>248</v>
      </c>
      <c r="AP5" s="6" t="s">
        <v>249</v>
      </c>
      <c r="AQ5" s="6" t="s">
        <v>250</v>
      </c>
      <c r="AR5" s="6" t="s">
        <v>251</v>
      </c>
      <c r="AS5" s="6" t="s">
        <v>252</v>
      </c>
      <c r="AT5" s="6" t="s">
        <v>253</v>
      </c>
      <c r="AU5" s="5" t="s">
        <v>254</v>
      </c>
      <c r="AV5" s="6" t="s">
        <v>255</v>
      </c>
      <c r="AW5" s="6" t="s">
        <v>256</v>
      </c>
      <c r="AX5" s="6" t="s">
        <v>257</v>
      </c>
      <c r="AY5" s="6" t="s">
        <v>258</v>
      </c>
      <c r="AZ5" s="6" t="s">
        <v>259</v>
      </c>
      <c r="BA5" s="6" t="s">
        <v>260</v>
      </c>
      <c r="BB5" s="6" t="s">
        <v>261</v>
      </c>
      <c r="BC5" s="6" t="s">
        <v>262</v>
      </c>
      <c r="BD5" s="6" t="s">
        <v>263</v>
      </c>
      <c r="BE5" s="6" t="s">
        <v>264</v>
      </c>
      <c r="BF5" s="6" t="s">
        <v>265</v>
      </c>
      <c r="BG5" s="6" t="s">
        <v>266</v>
      </c>
      <c r="BH5" s="6" t="s">
        <v>267</v>
      </c>
      <c r="BI5" s="6" t="s">
        <v>268</v>
      </c>
      <c r="BJ5" s="6" t="s">
        <v>269</v>
      </c>
      <c r="BK5" s="6" t="s">
        <v>270</v>
      </c>
      <c r="BL5" s="6" t="s">
        <v>271</v>
      </c>
      <c r="BM5" s="6" t="s">
        <v>272</v>
      </c>
      <c r="BN5" s="6" t="s">
        <v>273</v>
      </c>
      <c r="BO5" s="6" t="s">
        <v>274</v>
      </c>
      <c r="BP5" s="6" t="s">
        <v>275</v>
      </c>
      <c r="BQ5" s="6" t="s">
        <v>276</v>
      </c>
      <c r="BR5" s="6" t="s">
        <v>277</v>
      </c>
      <c r="BS5" s="6" t="s">
        <v>278</v>
      </c>
      <c r="BT5" s="6" t="s">
        <v>279</v>
      </c>
      <c r="BU5" s="6" t="s">
        <v>280</v>
      </c>
      <c r="BV5" s="6" t="s">
        <v>281</v>
      </c>
      <c r="BW5" s="6" t="s">
        <v>282</v>
      </c>
      <c r="BX5" s="6" t="s">
        <v>283</v>
      </c>
      <c r="BY5" s="6" t="s">
        <v>284</v>
      </c>
      <c r="BZ5" s="6" t="s">
        <v>285</v>
      </c>
      <c r="CA5" s="6" t="s">
        <v>286</v>
      </c>
      <c r="CB5" s="6" t="s">
        <v>287</v>
      </c>
      <c r="CC5" s="6" t="s">
        <v>288</v>
      </c>
      <c r="CD5" s="6" t="s">
        <v>289</v>
      </c>
      <c r="CE5" s="6" t="s">
        <v>290</v>
      </c>
      <c r="CF5" s="6" t="s">
        <v>291</v>
      </c>
      <c r="CG5" s="6" t="s">
        <v>292</v>
      </c>
      <c r="CH5" s="6" t="s">
        <v>293</v>
      </c>
      <c r="CI5" s="6" t="s">
        <v>294</v>
      </c>
      <c r="CJ5" s="6" t="s">
        <v>295</v>
      </c>
      <c r="CK5" s="6" t="s">
        <v>296</v>
      </c>
      <c r="CL5" s="6" t="s">
        <v>297</v>
      </c>
      <c r="CM5" s="6" t="s">
        <v>298</v>
      </c>
      <c r="CN5" s="6" t="s">
        <v>299</v>
      </c>
      <c r="CO5" s="6" t="s">
        <v>300</v>
      </c>
      <c r="CP5" s="6" t="s">
        <v>301</v>
      </c>
      <c r="CQ5" s="6" t="s">
        <v>302</v>
      </c>
      <c r="CR5" s="6" t="s">
        <v>303</v>
      </c>
      <c r="CS5" s="6" t="s">
        <v>304</v>
      </c>
      <c r="CT5" s="6" t="s">
        <v>305</v>
      </c>
      <c r="CU5" s="6" t="s">
        <v>306</v>
      </c>
      <c r="CV5" s="6" t="s">
        <v>307</v>
      </c>
      <c r="CW5" s="6" t="s">
        <v>308</v>
      </c>
      <c r="CX5" s="6" t="s">
        <v>309</v>
      </c>
      <c r="CY5" s="6" t="s">
        <v>310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6589.1750000000002</v>
      </c>
      <c r="G7" s="2">
        <v>96.579700000000003</v>
      </c>
      <c r="H7" s="2">
        <v>6363.8059999999996</v>
      </c>
      <c r="I7" s="3">
        <v>1.171</v>
      </c>
      <c r="J7" s="3">
        <v>0</v>
      </c>
      <c r="K7" s="2">
        <v>3.4158840000000001</v>
      </c>
      <c r="L7" s="2">
        <v>10.06058</v>
      </c>
      <c r="M7" s="2">
        <v>9.3932540000000007</v>
      </c>
      <c r="N7" s="2">
        <v>9.3936810000000008</v>
      </c>
      <c r="O7" s="2">
        <v>8.3703059999999994</v>
      </c>
      <c r="P7" s="2">
        <v>5.3227270000000004</v>
      </c>
      <c r="Q7" s="2">
        <v>5.3227270000000004</v>
      </c>
      <c r="R7" s="2">
        <v>5.5761900000000004</v>
      </c>
      <c r="S7" s="2" t="e">
        <v>#N/A</v>
      </c>
      <c r="T7" s="2" t="e">
        <v>#N/A</v>
      </c>
      <c r="U7" s="2" t="e">
        <v>#N/A</v>
      </c>
      <c r="V7" s="2" t="e">
        <v>#N/A</v>
      </c>
      <c r="W7" s="2">
        <v>0.49928600000000001</v>
      </c>
      <c r="X7" s="2">
        <v>0.45839819999999998</v>
      </c>
      <c r="Y7" s="2">
        <v>0.4409824</v>
      </c>
      <c r="Z7" s="2">
        <v>0.42269879999999999</v>
      </c>
      <c r="AA7" s="2" t="e">
        <v>#N/A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3">
        <v>0.53975600000000001</v>
      </c>
      <c r="AL7" s="3">
        <v>0.55253580000000002</v>
      </c>
      <c r="AM7" s="2" t="e">
        <v>#N/A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1" t="s">
        <v>5</v>
      </c>
      <c r="AV7" s="3">
        <v>1.478261</v>
      </c>
      <c r="AW7" s="3">
        <v>1.575</v>
      </c>
      <c r="AX7" s="2">
        <v>34.500430000000001</v>
      </c>
      <c r="AY7" s="2">
        <v>8.6120929999999998</v>
      </c>
      <c r="AZ7" s="2">
        <v>9.7634650000000001</v>
      </c>
      <c r="BA7" s="2">
        <v>47.184519999999999</v>
      </c>
      <c r="BB7" s="2">
        <v>32.947319999999998</v>
      </c>
      <c r="BC7" s="3">
        <v>0.77739999999999998</v>
      </c>
      <c r="BD7" s="2">
        <v>50.630310000000001</v>
      </c>
      <c r="BE7" s="3">
        <v>1.3340000000000001</v>
      </c>
      <c r="BF7" s="2">
        <v>-12.21889</v>
      </c>
      <c r="BG7" s="2">
        <v>29.02468</v>
      </c>
      <c r="BH7" s="2">
        <v>45.74821</v>
      </c>
      <c r="BI7" s="2">
        <v>46.790230000000001</v>
      </c>
      <c r="BJ7" s="2">
        <v>48.974400000000003</v>
      </c>
      <c r="BK7" s="2">
        <v>22</v>
      </c>
      <c r="BL7" s="2">
        <v>13</v>
      </c>
      <c r="BM7" s="4">
        <v>23</v>
      </c>
      <c r="BN7" s="4">
        <v>0</v>
      </c>
      <c r="BO7" s="4">
        <v>0</v>
      </c>
      <c r="BP7" s="4">
        <v>21</v>
      </c>
      <c r="BQ7" s="2">
        <v>0</v>
      </c>
      <c r="BR7" s="4">
        <v>14</v>
      </c>
      <c r="BS7" s="4">
        <v>2</v>
      </c>
      <c r="BT7" s="4">
        <v>23</v>
      </c>
      <c r="BU7" s="2">
        <v>60.86956</v>
      </c>
      <c r="BV7" s="2">
        <v>12.210800000000001</v>
      </c>
      <c r="BW7" s="2">
        <v>5626.9639999999999</v>
      </c>
      <c r="BX7" s="3">
        <v>29.246510000000001</v>
      </c>
      <c r="BY7" s="3">
        <v>0.51975640000000001</v>
      </c>
      <c r="BZ7" s="2">
        <v>1.28853</v>
      </c>
      <c r="CA7" s="3">
        <v>0.51975640000000001</v>
      </c>
      <c r="CB7" s="3">
        <v>0.19332940000000001</v>
      </c>
      <c r="CC7" s="3">
        <v>0.22220580000000001</v>
      </c>
      <c r="CD7" s="2">
        <v>14.936389999999999</v>
      </c>
      <c r="CE7" s="3">
        <v>2735.8820000000001</v>
      </c>
      <c r="CF7" s="3">
        <v>2909.2849999999999</v>
      </c>
      <c r="CG7" s="2">
        <v>6.3381080000000001</v>
      </c>
      <c r="CH7" s="3">
        <v>1.434091</v>
      </c>
      <c r="CI7" s="2">
        <v>9.8256829999999997</v>
      </c>
      <c r="CJ7" s="3">
        <v>5730.201</v>
      </c>
      <c r="CK7" s="3">
        <v>5913.8959999999997</v>
      </c>
      <c r="CL7" s="2">
        <v>3.20574</v>
      </c>
      <c r="CM7" s="3">
        <v>1.0697190000000001</v>
      </c>
      <c r="CN7" s="3">
        <v>1.088951</v>
      </c>
      <c r="CO7" s="3">
        <v>1.1070960000000001</v>
      </c>
      <c r="CP7" s="2">
        <v>9.4680420000000005</v>
      </c>
      <c r="CQ7" s="2">
        <v>7.5346710000000003</v>
      </c>
      <c r="CR7" s="2">
        <v>5.7721970000000002</v>
      </c>
      <c r="CS7" s="2">
        <v>1.797903</v>
      </c>
      <c r="CT7" s="2">
        <v>23.770250000000001</v>
      </c>
      <c r="CU7" s="3">
        <v>0.36074699999999998</v>
      </c>
      <c r="CV7" s="2">
        <v>15.942769999999999</v>
      </c>
      <c r="CW7" s="2">
        <v>4.4967969999999999</v>
      </c>
      <c r="CX7" s="2">
        <v>9.0210290000000004</v>
      </c>
      <c r="CY7" s="2">
        <v>10.676769999999999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3</v>
      </c>
      <c r="E8" s="1" t="s">
        <v>8</v>
      </c>
      <c r="F8" s="2">
        <v>28770.68</v>
      </c>
      <c r="G8" s="2">
        <v>53.741199999999999</v>
      </c>
      <c r="H8" s="2">
        <v>15461.71</v>
      </c>
      <c r="I8" s="3">
        <v>3.835</v>
      </c>
      <c r="J8" s="3">
        <v>0</v>
      </c>
      <c r="K8" s="2">
        <v>5.9973929999999998</v>
      </c>
      <c r="L8" s="2">
        <v>9.6026860000000003</v>
      </c>
      <c r="M8" s="2">
        <v>9.4968439999999994</v>
      </c>
      <c r="N8" s="2">
        <v>9.3872230000000005</v>
      </c>
      <c r="O8" s="2">
        <v>10.36487</v>
      </c>
      <c r="P8" s="2">
        <v>6.1514100000000003</v>
      </c>
      <c r="Q8" s="2">
        <v>6.2357719999999999</v>
      </c>
      <c r="R8" s="2">
        <v>6.3916659999999998</v>
      </c>
      <c r="S8" s="2" t="e">
        <v>#N/A</v>
      </c>
      <c r="T8" s="2" t="e">
        <v>#N/A</v>
      </c>
      <c r="U8" s="2" t="e">
        <v>#N/A</v>
      </c>
      <c r="V8" s="2" t="e">
        <v>#N/A</v>
      </c>
      <c r="W8" s="2">
        <v>0.83916849999999998</v>
      </c>
      <c r="X8" s="2">
        <v>0.81249660000000001</v>
      </c>
      <c r="Y8" s="2">
        <v>0.774038</v>
      </c>
      <c r="Z8" s="2">
        <v>0.73608450000000003</v>
      </c>
      <c r="AA8" s="2" t="e">
        <v>#N/A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3">
        <v>0.48274460000000002</v>
      </c>
      <c r="AL8" s="3">
        <v>0.48238140000000002</v>
      </c>
      <c r="AM8" s="2" t="e">
        <v>#N/A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1" t="s">
        <v>5</v>
      </c>
      <c r="AV8" s="3">
        <v>1.3958330000000001</v>
      </c>
      <c r="AW8" s="3">
        <v>5.2</v>
      </c>
      <c r="AX8" s="2">
        <v>35.593209999999999</v>
      </c>
      <c r="AY8" s="2">
        <v>13.208299999999999</v>
      </c>
      <c r="AZ8" s="2">
        <v>16.691790000000001</v>
      </c>
      <c r="BA8" s="2">
        <v>14.37519</v>
      </c>
      <c r="BB8" s="2">
        <v>4.4389960000000004</v>
      </c>
      <c r="BC8" s="3">
        <v>3.1019999999999999</v>
      </c>
      <c r="BD8" s="2">
        <v>23.629919999999998</v>
      </c>
      <c r="BE8" s="3">
        <v>4.1970000000000001</v>
      </c>
      <c r="BF8" s="2">
        <v>-8.6252099999999992</v>
      </c>
      <c r="BG8" s="2">
        <v>62.026249999999997</v>
      </c>
      <c r="BH8" s="2">
        <v>59.633490000000002</v>
      </c>
      <c r="BI8" s="2">
        <v>60.926209999999998</v>
      </c>
      <c r="BJ8" s="2">
        <v>60.167459999999998</v>
      </c>
      <c r="BK8" s="2">
        <v>22</v>
      </c>
      <c r="BL8" s="2">
        <v>14</v>
      </c>
      <c r="BM8" s="4">
        <v>24</v>
      </c>
      <c r="BN8" s="4">
        <v>1</v>
      </c>
      <c r="BO8" s="4">
        <v>1</v>
      </c>
      <c r="BP8" s="4">
        <v>22</v>
      </c>
      <c r="BQ8" s="2">
        <v>4.1666670000000003</v>
      </c>
      <c r="BR8" s="4">
        <v>17</v>
      </c>
      <c r="BS8" s="4">
        <v>1</v>
      </c>
      <c r="BT8" s="4">
        <v>24</v>
      </c>
      <c r="BU8" s="2">
        <v>70.833330000000004</v>
      </c>
      <c r="BV8" s="2">
        <v>9.5453399999999995</v>
      </c>
      <c r="BW8" s="2">
        <v>7502.1319999999996</v>
      </c>
      <c r="BX8" s="3">
        <v>12.313599999999999</v>
      </c>
      <c r="BY8" s="3">
        <v>0.16413469999999999</v>
      </c>
      <c r="BZ8" s="2">
        <v>1.0949</v>
      </c>
      <c r="CA8" s="3">
        <v>0.16413469999999999</v>
      </c>
      <c r="CB8" s="3">
        <v>0.55364100000000005</v>
      </c>
      <c r="CC8" s="3">
        <v>0.62098569999999997</v>
      </c>
      <c r="CD8" s="2">
        <v>12.163970000000001</v>
      </c>
      <c r="CE8" s="3">
        <v>7377.5240000000003</v>
      </c>
      <c r="CF8" s="3">
        <v>8218.1749999999993</v>
      </c>
      <c r="CG8" s="2">
        <v>11.39475</v>
      </c>
      <c r="CH8" s="3">
        <v>4.8868</v>
      </c>
      <c r="CI8" s="2">
        <v>6.409097</v>
      </c>
      <c r="CJ8" s="3">
        <v>13320.77</v>
      </c>
      <c r="CK8" s="3">
        <v>14082.78</v>
      </c>
      <c r="CL8" s="2">
        <v>5.7204959999999998</v>
      </c>
      <c r="CM8" s="3">
        <v>3.7100140000000001</v>
      </c>
      <c r="CN8" s="3">
        <v>3.718785</v>
      </c>
      <c r="CO8" s="3">
        <v>3.7702689999999999</v>
      </c>
      <c r="CP8" s="2">
        <v>3.368878</v>
      </c>
      <c r="CQ8" s="2">
        <v>3.1250830000000001</v>
      </c>
      <c r="CR8" s="2">
        <v>1.7168760000000001</v>
      </c>
      <c r="CS8" s="2">
        <v>0.2364039</v>
      </c>
      <c r="CT8" s="2">
        <v>35.022629999999999</v>
      </c>
      <c r="CU8" s="3">
        <v>0.1217303</v>
      </c>
      <c r="CV8" s="2" t="e">
        <v>#N/A</v>
      </c>
      <c r="CW8" s="2">
        <v>6.8897269999999997</v>
      </c>
      <c r="CX8" s="2">
        <v>30.361789999999999</v>
      </c>
      <c r="CY8" s="2">
        <v>11.07071</v>
      </c>
    </row>
    <row r="9" spans="1:103" ht="15" customHeight="1" x14ac:dyDescent="0.2">
      <c r="A9" s="1">
        <f t="shared" ref="A9:A41" si="0">1+A8</f>
        <v>3</v>
      </c>
      <c r="B9" s="1" t="s">
        <v>10</v>
      </c>
      <c r="C9" s="1" t="s">
        <v>9</v>
      </c>
      <c r="D9" s="1" t="s">
        <v>3</v>
      </c>
      <c r="E9" s="1" t="s">
        <v>4</v>
      </c>
      <c r="F9" s="2">
        <v>44275.73</v>
      </c>
      <c r="G9" s="2">
        <v>99.859700000000004</v>
      </c>
      <c r="H9" s="2">
        <v>44213.61</v>
      </c>
      <c r="I9" s="3">
        <v>7.4219999999999997</v>
      </c>
      <c r="J9" s="3">
        <v>0</v>
      </c>
      <c r="K9" s="2">
        <v>5.7935869999999996</v>
      </c>
      <c r="L9" s="2">
        <v>8.1939779999999995</v>
      </c>
      <c r="M9" s="2">
        <v>8.3452300000000008</v>
      </c>
      <c r="N9" s="2">
        <v>8.4756459999999993</v>
      </c>
      <c r="O9" s="2">
        <v>7.0685719999999996</v>
      </c>
      <c r="P9" s="2">
        <v>5.8440950000000003</v>
      </c>
      <c r="Q9" s="2">
        <v>5.8586600000000004</v>
      </c>
      <c r="R9" s="2">
        <v>5.8904759999999996</v>
      </c>
      <c r="S9" s="2" t="e">
        <v>#N/A</v>
      </c>
      <c r="T9" s="2" t="e">
        <v>#N/A</v>
      </c>
      <c r="U9" s="2" t="e">
        <v>#N/A</v>
      </c>
      <c r="V9" s="2" t="e">
        <v>#N/A</v>
      </c>
      <c r="W9" s="2">
        <v>0.95275989999999999</v>
      </c>
      <c r="X9" s="2">
        <v>0.88462450000000004</v>
      </c>
      <c r="Y9" s="2">
        <v>0.83527510000000005</v>
      </c>
      <c r="Z9" s="2">
        <v>0.78249869999999999</v>
      </c>
      <c r="AA9" s="2" t="e">
        <v>#N/A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3">
        <v>1.433819</v>
      </c>
      <c r="AL9" s="3">
        <v>1.4398359999999999</v>
      </c>
      <c r="AM9" s="2" t="e">
        <v>#N/A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1" t="s">
        <v>5</v>
      </c>
      <c r="AV9" s="3">
        <v>1.4038459999999999</v>
      </c>
      <c r="AW9" s="3">
        <v>9.4</v>
      </c>
      <c r="AX9" s="2">
        <v>26.650500000000001</v>
      </c>
      <c r="AY9" s="2">
        <v>15.13707</v>
      </c>
      <c r="AZ9" s="2">
        <v>4.1082210000000003</v>
      </c>
      <c r="BA9" s="2">
        <v>42.48415</v>
      </c>
      <c r="BB9" s="2">
        <v>31.735900000000001</v>
      </c>
      <c r="BC9" s="3">
        <v>5.1539999999999999</v>
      </c>
      <c r="BD9" s="2">
        <v>44.004649999999998</v>
      </c>
      <c r="BE9" s="3">
        <v>7.8819999999999997</v>
      </c>
      <c r="BF9" s="2">
        <v>-5.8360820000000002</v>
      </c>
      <c r="BG9" s="2">
        <v>41.986649999999997</v>
      </c>
      <c r="BH9" s="2">
        <v>47.488059999999997</v>
      </c>
      <c r="BI9" s="2">
        <v>49.280619999999999</v>
      </c>
      <c r="BJ9" s="2">
        <v>50.00367</v>
      </c>
      <c r="BK9" s="2">
        <v>25</v>
      </c>
      <c r="BL9" s="2">
        <v>17</v>
      </c>
      <c r="BM9" s="4">
        <v>26</v>
      </c>
      <c r="BN9" s="4">
        <v>2</v>
      </c>
      <c r="BO9" s="4">
        <v>1</v>
      </c>
      <c r="BP9" s="4">
        <v>21</v>
      </c>
      <c r="BQ9" s="2">
        <v>8.3333340000000007</v>
      </c>
      <c r="BR9" s="4">
        <v>17</v>
      </c>
      <c r="BS9" s="4">
        <v>0</v>
      </c>
      <c r="BT9" s="4">
        <v>26</v>
      </c>
      <c r="BU9" s="2">
        <v>65.384609999999995</v>
      </c>
      <c r="BV9" s="2">
        <v>12.872299999999999</v>
      </c>
      <c r="BW9" s="2">
        <v>5965.473</v>
      </c>
      <c r="BX9" s="3">
        <v>16.502130000000001</v>
      </c>
      <c r="BY9" s="3">
        <v>0.27662730000000002</v>
      </c>
      <c r="BZ9" s="2">
        <v>1.9081999999999999</v>
      </c>
      <c r="CA9" s="3">
        <v>0.27662730000000002</v>
      </c>
      <c r="CB9" s="3">
        <v>1.1758740000000001</v>
      </c>
      <c r="CC9" s="3">
        <v>1.260006</v>
      </c>
      <c r="CD9" s="2">
        <v>7.1548579999999999</v>
      </c>
      <c r="CE9" s="3">
        <v>15830.34</v>
      </c>
      <c r="CF9" s="3">
        <v>16692.52</v>
      </c>
      <c r="CG9" s="2">
        <v>5.4463619999999997</v>
      </c>
      <c r="CH9" s="3">
        <v>8.6051859999999998</v>
      </c>
      <c r="CI9" s="2">
        <v>9.2364549999999994</v>
      </c>
      <c r="CJ9" s="3">
        <v>27959.88</v>
      </c>
      <c r="CK9" s="3">
        <v>28919.69</v>
      </c>
      <c r="CL9" s="2">
        <v>3.4328099999999999</v>
      </c>
      <c r="CM9" s="3">
        <v>6.9139299999999997</v>
      </c>
      <c r="CN9" s="3">
        <v>7.4096080000000004</v>
      </c>
      <c r="CO9" s="3">
        <v>7.5917680000000001</v>
      </c>
      <c r="CP9" s="2">
        <v>7.3485019999999999</v>
      </c>
      <c r="CQ9" s="2">
        <v>0.16723869999999999</v>
      </c>
      <c r="CR9" s="2">
        <v>-2.2362169999999999</v>
      </c>
      <c r="CS9" s="2">
        <v>7.1692710000000002</v>
      </c>
      <c r="CT9" s="2">
        <v>109.3357</v>
      </c>
      <c r="CU9" s="3">
        <v>0.24694269999999999</v>
      </c>
      <c r="CV9" s="2">
        <v>3.9239160000000002</v>
      </c>
      <c r="CW9" s="2">
        <v>8.6369520000000009</v>
      </c>
      <c r="CX9" s="2">
        <v>9.216977</v>
      </c>
      <c r="CY9" s="2">
        <v>11.202019999999999</v>
      </c>
    </row>
    <row r="10" spans="1:103" ht="15" customHeight="1" x14ac:dyDescent="0.2">
      <c r="A10" s="1">
        <f t="shared" si="0"/>
        <v>4</v>
      </c>
      <c r="B10" s="1" t="s">
        <v>12</v>
      </c>
      <c r="C10" s="1" t="s">
        <v>11</v>
      </c>
      <c r="D10" s="1" t="s">
        <v>13</v>
      </c>
      <c r="E10" s="1" t="s">
        <v>14</v>
      </c>
      <c r="F10" s="2">
        <v>17660</v>
      </c>
      <c r="G10" s="2">
        <v>96.811700000000002</v>
      </c>
      <c r="H10" s="2">
        <v>17096.95</v>
      </c>
      <c r="I10" s="3">
        <v>13.824999999999999</v>
      </c>
      <c r="J10" s="3">
        <v>0</v>
      </c>
      <c r="K10" s="2">
        <v>5.0632910000000004</v>
      </c>
      <c r="L10" s="2">
        <v>5.0994580000000003</v>
      </c>
      <c r="M10" s="2">
        <v>5.7504530000000003</v>
      </c>
      <c r="N10" s="2">
        <v>6.0397829999999999</v>
      </c>
      <c r="O10" s="2">
        <v>2.980747</v>
      </c>
      <c r="P10" s="2">
        <v>3.9056929999999999</v>
      </c>
      <c r="Q10" s="2">
        <v>4.6864400000000002</v>
      </c>
      <c r="R10" s="2">
        <v>5.1970049999999999</v>
      </c>
      <c r="S10" s="2">
        <v>1.6749700000000001</v>
      </c>
      <c r="T10" s="2">
        <v>2.002739</v>
      </c>
      <c r="U10" s="2">
        <v>2.1595019999999998</v>
      </c>
      <c r="V10" s="2">
        <v>2.3228040000000001</v>
      </c>
      <c r="W10" s="2">
        <v>0.74137920000000002</v>
      </c>
      <c r="X10" s="2">
        <v>0.64730779999999999</v>
      </c>
      <c r="Y10" s="2">
        <v>0.58983129999999995</v>
      </c>
      <c r="Z10" s="2">
        <v>0.54050730000000002</v>
      </c>
      <c r="AA10" s="2">
        <v>2.0835439999999998</v>
      </c>
      <c r="AB10" s="2">
        <v>2.5685479999999998</v>
      </c>
      <c r="AC10" s="2">
        <v>2.5479790000000002</v>
      </c>
      <c r="AD10" s="2">
        <v>2.3311440000000001</v>
      </c>
      <c r="AE10" s="2">
        <v>9.4252369999999992</v>
      </c>
      <c r="AF10" s="2">
        <v>11.570069999999999</v>
      </c>
      <c r="AG10" s="2">
        <v>9.7807910000000007</v>
      </c>
      <c r="AH10" s="2">
        <v>10.69159</v>
      </c>
      <c r="AI10" s="2">
        <v>13.40889</v>
      </c>
      <c r="AJ10" s="2">
        <v>11.62959</v>
      </c>
      <c r="AK10" s="3" t="e">
        <v>#N/A</v>
      </c>
      <c r="AL10" s="3" t="e">
        <v>#N/A</v>
      </c>
      <c r="AM10" s="2">
        <v>17.41527</v>
      </c>
      <c r="AN10" s="2">
        <v>15.909090000000001</v>
      </c>
      <c r="AO10" s="2">
        <v>15.55951</v>
      </c>
      <c r="AP10" s="2">
        <v>16.138249999999999</v>
      </c>
      <c r="AQ10" s="2">
        <v>0.1830416</v>
      </c>
      <c r="AR10" s="2">
        <v>0.23721229999999999</v>
      </c>
      <c r="AS10" s="2">
        <v>0.2961416</v>
      </c>
      <c r="AT10" s="2">
        <v>0.36926389999999998</v>
      </c>
      <c r="AU10" s="1" t="s">
        <v>5</v>
      </c>
      <c r="AV10" s="3">
        <v>1.357143</v>
      </c>
      <c r="AW10" s="3">
        <v>18</v>
      </c>
      <c r="AX10" s="2">
        <v>30.198920000000001</v>
      </c>
      <c r="AY10" s="2">
        <v>16.573440000000002</v>
      </c>
      <c r="AZ10" s="2">
        <v>-6.9449079999999999</v>
      </c>
      <c r="BA10" s="2">
        <v>0.58202739999999997</v>
      </c>
      <c r="BB10" s="2">
        <v>-6.902361</v>
      </c>
      <c r="BC10" s="3">
        <v>12.455</v>
      </c>
      <c r="BD10" s="2">
        <v>10.999599999999999</v>
      </c>
      <c r="BE10" s="3">
        <v>15.87</v>
      </c>
      <c r="BF10" s="2">
        <v>-12.885949999999999</v>
      </c>
      <c r="BG10" s="2">
        <v>14.44557</v>
      </c>
      <c r="BH10" s="2">
        <v>20.880949999999999</v>
      </c>
      <c r="BI10" s="2">
        <v>27.355160000000001</v>
      </c>
      <c r="BJ10" s="2">
        <v>32.648989999999998</v>
      </c>
      <c r="BK10" s="2">
        <v>26</v>
      </c>
      <c r="BL10" s="2">
        <v>23</v>
      </c>
      <c r="BM10" s="4">
        <v>28</v>
      </c>
      <c r="BN10" s="4">
        <v>4</v>
      </c>
      <c r="BO10" s="4">
        <v>2</v>
      </c>
      <c r="BP10" s="4">
        <v>21</v>
      </c>
      <c r="BQ10" s="2">
        <v>14.81481</v>
      </c>
      <c r="BR10" s="4">
        <v>20</v>
      </c>
      <c r="BS10" s="4">
        <v>1</v>
      </c>
      <c r="BT10" s="4">
        <v>28</v>
      </c>
      <c r="BU10" s="2">
        <v>71.428569999999993</v>
      </c>
      <c r="BV10" s="2">
        <v>12.212</v>
      </c>
      <c r="BW10" s="2">
        <v>1277.396</v>
      </c>
      <c r="BX10" s="3">
        <v>5.593852</v>
      </c>
      <c r="BY10" s="3">
        <v>0.43791049999999998</v>
      </c>
      <c r="BZ10" s="2">
        <v>1.5330600000000001</v>
      </c>
      <c r="CA10" s="3">
        <v>0.43791049999999998</v>
      </c>
      <c r="CB10" s="3">
        <v>3.3045689999999999</v>
      </c>
      <c r="CC10" s="3">
        <v>3.5217969999999998</v>
      </c>
      <c r="CD10" s="2">
        <v>6.5735580000000002</v>
      </c>
      <c r="CE10" s="3">
        <v>7074.3779999999997</v>
      </c>
      <c r="CF10" s="3">
        <v>7187.6760000000004</v>
      </c>
      <c r="CG10" s="2">
        <v>1.601529</v>
      </c>
      <c r="CH10" s="3">
        <v>16.86308</v>
      </c>
      <c r="CI10" s="2">
        <v>6.7420840000000002</v>
      </c>
      <c r="CJ10" s="3">
        <v>62936.6</v>
      </c>
      <c r="CK10" s="3">
        <v>68707.39</v>
      </c>
      <c r="CL10" s="2">
        <v>9.1692090000000004</v>
      </c>
      <c r="CM10" s="3">
        <v>14.078950000000001</v>
      </c>
      <c r="CN10" s="3">
        <v>14.77304</v>
      </c>
      <c r="CO10" s="3">
        <v>14.74981</v>
      </c>
      <c r="CP10" s="2">
        <v>-1.8037559999999999</v>
      </c>
      <c r="CQ10" s="2">
        <v>-6.4173640000000001</v>
      </c>
      <c r="CR10" s="2">
        <v>-6.2699790000000002</v>
      </c>
      <c r="CS10" s="2">
        <v>4.9299840000000001</v>
      </c>
      <c r="CT10" s="2">
        <v>64.826040000000006</v>
      </c>
      <c r="CU10" s="3">
        <v>0.36707830000000002</v>
      </c>
      <c r="CV10" s="2">
        <v>27.366029999999999</v>
      </c>
      <c r="CW10" s="2">
        <v>-7.2414519999999998</v>
      </c>
      <c r="CX10" s="2">
        <v>-4.2855629999999998</v>
      </c>
      <c r="CY10" s="2">
        <v>12.14141</v>
      </c>
    </row>
    <row r="11" spans="1:103" ht="15" customHeight="1" x14ac:dyDescent="0.2">
      <c r="A11" s="1">
        <f t="shared" si="0"/>
        <v>5</v>
      </c>
      <c r="B11" s="1" t="s">
        <v>16</v>
      </c>
      <c r="C11" s="1" t="s">
        <v>15</v>
      </c>
      <c r="D11" s="1" t="s">
        <v>3</v>
      </c>
      <c r="E11" s="1" t="s">
        <v>4</v>
      </c>
      <c r="F11" s="2">
        <v>5359.04</v>
      </c>
      <c r="G11" s="2">
        <v>70.785300000000007</v>
      </c>
      <c r="H11" s="2">
        <v>3793.4119999999998</v>
      </c>
      <c r="I11" s="3">
        <v>5.9619999999999997</v>
      </c>
      <c r="J11" s="3">
        <v>0</v>
      </c>
      <c r="K11" s="2">
        <v>5.1995969999999998</v>
      </c>
      <c r="L11" s="2">
        <v>8.0509889999999995</v>
      </c>
      <c r="M11" s="2">
        <v>7.8400629999999998</v>
      </c>
      <c r="N11" s="2">
        <v>7.7155319999999996</v>
      </c>
      <c r="O11" s="2">
        <v>9.7737700000000007</v>
      </c>
      <c r="P11" s="2">
        <v>6.2757889999999996</v>
      </c>
      <c r="Q11" s="2">
        <v>6.4804339999999998</v>
      </c>
      <c r="R11" s="2">
        <v>6.5516480000000001</v>
      </c>
      <c r="S11" s="2" t="e">
        <v>#N/A</v>
      </c>
      <c r="T11" s="2" t="e">
        <v>#N/A</v>
      </c>
      <c r="U11" s="2" t="e">
        <v>#N/A</v>
      </c>
      <c r="V11" s="2" t="e">
        <v>#N/A</v>
      </c>
      <c r="W11" s="2">
        <v>1.0919410000000001</v>
      </c>
      <c r="X11" s="2">
        <v>1.0003359999999999</v>
      </c>
      <c r="Y11" s="2">
        <v>0.93156249999999996</v>
      </c>
      <c r="Z11" s="2">
        <v>0.87676469999999995</v>
      </c>
      <c r="AA11" s="2" t="e">
        <v>#N/A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3">
        <v>0.54372160000000003</v>
      </c>
      <c r="AL11" s="3">
        <v>0.56826390000000004</v>
      </c>
      <c r="AM11" s="2" t="e">
        <v>#N/A</v>
      </c>
      <c r="AN11" s="2" t="e">
        <v>#N/A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1" t="s">
        <v>5</v>
      </c>
      <c r="AV11" s="3">
        <v>1.4750000000000001</v>
      </c>
      <c r="AW11" s="3">
        <v>7.95</v>
      </c>
      <c r="AX11" s="2">
        <v>33.344520000000003</v>
      </c>
      <c r="AY11" s="2">
        <v>15.9396</v>
      </c>
      <c r="AZ11" s="2">
        <v>12</v>
      </c>
      <c r="BA11" s="2">
        <v>-2.517992</v>
      </c>
      <c r="BB11" s="2">
        <v>-4.8819419999999996</v>
      </c>
      <c r="BC11" s="3">
        <v>4.9960000000000004</v>
      </c>
      <c r="BD11" s="2">
        <v>19.335470000000001</v>
      </c>
      <c r="BE11" s="3">
        <v>6.9340000000000002</v>
      </c>
      <c r="BF11" s="2">
        <v>-14.01789</v>
      </c>
      <c r="BG11" s="2">
        <v>49.819800000000001</v>
      </c>
      <c r="BH11" s="2">
        <v>49.790370000000003</v>
      </c>
      <c r="BI11" s="2">
        <v>50.776969999999999</v>
      </c>
      <c r="BJ11" s="2">
        <v>51.222230000000003</v>
      </c>
      <c r="BK11" s="2">
        <v>19</v>
      </c>
      <c r="BL11" s="2">
        <v>11</v>
      </c>
      <c r="BM11" s="4">
        <v>20</v>
      </c>
      <c r="BN11" s="4">
        <v>1</v>
      </c>
      <c r="BO11" s="4">
        <v>0</v>
      </c>
      <c r="BP11" s="4">
        <v>19</v>
      </c>
      <c r="BQ11" s="2">
        <v>5</v>
      </c>
      <c r="BR11" s="4">
        <v>13</v>
      </c>
      <c r="BS11" s="4">
        <v>2</v>
      </c>
      <c r="BT11" s="4">
        <v>20</v>
      </c>
      <c r="BU11" s="2">
        <v>65</v>
      </c>
      <c r="BV11" s="2">
        <v>9.3811</v>
      </c>
      <c r="BW11" s="2">
        <v>898.86609999999996</v>
      </c>
      <c r="BX11" s="3">
        <v>3.0923099999999999</v>
      </c>
      <c r="BY11" s="3">
        <v>0.34402339999999998</v>
      </c>
      <c r="BZ11" s="2">
        <v>0.82549600000000001</v>
      </c>
      <c r="CA11" s="3">
        <v>0.34402339999999998</v>
      </c>
      <c r="CB11" s="3">
        <v>0.89514309999999997</v>
      </c>
      <c r="CC11" s="3">
        <v>0.95531480000000002</v>
      </c>
      <c r="CD11" s="2">
        <v>6.7220209999999998</v>
      </c>
      <c r="CE11" s="3">
        <v>1623.49</v>
      </c>
      <c r="CF11" s="3">
        <v>1705.2270000000001</v>
      </c>
      <c r="CG11" s="2">
        <v>5.0346609999999998</v>
      </c>
      <c r="CH11" s="3">
        <v>7.5390480000000002</v>
      </c>
      <c r="CI11" s="2">
        <v>5.4509759999999998</v>
      </c>
      <c r="CJ11" s="3">
        <v>2594.4540000000002</v>
      </c>
      <c r="CK11" s="3">
        <v>2679.5320000000002</v>
      </c>
      <c r="CL11" s="2">
        <v>3.2792210000000002</v>
      </c>
      <c r="CM11" s="3">
        <v>5.8836050000000002</v>
      </c>
      <c r="CN11" s="3">
        <v>5.981922</v>
      </c>
      <c r="CO11" s="3">
        <v>6.0348459999999999</v>
      </c>
      <c r="CP11" s="2">
        <v>1.3324260000000001</v>
      </c>
      <c r="CQ11" s="2">
        <v>-0.33303500000000003</v>
      </c>
      <c r="CR11" s="2">
        <v>-1.2070890000000001</v>
      </c>
      <c r="CS11" s="2">
        <v>1.671028</v>
      </c>
      <c r="CT11" s="2">
        <v>14.573840000000001</v>
      </c>
      <c r="CU11" s="3">
        <v>0.27194869999999999</v>
      </c>
      <c r="CV11" s="2">
        <v>4.9931330000000003</v>
      </c>
      <c r="CW11" s="2">
        <v>2.0025970000000002</v>
      </c>
      <c r="CX11" s="2">
        <v>1.19377</v>
      </c>
      <c r="CY11" s="2">
        <v>12.93939</v>
      </c>
    </row>
    <row r="12" spans="1:103" ht="15" customHeight="1" x14ac:dyDescent="0.2">
      <c r="A12" s="1">
        <f t="shared" si="0"/>
        <v>6</v>
      </c>
      <c r="B12" s="1" t="s">
        <v>18</v>
      </c>
      <c r="C12" s="1" t="s">
        <v>17</v>
      </c>
      <c r="D12" s="1" t="s">
        <v>19</v>
      </c>
      <c r="E12" s="1" t="s">
        <v>20</v>
      </c>
      <c r="F12" s="2">
        <v>2340.6709999999998</v>
      </c>
      <c r="G12" s="2">
        <v>71.681600000000003</v>
      </c>
      <c r="H12" s="2">
        <v>1677.83</v>
      </c>
      <c r="I12" s="3">
        <v>13.25</v>
      </c>
      <c r="J12" s="3">
        <v>0</v>
      </c>
      <c r="K12" s="2">
        <v>1.886792</v>
      </c>
      <c r="L12" s="2">
        <v>1.924528</v>
      </c>
      <c r="M12" s="2">
        <v>2.528302</v>
      </c>
      <c r="N12" s="2">
        <v>2.4150939999999999</v>
      </c>
      <c r="O12" s="2">
        <v>14.72222</v>
      </c>
      <c r="P12" s="2">
        <v>10.952120000000001</v>
      </c>
      <c r="Q12" s="2">
        <v>10.037879999999999</v>
      </c>
      <c r="R12" s="2">
        <v>9.2013879999999997</v>
      </c>
      <c r="S12" s="2">
        <v>4.8073180000000004</v>
      </c>
      <c r="T12" s="2">
        <v>5.2377269999999996</v>
      </c>
      <c r="U12" s="2">
        <v>4.5683069999999999</v>
      </c>
      <c r="V12" s="2">
        <v>4.0316130000000001</v>
      </c>
      <c r="W12" s="2">
        <v>2.4016389999999999</v>
      </c>
      <c r="X12" s="2">
        <v>2.0613510000000002</v>
      </c>
      <c r="Y12" s="2">
        <v>1.896922</v>
      </c>
      <c r="Z12" s="2">
        <v>1.6666669999999999</v>
      </c>
      <c r="AA12" s="2">
        <v>8.049811</v>
      </c>
      <c r="AB12" s="2">
        <v>7.4133950000000004</v>
      </c>
      <c r="AC12" s="2">
        <v>7.0587150000000003</v>
      </c>
      <c r="AD12" s="2">
        <v>6.5953280000000003</v>
      </c>
      <c r="AE12" s="2">
        <v>8.9271530000000006</v>
      </c>
      <c r="AF12" s="2">
        <v>11.77689</v>
      </c>
      <c r="AG12" s="2">
        <v>13.54453</v>
      </c>
      <c r="AH12" s="2">
        <v>8.7496279999999995</v>
      </c>
      <c r="AI12" s="2">
        <v>10.82596</v>
      </c>
      <c r="AJ12" s="2">
        <v>11.657629999999999</v>
      </c>
      <c r="AK12" s="3" t="e">
        <v>#N/A</v>
      </c>
      <c r="AL12" s="3" t="e">
        <v>#N/A</v>
      </c>
      <c r="AM12" s="2">
        <v>10.3947</v>
      </c>
      <c r="AN12" s="2">
        <v>10.480980000000001</v>
      </c>
      <c r="AO12" s="2">
        <v>10.81293</v>
      </c>
      <c r="AP12" s="2">
        <v>10.97153</v>
      </c>
      <c r="AQ12" s="2">
        <v>0.1074194</v>
      </c>
      <c r="AR12" s="2">
        <v>-0.10627060000000001</v>
      </c>
      <c r="AS12" s="2">
        <v>-0.40127000000000002</v>
      </c>
      <c r="AT12" s="2">
        <v>-0.65255540000000001</v>
      </c>
      <c r="AU12" s="1" t="s">
        <v>5</v>
      </c>
      <c r="AV12" s="3">
        <v>1.3666670000000001</v>
      </c>
      <c r="AW12" s="3">
        <v>15.9</v>
      </c>
      <c r="AX12" s="2">
        <v>19.99999</v>
      </c>
      <c r="AY12" s="2">
        <v>18.821470000000001</v>
      </c>
      <c r="AZ12" s="2" t="e">
        <v>#N/A</v>
      </c>
      <c r="BA12" s="2">
        <v>46.408830000000002</v>
      </c>
      <c r="BB12" s="2">
        <v>24.413150000000002</v>
      </c>
      <c r="BC12" s="3">
        <v>8.8849999999999998</v>
      </c>
      <c r="BD12" s="2">
        <v>49.127740000000003</v>
      </c>
      <c r="BE12" s="3">
        <v>14.29</v>
      </c>
      <c r="BF12" s="2">
        <v>-7.2778169999999998</v>
      </c>
      <c r="BG12" s="2">
        <v>24.33531</v>
      </c>
      <c r="BH12" s="2">
        <v>21.50215</v>
      </c>
      <c r="BI12" s="2">
        <v>24.040299999999998</v>
      </c>
      <c r="BJ12" s="2">
        <v>22.898260000000001</v>
      </c>
      <c r="BK12" s="2">
        <v>13</v>
      </c>
      <c r="BL12" s="2">
        <v>13</v>
      </c>
      <c r="BM12" s="4">
        <v>15</v>
      </c>
      <c r="BN12" s="4">
        <v>1</v>
      </c>
      <c r="BO12" s="4">
        <v>1</v>
      </c>
      <c r="BP12" s="4">
        <v>13</v>
      </c>
      <c r="BQ12" s="2">
        <v>6.6666670000000003</v>
      </c>
      <c r="BR12" s="4">
        <v>10</v>
      </c>
      <c r="BS12" s="4">
        <v>0</v>
      </c>
      <c r="BT12" s="4">
        <v>15</v>
      </c>
      <c r="BU12" s="2">
        <v>66.666669999999996</v>
      </c>
      <c r="BV12" s="2">
        <v>9.5724699999999991</v>
      </c>
      <c r="BW12" s="2">
        <v>176.65440000000001</v>
      </c>
      <c r="BX12" s="3">
        <v>0.55508630000000003</v>
      </c>
      <c r="BY12" s="3">
        <v>0.31422159999999999</v>
      </c>
      <c r="BZ12" s="2">
        <v>0.80134000000000005</v>
      </c>
      <c r="CA12" s="3">
        <v>0.31422159999999999</v>
      </c>
      <c r="CB12" s="3">
        <v>1.212105</v>
      </c>
      <c r="CC12" s="3">
        <v>1.2513989999999999</v>
      </c>
      <c r="CD12" s="2">
        <v>3.2418130000000001</v>
      </c>
      <c r="CE12" s="3">
        <v>336.9522</v>
      </c>
      <c r="CF12" s="3">
        <v>345.49939999999998</v>
      </c>
      <c r="CG12" s="2">
        <v>2.5366070000000001</v>
      </c>
      <c r="CH12" s="3">
        <v>14.61286</v>
      </c>
      <c r="CI12" s="2">
        <v>8.8082899999999995</v>
      </c>
      <c r="CJ12" s="3">
        <v>4126.3010000000004</v>
      </c>
      <c r="CK12" s="3">
        <v>4171.5690000000004</v>
      </c>
      <c r="CL12" s="2">
        <v>1.0970709999999999</v>
      </c>
      <c r="CM12" s="3">
        <v>12.380699999999999</v>
      </c>
      <c r="CN12" s="3">
        <v>13.4298</v>
      </c>
      <c r="CO12" s="3">
        <v>13.37346</v>
      </c>
      <c r="CP12" s="2">
        <v>7.021439</v>
      </c>
      <c r="CQ12" s="2">
        <v>-1.338851</v>
      </c>
      <c r="CR12" s="2">
        <v>-0.92319850000000003</v>
      </c>
      <c r="CS12" s="2">
        <v>8.4737419999999997</v>
      </c>
      <c r="CT12" s="2">
        <v>5.8501370000000001</v>
      </c>
      <c r="CU12" s="3">
        <v>0.2499342</v>
      </c>
      <c r="CV12" s="2">
        <v>4.1111459999999997</v>
      </c>
      <c r="CW12" s="2">
        <v>8.1716519999999999</v>
      </c>
      <c r="CX12" s="2">
        <v>7.7669899999999998</v>
      </c>
      <c r="CY12" s="2">
        <v>12.93939</v>
      </c>
    </row>
    <row r="13" spans="1:103" ht="15" customHeight="1" x14ac:dyDescent="0.2">
      <c r="A13" s="1">
        <f t="shared" si="0"/>
        <v>7</v>
      </c>
      <c r="B13" s="1" t="s">
        <v>22</v>
      </c>
      <c r="C13" s="1" t="s">
        <v>21</v>
      </c>
      <c r="D13" s="1" t="s">
        <v>23</v>
      </c>
      <c r="E13" s="1" t="s">
        <v>24</v>
      </c>
      <c r="F13" s="2">
        <v>2725.1149999999998</v>
      </c>
      <c r="G13" s="2">
        <v>38.361899999999999</v>
      </c>
      <c r="H13" s="2">
        <v>1045.4059999999999</v>
      </c>
      <c r="I13" s="3">
        <v>50.45</v>
      </c>
      <c r="J13" s="3">
        <v>0</v>
      </c>
      <c r="K13" s="2">
        <v>2.5569869999999999</v>
      </c>
      <c r="L13" s="2">
        <v>1.892963</v>
      </c>
      <c r="M13" s="2">
        <v>1.9157580000000001</v>
      </c>
      <c r="N13" s="2">
        <v>2.358771</v>
      </c>
      <c r="O13" s="2">
        <v>13.63513</v>
      </c>
      <c r="P13" s="2">
        <v>19.329499999999999</v>
      </c>
      <c r="Q13" s="2">
        <v>17.366610000000001</v>
      </c>
      <c r="R13" s="2">
        <v>14.559889999999999</v>
      </c>
      <c r="S13" s="2">
        <v>6.7914779999999997</v>
      </c>
      <c r="T13" s="2">
        <v>13.35059</v>
      </c>
      <c r="U13" s="2">
        <v>11.39963</v>
      </c>
      <c r="V13" s="2">
        <v>9.6658259999999991</v>
      </c>
      <c r="W13" s="2">
        <v>5.2442830000000002</v>
      </c>
      <c r="X13" s="2">
        <v>4.779331</v>
      </c>
      <c r="Y13" s="2">
        <v>4.1802669999999997</v>
      </c>
      <c r="Z13" s="2">
        <v>3.396163</v>
      </c>
      <c r="AA13" s="2">
        <v>11.36637</v>
      </c>
      <c r="AB13" s="2">
        <v>17.506070000000001</v>
      </c>
      <c r="AC13" s="2">
        <v>14.285690000000001</v>
      </c>
      <c r="AD13" s="2">
        <v>12.687849999999999</v>
      </c>
      <c r="AE13" s="2">
        <v>4.1513390000000001</v>
      </c>
      <c r="AF13" s="2">
        <v>5.2118700000000002</v>
      </c>
      <c r="AG13" s="2">
        <v>6.0781150000000004</v>
      </c>
      <c r="AH13" s="2">
        <v>4.0645069999999999</v>
      </c>
      <c r="AI13" s="2">
        <v>4.9708909999999999</v>
      </c>
      <c r="AJ13" s="2">
        <v>5.6052679999999997</v>
      </c>
      <c r="AK13" s="3">
        <v>9.5775989999999993</v>
      </c>
      <c r="AL13" s="3">
        <v>8.4364550000000005</v>
      </c>
      <c r="AM13" s="2">
        <v>34.120089999999998</v>
      </c>
      <c r="AN13" s="2">
        <v>26.001819999999999</v>
      </c>
      <c r="AO13" s="2">
        <v>28.46442</v>
      </c>
      <c r="AP13" s="2">
        <v>30.11176</v>
      </c>
      <c r="AQ13" s="2">
        <v>-0.1899642</v>
      </c>
      <c r="AR13" s="2">
        <v>-0.28521390000000002</v>
      </c>
      <c r="AS13" s="2">
        <v>-0.5526316</v>
      </c>
      <c r="AT13" s="2">
        <v>-0.81538460000000001</v>
      </c>
      <c r="AU13" s="1" t="s">
        <v>5</v>
      </c>
      <c r="AV13" s="3">
        <v>1.2222219999999999</v>
      </c>
      <c r="AW13" s="3">
        <v>60</v>
      </c>
      <c r="AX13" s="2">
        <v>18.929639999999999</v>
      </c>
      <c r="AY13" s="2">
        <v>24.725580000000001</v>
      </c>
      <c r="AZ13" s="2">
        <v>2</v>
      </c>
      <c r="BA13" s="2">
        <v>9.6262450000000008</v>
      </c>
      <c r="BB13" s="2">
        <v>39.905720000000002</v>
      </c>
      <c r="BC13" s="3">
        <v>35.200000000000003</v>
      </c>
      <c r="BD13" s="2">
        <v>43.323860000000003</v>
      </c>
      <c r="BE13" s="3">
        <v>55.3</v>
      </c>
      <c r="BF13" s="2">
        <v>-8.7703410000000002</v>
      </c>
      <c r="BG13" s="2">
        <v>33.133690000000001</v>
      </c>
      <c r="BH13" s="2">
        <v>38.177500000000002</v>
      </c>
      <c r="BI13" s="2">
        <v>34.168059999999997</v>
      </c>
      <c r="BJ13" s="2">
        <v>33.43562</v>
      </c>
      <c r="BK13" s="2">
        <v>8</v>
      </c>
      <c r="BL13" s="2">
        <v>8</v>
      </c>
      <c r="BM13" s="4">
        <v>9</v>
      </c>
      <c r="BN13" s="4">
        <v>0</v>
      </c>
      <c r="BO13" s="4">
        <v>1</v>
      </c>
      <c r="BP13" s="4">
        <v>8</v>
      </c>
      <c r="BQ13" s="2">
        <v>0</v>
      </c>
      <c r="BR13" s="4">
        <v>7</v>
      </c>
      <c r="BS13" s="4">
        <v>0</v>
      </c>
      <c r="BT13" s="4">
        <v>9</v>
      </c>
      <c r="BU13" s="2">
        <v>77.777780000000007</v>
      </c>
      <c r="BV13" s="2">
        <v>10.208299999999999</v>
      </c>
      <c r="BW13" s="2">
        <v>54.016159999999999</v>
      </c>
      <c r="BX13" s="3">
        <v>0.15456619999999999</v>
      </c>
      <c r="BY13" s="3">
        <v>0.28614810000000002</v>
      </c>
      <c r="BZ13" s="2">
        <v>0.82716100000000004</v>
      </c>
      <c r="CA13" s="3">
        <v>0.28614810000000002</v>
      </c>
      <c r="CB13" s="3">
        <v>2.33887</v>
      </c>
      <c r="CC13" s="3">
        <v>2.63375</v>
      </c>
      <c r="CD13" s="2">
        <v>12.60778</v>
      </c>
      <c r="CE13" s="3">
        <v>157.1002</v>
      </c>
      <c r="CF13" s="3">
        <v>179.3</v>
      </c>
      <c r="CG13" s="2">
        <v>14.13097</v>
      </c>
      <c r="CH13" s="3">
        <v>58.255459999999999</v>
      </c>
      <c r="CI13" s="2">
        <v>2.9946449999999998</v>
      </c>
      <c r="CJ13" s="3">
        <v>734.91399999999999</v>
      </c>
      <c r="CK13" s="3">
        <v>772.25</v>
      </c>
      <c r="CL13" s="2">
        <v>5.0803180000000001</v>
      </c>
      <c r="CM13" s="3">
        <v>44.15034</v>
      </c>
      <c r="CN13" s="3">
        <v>51.661960000000001</v>
      </c>
      <c r="CO13" s="3">
        <v>51.262309999999999</v>
      </c>
      <c r="CP13" s="2">
        <v>14.268660000000001</v>
      </c>
      <c r="CQ13" s="2">
        <v>-2.3459490000000001</v>
      </c>
      <c r="CR13" s="2">
        <v>-1.584613</v>
      </c>
      <c r="CS13" s="2">
        <v>17.013750000000002</v>
      </c>
      <c r="CT13" s="2">
        <v>4.7608389999999998</v>
      </c>
      <c r="CU13" s="3">
        <v>0.1747023</v>
      </c>
      <c r="CV13" s="2" t="e">
        <v>#N/A</v>
      </c>
      <c r="CW13" s="2">
        <v>2.5641029999999998</v>
      </c>
      <c r="CX13" s="2">
        <v>8.5672080000000008</v>
      </c>
      <c r="CY13" s="2">
        <v>13.464650000000001</v>
      </c>
    </row>
    <row r="14" spans="1:103" ht="15" customHeight="1" x14ac:dyDescent="0.2">
      <c r="A14" s="1">
        <f t="shared" si="0"/>
        <v>8</v>
      </c>
      <c r="B14" s="1" t="s">
        <v>26</v>
      </c>
      <c r="C14" s="1" t="s">
        <v>25</v>
      </c>
      <c r="D14" s="1" t="s">
        <v>23</v>
      </c>
      <c r="E14" s="1" t="s">
        <v>24</v>
      </c>
      <c r="F14" s="2">
        <v>4510.5839999999998</v>
      </c>
      <c r="G14" s="2">
        <v>68.853099999999998</v>
      </c>
      <c r="H14" s="2">
        <v>3105.6770000000001</v>
      </c>
      <c r="I14" s="3">
        <v>10.585000000000001</v>
      </c>
      <c r="J14" s="3">
        <v>0</v>
      </c>
      <c r="K14" s="2">
        <v>0</v>
      </c>
      <c r="L14" s="2">
        <v>0</v>
      </c>
      <c r="M14" s="2">
        <v>0</v>
      </c>
      <c r="N14" s="2">
        <v>3.3065660000000001</v>
      </c>
      <c r="O14" s="2">
        <v>25.388400000000001</v>
      </c>
      <c r="P14" s="2">
        <v>19.696909999999999</v>
      </c>
      <c r="Q14" s="2">
        <v>10.326829999999999</v>
      </c>
      <c r="R14" s="2">
        <v>8.0189389999999996</v>
      </c>
      <c r="S14" s="2">
        <v>13.50792</v>
      </c>
      <c r="T14" s="2">
        <v>11.265890000000001</v>
      </c>
      <c r="U14" s="2">
        <v>8.3516569999999994</v>
      </c>
      <c r="V14" s="2">
        <v>6.8722580000000004</v>
      </c>
      <c r="W14" s="2">
        <v>1.178914</v>
      </c>
      <c r="X14" s="2">
        <v>1.1357299999999999</v>
      </c>
      <c r="Y14" s="2">
        <v>1.036729</v>
      </c>
      <c r="Z14" s="2">
        <v>0.86567099999999997</v>
      </c>
      <c r="AA14" s="2">
        <v>35.507599999999996</v>
      </c>
      <c r="AB14" s="2">
        <v>13.14907</v>
      </c>
      <c r="AC14" s="2">
        <v>7.159986</v>
      </c>
      <c r="AD14" s="2">
        <v>6.9183009999999996</v>
      </c>
      <c r="AE14" s="2">
        <v>1.8291109999999999</v>
      </c>
      <c r="AF14" s="2">
        <v>4.7623699999999998</v>
      </c>
      <c r="AG14" s="2">
        <v>5.9100130000000002</v>
      </c>
      <c r="AH14" s="2">
        <v>5.7928199999999999</v>
      </c>
      <c r="AI14" s="2">
        <v>14.5398</v>
      </c>
      <c r="AJ14" s="2">
        <v>16.844090000000001</v>
      </c>
      <c r="AK14" s="3">
        <v>0.70299230000000001</v>
      </c>
      <c r="AL14" s="3">
        <v>0.35659920000000001</v>
      </c>
      <c r="AM14" s="2">
        <v>20.5641</v>
      </c>
      <c r="AN14" s="2">
        <v>21.934550000000002</v>
      </c>
      <c r="AO14" s="2">
        <v>26.445930000000001</v>
      </c>
      <c r="AP14" s="2">
        <v>28.064520000000002</v>
      </c>
      <c r="AQ14" s="2">
        <v>8.1860470000000003</v>
      </c>
      <c r="AR14" s="2">
        <v>6.7667010000000003</v>
      </c>
      <c r="AS14" s="2">
        <v>4.9075249999999997</v>
      </c>
      <c r="AT14" s="2">
        <v>3.863426</v>
      </c>
      <c r="AU14" s="1" t="s">
        <v>5</v>
      </c>
      <c r="AV14" s="3">
        <v>1.361111</v>
      </c>
      <c r="AW14" s="3">
        <v>19.5</v>
      </c>
      <c r="AX14" s="2">
        <v>84.22296</v>
      </c>
      <c r="AY14" s="2">
        <v>5.7660299999999998</v>
      </c>
      <c r="AZ14" s="2">
        <v>29.753789999999999</v>
      </c>
      <c r="BA14" s="2">
        <v>22.99559</v>
      </c>
      <c r="BB14" s="2">
        <v>-1.71774</v>
      </c>
      <c r="BC14" s="3">
        <v>8.3659999999999997</v>
      </c>
      <c r="BD14" s="2">
        <v>26.52402</v>
      </c>
      <c r="BE14" s="3">
        <v>14.99</v>
      </c>
      <c r="BF14" s="2">
        <v>-29.38626</v>
      </c>
      <c r="BG14" s="2">
        <v>0</v>
      </c>
      <c r="BH14" s="2">
        <v>2.4088859999999999</v>
      </c>
      <c r="BI14" s="2">
        <v>9.3390310000000003</v>
      </c>
      <c r="BJ14" s="2">
        <v>20.27366</v>
      </c>
      <c r="BK14" s="2">
        <v>16</v>
      </c>
      <c r="BL14" s="2">
        <v>14</v>
      </c>
      <c r="BM14" s="4">
        <v>18</v>
      </c>
      <c r="BN14" s="4">
        <v>1</v>
      </c>
      <c r="BO14" s="4">
        <v>1</v>
      </c>
      <c r="BP14" s="4">
        <v>17</v>
      </c>
      <c r="BQ14" s="2">
        <v>5.2631579999999998</v>
      </c>
      <c r="BR14" s="4">
        <v>12</v>
      </c>
      <c r="BS14" s="4">
        <v>0</v>
      </c>
      <c r="BT14" s="4">
        <v>18</v>
      </c>
      <c r="BU14" s="2">
        <v>66.666669999999996</v>
      </c>
      <c r="BV14" s="2">
        <v>11.2537</v>
      </c>
      <c r="BW14" s="2">
        <v>426.12979999999999</v>
      </c>
      <c r="BX14" s="3">
        <v>1.520227</v>
      </c>
      <c r="BY14" s="3">
        <v>0.35675210000000002</v>
      </c>
      <c r="BZ14" s="2">
        <v>0.67702200000000001</v>
      </c>
      <c r="CA14" s="3">
        <v>0.35675210000000002</v>
      </c>
      <c r="CB14" s="3">
        <v>0.5292017</v>
      </c>
      <c r="CC14" s="3">
        <v>0.52834669999999995</v>
      </c>
      <c r="CD14" s="2">
        <v>-0.16155839999999999</v>
      </c>
      <c r="CE14" s="3">
        <v>893.32870000000003</v>
      </c>
      <c r="CF14" s="3">
        <v>911.28949999999998</v>
      </c>
      <c r="CG14" s="2">
        <v>2.010548</v>
      </c>
      <c r="CH14" s="3">
        <v>17.73</v>
      </c>
      <c r="CI14" s="2">
        <v>9.9830869999999994</v>
      </c>
      <c r="CJ14" s="3">
        <v>6583.8549999999996</v>
      </c>
      <c r="CK14" s="3">
        <v>6602.3770000000004</v>
      </c>
      <c r="CL14" s="2">
        <v>0.28132200000000002</v>
      </c>
      <c r="CM14" s="3">
        <v>11.5915</v>
      </c>
      <c r="CN14" s="3">
        <v>12.046279999999999</v>
      </c>
      <c r="CO14" s="3">
        <v>11.33577</v>
      </c>
      <c r="CP14" s="2">
        <v>-8.6830800000000004</v>
      </c>
      <c r="CQ14" s="2">
        <v>-12.130549999999999</v>
      </c>
      <c r="CR14" s="2">
        <v>-6.6230060000000002</v>
      </c>
      <c r="CS14" s="2">
        <v>3.9233920000000002</v>
      </c>
      <c r="CT14" s="2">
        <v>12.360799999999999</v>
      </c>
      <c r="CU14" s="3">
        <v>0.27404000000000001</v>
      </c>
      <c r="CV14" s="2">
        <v>-16.66667</v>
      </c>
      <c r="CW14" s="2">
        <v>-0.38219229999999998</v>
      </c>
      <c r="CX14" s="2">
        <v>4.1541759999999996</v>
      </c>
      <c r="CY14" s="2">
        <v>14.70707</v>
      </c>
    </row>
    <row r="15" spans="1:103" ht="15" customHeight="1" x14ac:dyDescent="0.2">
      <c r="A15" s="1">
        <f t="shared" si="0"/>
        <v>9</v>
      </c>
      <c r="B15" s="1" t="s">
        <v>28</v>
      </c>
      <c r="C15" s="1" t="s">
        <v>27</v>
      </c>
      <c r="D15" s="1" t="s">
        <v>3</v>
      </c>
      <c r="E15" s="1" t="s">
        <v>4</v>
      </c>
      <c r="F15" s="2">
        <v>56094.25</v>
      </c>
      <c r="G15" s="2">
        <v>99.535899999999998</v>
      </c>
      <c r="H15" s="2">
        <v>55833.919999999998</v>
      </c>
      <c r="I15" s="3">
        <v>3.4660000000000002</v>
      </c>
      <c r="J15" s="3">
        <v>0</v>
      </c>
      <c r="K15" s="2">
        <v>3.1736870000000001</v>
      </c>
      <c r="L15" s="2">
        <v>4.7878759999999998</v>
      </c>
      <c r="M15" s="2">
        <v>5.3259379999999998</v>
      </c>
      <c r="N15" s="2">
        <v>6.0588569999999997</v>
      </c>
      <c r="O15" s="2">
        <v>6.4304269999999999</v>
      </c>
      <c r="P15" s="2">
        <v>5.5015869999999998</v>
      </c>
      <c r="Q15" s="2">
        <v>5.082141</v>
      </c>
      <c r="R15" s="2">
        <v>4.881691</v>
      </c>
      <c r="S15" s="2" t="e">
        <v>#N/A</v>
      </c>
      <c r="T15" s="2" t="e">
        <v>#N/A</v>
      </c>
      <c r="U15" s="2" t="e">
        <v>#N/A</v>
      </c>
      <c r="V15" s="2" t="e">
        <v>#N/A</v>
      </c>
      <c r="W15" s="2">
        <v>0.64423790000000003</v>
      </c>
      <c r="X15" s="2">
        <v>0.57766669999999998</v>
      </c>
      <c r="Y15" s="2">
        <v>0.5332308</v>
      </c>
      <c r="Z15" s="2">
        <v>0.48305510000000002</v>
      </c>
      <c r="AA15" s="2" t="e">
        <v>#N/A</v>
      </c>
      <c r="AB15" s="2" t="e">
        <v>#N/A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3">
        <v>0.56577440000000001</v>
      </c>
      <c r="AL15" s="3">
        <v>0.52185389999999998</v>
      </c>
      <c r="AM15" s="2" t="e">
        <v>#N/A</v>
      </c>
      <c r="AN15" s="2" t="e">
        <v>#N/A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1" t="s">
        <v>5</v>
      </c>
      <c r="AV15" s="3">
        <v>1.4038459999999999</v>
      </c>
      <c r="AW15" s="3">
        <v>4.9000000000000004</v>
      </c>
      <c r="AX15" s="2">
        <v>41.373339999999999</v>
      </c>
      <c r="AY15" s="2">
        <v>10.5</v>
      </c>
      <c r="AZ15" s="2">
        <v>9.773066</v>
      </c>
      <c r="BA15" s="2">
        <v>32.18918</v>
      </c>
      <c r="BB15" s="2">
        <v>23.67529</v>
      </c>
      <c r="BC15" s="3">
        <v>2.5015000000000001</v>
      </c>
      <c r="BD15" s="2">
        <v>38.55686</v>
      </c>
      <c r="BE15" s="3">
        <v>3.8725000000000001</v>
      </c>
      <c r="BF15" s="2">
        <v>-10.49709</v>
      </c>
      <c r="BG15" s="2">
        <v>23.634329999999999</v>
      </c>
      <c r="BH15" s="2">
        <v>31.122959999999999</v>
      </c>
      <c r="BI15" s="2">
        <v>32.593229999999998</v>
      </c>
      <c r="BJ15" s="2">
        <v>35.436390000000003</v>
      </c>
      <c r="BK15" s="2">
        <v>25</v>
      </c>
      <c r="BL15" s="2">
        <v>16</v>
      </c>
      <c r="BM15" s="4">
        <v>26</v>
      </c>
      <c r="BN15" s="4">
        <v>1</v>
      </c>
      <c r="BO15" s="4">
        <v>0</v>
      </c>
      <c r="BP15" s="4">
        <v>26</v>
      </c>
      <c r="BQ15" s="2">
        <v>3.7037040000000001</v>
      </c>
      <c r="BR15" s="4">
        <v>17</v>
      </c>
      <c r="BS15" s="4">
        <v>1</v>
      </c>
      <c r="BT15" s="4">
        <v>26</v>
      </c>
      <c r="BU15" s="2">
        <v>65.384609999999995</v>
      </c>
      <c r="BV15" s="2">
        <v>11.1647</v>
      </c>
      <c r="BW15" s="2">
        <v>16184.15</v>
      </c>
      <c r="BX15" s="3">
        <v>44.363909999999997</v>
      </c>
      <c r="BY15" s="3">
        <v>0.27411960000000002</v>
      </c>
      <c r="BZ15" s="2">
        <v>1.6253299999999999</v>
      </c>
      <c r="CA15" s="3">
        <v>0.27411960000000002</v>
      </c>
      <c r="CB15" s="3">
        <v>0.61084749999999999</v>
      </c>
      <c r="CC15" s="3">
        <v>0.62683670000000002</v>
      </c>
      <c r="CD15" s="2">
        <v>2.6175380000000001</v>
      </c>
      <c r="CE15" s="3">
        <v>32968.51</v>
      </c>
      <c r="CF15" s="3">
        <v>32040.04</v>
      </c>
      <c r="CG15" s="2">
        <v>-2.81623</v>
      </c>
      <c r="CH15" s="3">
        <v>4.7353839999999998</v>
      </c>
      <c r="CI15" s="2">
        <v>3.476286</v>
      </c>
      <c r="CJ15" s="3">
        <v>56659.59</v>
      </c>
      <c r="CK15" s="3">
        <v>57481.17</v>
      </c>
      <c r="CL15" s="2">
        <v>1.450026</v>
      </c>
      <c r="CM15" s="3">
        <v>3.418803</v>
      </c>
      <c r="CN15" s="3">
        <v>3.5175000000000001</v>
      </c>
      <c r="CO15" s="3">
        <v>3.5289619999999999</v>
      </c>
      <c r="CP15" s="2">
        <v>1.380503</v>
      </c>
      <c r="CQ15" s="2">
        <v>-1.4641169999999999</v>
      </c>
      <c r="CR15" s="2">
        <v>-1.7841400000000001</v>
      </c>
      <c r="CS15" s="2">
        <v>2.8868909999999999</v>
      </c>
      <c r="CT15" s="2">
        <v>120.08450000000001</v>
      </c>
      <c r="CU15" s="3">
        <v>0.2140763</v>
      </c>
      <c r="CV15" s="2">
        <v>-0.39759329999999998</v>
      </c>
      <c r="CW15" s="2">
        <v>1.9534590000000001</v>
      </c>
      <c r="CX15" s="2">
        <v>3.4811139999999998</v>
      </c>
      <c r="CY15" s="2">
        <v>15.0404</v>
      </c>
    </row>
    <row r="16" spans="1:103" ht="15" customHeight="1" x14ac:dyDescent="0.2">
      <c r="A16" s="1">
        <f t="shared" si="0"/>
        <v>10</v>
      </c>
      <c r="B16" s="1" t="s">
        <v>30</v>
      </c>
      <c r="C16" s="1" t="s">
        <v>29</v>
      </c>
      <c r="D16" s="1" t="s">
        <v>31</v>
      </c>
      <c r="E16" s="1" t="s">
        <v>32</v>
      </c>
      <c r="F16" s="2">
        <v>101447</v>
      </c>
      <c r="G16" s="2">
        <v>35.442999999999998</v>
      </c>
      <c r="H16" s="2">
        <v>35955.870000000003</v>
      </c>
      <c r="I16" s="3">
        <v>32.549999999999997</v>
      </c>
      <c r="J16" s="3">
        <v>0</v>
      </c>
      <c r="K16" s="2">
        <v>3.686636</v>
      </c>
      <c r="L16" s="2">
        <v>4.6697389999999999</v>
      </c>
      <c r="M16" s="2">
        <v>5.1385439999999996</v>
      </c>
      <c r="N16" s="2">
        <v>5.4070660000000004</v>
      </c>
      <c r="O16" s="2">
        <v>24.52901</v>
      </c>
      <c r="P16" s="2">
        <v>19.260349999999999</v>
      </c>
      <c r="Q16" s="2">
        <v>17.78688</v>
      </c>
      <c r="R16" s="2">
        <v>16.607140000000001</v>
      </c>
      <c r="S16" s="2">
        <v>7.7903580000000003</v>
      </c>
      <c r="T16" s="2">
        <v>9.2155520000000006</v>
      </c>
      <c r="U16" s="2">
        <v>8.5181799999999992</v>
      </c>
      <c r="V16" s="2">
        <v>7.9343409999999999</v>
      </c>
      <c r="W16" s="2">
        <v>5.9576750000000001</v>
      </c>
      <c r="X16" s="2">
        <v>5.5122780000000002</v>
      </c>
      <c r="Y16" s="2">
        <v>5.2013780000000001</v>
      </c>
      <c r="Z16" s="2">
        <v>5.0270270000000004</v>
      </c>
      <c r="AA16" s="2">
        <v>18.08333</v>
      </c>
      <c r="AB16" s="2">
        <v>13.827120000000001</v>
      </c>
      <c r="AC16" s="2">
        <v>11.421049999999999</v>
      </c>
      <c r="AD16" s="2">
        <v>12.417770000000001</v>
      </c>
      <c r="AE16" s="2">
        <v>6.3343910000000001</v>
      </c>
      <c r="AF16" s="2">
        <v>6.8412379999999997</v>
      </c>
      <c r="AG16" s="2">
        <v>7.3639789999999996</v>
      </c>
      <c r="AH16" s="2">
        <v>5.6111810000000002</v>
      </c>
      <c r="AI16" s="2">
        <v>5.9859739999999997</v>
      </c>
      <c r="AJ16" s="2">
        <v>6.3769090000000004</v>
      </c>
      <c r="AK16" s="3">
        <v>1.322138</v>
      </c>
      <c r="AL16" s="3">
        <v>1.2212940000000001</v>
      </c>
      <c r="AM16" s="2">
        <v>26.55593</v>
      </c>
      <c r="AN16" s="2">
        <v>26.955549999999999</v>
      </c>
      <c r="AO16" s="2">
        <v>26.942170000000001</v>
      </c>
      <c r="AP16" s="2">
        <v>26.724229999999999</v>
      </c>
      <c r="AQ16" s="2">
        <v>-1.1642969999999999</v>
      </c>
      <c r="AR16" s="2">
        <v>-1.187767</v>
      </c>
      <c r="AS16" s="2">
        <v>-1.2170609999999999</v>
      </c>
      <c r="AT16" s="2">
        <v>-1.228143</v>
      </c>
      <c r="AU16" s="1" t="s">
        <v>5</v>
      </c>
      <c r="AV16" s="3">
        <v>1.433333</v>
      </c>
      <c r="AW16" s="3">
        <v>38.5</v>
      </c>
      <c r="AX16" s="2">
        <v>18.279579999999999</v>
      </c>
      <c r="AY16" s="2">
        <v>28.619810000000001</v>
      </c>
      <c r="AZ16" s="2">
        <v>15</v>
      </c>
      <c r="BA16" s="2">
        <v>41.89188</v>
      </c>
      <c r="BB16" s="2">
        <v>30.98592</v>
      </c>
      <c r="BC16" s="3">
        <v>22.59</v>
      </c>
      <c r="BD16" s="2">
        <v>44.090310000000002</v>
      </c>
      <c r="BE16" s="3">
        <v>36.479999999999997</v>
      </c>
      <c r="BF16" s="2">
        <v>-10.77303</v>
      </c>
      <c r="BG16" s="2">
        <v>90.393649999999994</v>
      </c>
      <c r="BH16" s="2">
        <v>90.284639999999996</v>
      </c>
      <c r="BI16" s="2">
        <v>90.697929999999999</v>
      </c>
      <c r="BJ16" s="2">
        <v>89.042929999999998</v>
      </c>
      <c r="BK16" s="2">
        <v>27</v>
      </c>
      <c r="BL16" s="2">
        <v>26</v>
      </c>
      <c r="BM16" s="4">
        <v>30</v>
      </c>
      <c r="BN16" s="4">
        <v>2</v>
      </c>
      <c r="BO16" s="4">
        <v>1</v>
      </c>
      <c r="BP16" s="4">
        <v>29</v>
      </c>
      <c r="BQ16" s="2">
        <v>6.25</v>
      </c>
      <c r="BR16" s="4">
        <v>18</v>
      </c>
      <c r="BS16" s="4">
        <v>0</v>
      </c>
      <c r="BT16" s="4">
        <v>30</v>
      </c>
      <c r="BU16" s="2">
        <v>60</v>
      </c>
      <c r="BV16" s="2">
        <v>9.2207600000000003</v>
      </c>
      <c r="BW16" s="2">
        <v>3116.652</v>
      </c>
      <c r="BX16" s="3">
        <v>3.157089</v>
      </c>
      <c r="BY16" s="3">
        <v>0.1012974</v>
      </c>
      <c r="BZ16" s="2">
        <v>1.2484999999999999</v>
      </c>
      <c r="CA16" s="3">
        <v>0.1012974</v>
      </c>
      <c r="CB16" s="3">
        <v>1.6117429999999999</v>
      </c>
      <c r="CC16" s="3">
        <v>1.681378</v>
      </c>
      <c r="CD16" s="2">
        <v>4.3204549999999999</v>
      </c>
      <c r="CE16" s="3">
        <v>6409.1490000000003</v>
      </c>
      <c r="CF16" s="3">
        <v>6630.0609999999997</v>
      </c>
      <c r="CG16" s="2">
        <v>3.4468169999999998</v>
      </c>
      <c r="CH16" s="3">
        <v>36.578519999999997</v>
      </c>
      <c r="CI16" s="2">
        <v>5.2530289999999997</v>
      </c>
      <c r="CJ16" s="3">
        <v>35835.449999999997</v>
      </c>
      <c r="CK16" s="3">
        <v>36181.230000000003</v>
      </c>
      <c r="CL16" s="2">
        <v>0.96490379999999998</v>
      </c>
      <c r="CM16" s="3">
        <v>32.356960000000001</v>
      </c>
      <c r="CN16" s="3">
        <v>34.813920000000003</v>
      </c>
      <c r="CO16" s="3">
        <v>34.417299999999997</v>
      </c>
      <c r="CP16" s="2">
        <v>0.59660670000000005</v>
      </c>
      <c r="CQ16" s="2">
        <v>-6.5029139999999996</v>
      </c>
      <c r="CR16" s="2">
        <v>-5.4254829999999998</v>
      </c>
      <c r="CS16" s="2">
        <v>7.5933099999999998</v>
      </c>
      <c r="CT16" s="2">
        <v>108.8464</v>
      </c>
      <c r="CU16" s="3">
        <v>0.10729379999999999</v>
      </c>
      <c r="CV16" s="2">
        <v>7.3853419999999996</v>
      </c>
      <c r="CW16" s="2">
        <v>2.0711439999999999</v>
      </c>
      <c r="CX16" s="2">
        <v>5.676482</v>
      </c>
      <c r="CY16" s="2">
        <v>15.828279999999999</v>
      </c>
    </row>
    <row r="17" spans="1:103" ht="15" customHeight="1" x14ac:dyDescent="0.2">
      <c r="A17" s="1">
        <f t="shared" si="0"/>
        <v>11</v>
      </c>
      <c r="B17" s="1" t="s">
        <v>34</v>
      </c>
      <c r="C17" s="1" t="s">
        <v>33</v>
      </c>
      <c r="D17" s="1" t="s">
        <v>35</v>
      </c>
      <c r="E17" s="1" t="s">
        <v>36</v>
      </c>
      <c r="F17" s="2">
        <v>66677.919999999998</v>
      </c>
      <c r="G17" s="2">
        <v>99.373000000000005</v>
      </c>
      <c r="H17" s="2">
        <v>66259.850000000006</v>
      </c>
      <c r="I17" s="3">
        <v>10.5</v>
      </c>
      <c r="J17" s="3">
        <v>0</v>
      </c>
      <c r="K17" s="2">
        <v>4.6666670000000003</v>
      </c>
      <c r="L17" s="2">
        <v>4.9523809999999999</v>
      </c>
      <c r="M17" s="2">
        <v>5.2380950000000004</v>
      </c>
      <c r="N17" s="2">
        <v>5.4722569999999999</v>
      </c>
      <c r="O17" s="2">
        <v>15.909090000000001</v>
      </c>
      <c r="P17" s="2">
        <v>14.181190000000001</v>
      </c>
      <c r="Q17" s="2">
        <v>13.51539</v>
      </c>
      <c r="R17" s="2">
        <v>12.68582</v>
      </c>
      <c r="S17" s="2">
        <v>8.5641590000000001</v>
      </c>
      <c r="T17" s="2">
        <v>7.5259070000000001</v>
      </c>
      <c r="U17" s="2">
        <v>7.8376979999999996</v>
      </c>
      <c r="V17" s="2">
        <v>7.49932</v>
      </c>
      <c r="W17" s="2">
        <v>1.5645770000000001</v>
      </c>
      <c r="X17" s="2">
        <v>1.5318860000000001</v>
      </c>
      <c r="Y17" s="2">
        <v>1.4468840000000001</v>
      </c>
      <c r="Z17" s="2">
        <v>1.413845</v>
      </c>
      <c r="AA17" s="2">
        <v>7.0984509999999998</v>
      </c>
      <c r="AB17" s="2">
        <v>6.3555359999999999</v>
      </c>
      <c r="AC17" s="2">
        <v>6.0450520000000001</v>
      </c>
      <c r="AD17" s="2">
        <v>5.7386900000000001</v>
      </c>
      <c r="AE17" s="2">
        <v>1.9995069999999999</v>
      </c>
      <c r="AF17" s="2">
        <v>-3.95764</v>
      </c>
      <c r="AG17" s="2">
        <v>0.61931650000000005</v>
      </c>
      <c r="AH17" s="2">
        <v>3.272764</v>
      </c>
      <c r="AI17" s="2">
        <v>-7.1144439999999998</v>
      </c>
      <c r="AJ17" s="2">
        <v>1.1353770000000001</v>
      </c>
      <c r="AK17" s="3">
        <v>1.622919</v>
      </c>
      <c r="AL17" s="3">
        <v>1.5594410000000001</v>
      </c>
      <c r="AM17" s="2">
        <v>24.519449999999999</v>
      </c>
      <c r="AN17" s="2">
        <v>25.539449999999999</v>
      </c>
      <c r="AO17" s="2">
        <v>27.44773</v>
      </c>
      <c r="AP17" s="2">
        <v>28.37744</v>
      </c>
      <c r="AQ17" s="2">
        <v>3.3073030000000001</v>
      </c>
      <c r="AR17" s="2">
        <v>2.9279259999999998</v>
      </c>
      <c r="AS17" s="2">
        <v>3.4777239999999998</v>
      </c>
      <c r="AT17" s="2">
        <v>3.4086500000000002</v>
      </c>
      <c r="AU17" s="1" t="s">
        <v>37</v>
      </c>
      <c r="AV17" s="3">
        <v>1.46</v>
      </c>
      <c r="AW17" s="3">
        <v>12.445970000000001</v>
      </c>
      <c r="AX17" s="2">
        <v>18.533080000000002</v>
      </c>
      <c r="AY17" s="2">
        <v>10.802239999999999</v>
      </c>
      <c r="AZ17" s="2">
        <v>8.7482919999999993</v>
      </c>
      <c r="BA17" s="2">
        <v>2.1897790000000001</v>
      </c>
      <c r="BB17" s="2">
        <v>-3.9341270000000002</v>
      </c>
      <c r="BC17" s="3">
        <v>9.8800000000000008</v>
      </c>
      <c r="BD17" s="2">
        <v>6.2753079999999999</v>
      </c>
      <c r="BE17" s="3">
        <v>12.244999999999999</v>
      </c>
      <c r="BF17" s="2">
        <v>-14.25071</v>
      </c>
      <c r="BG17" s="2">
        <v>72.764390000000006</v>
      </c>
      <c r="BH17" s="2">
        <v>70.908869999999993</v>
      </c>
      <c r="BI17" s="2">
        <v>70.787610000000001</v>
      </c>
      <c r="BJ17" s="2">
        <v>69.669330000000002</v>
      </c>
      <c r="BK17" s="2">
        <v>20</v>
      </c>
      <c r="BL17" s="2">
        <v>19</v>
      </c>
      <c r="BM17" s="4">
        <v>25</v>
      </c>
      <c r="BN17" s="4">
        <v>1</v>
      </c>
      <c r="BO17" s="4">
        <v>0</v>
      </c>
      <c r="BP17" s="4">
        <v>21</v>
      </c>
      <c r="BQ17" s="2">
        <v>4.5454549999999996</v>
      </c>
      <c r="BR17" s="4">
        <v>16</v>
      </c>
      <c r="BS17" s="4">
        <v>0</v>
      </c>
      <c r="BT17" s="4">
        <v>25</v>
      </c>
      <c r="BU17" s="2">
        <v>64</v>
      </c>
      <c r="BV17" s="2">
        <v>6.6692099999999996</v>
      </c>
      <c r="BW17" s="2">
        <v>6350.2780000000002</v>
      </c>
      <c r="BX17" s="3">
        <v>11.657640000000001</v>
      </c>
      <c r="BY17" s="3">
        <v>0.18357689999999999</v>
      </c>
      <c r="BZ17" s="2">
        <v>0.62627600000000005</v>
      </c>
      <c r="CA17" s="3">
        <v>0.18357689999999999</v>
      </c>
      <c r="CB17" s="3">
        <v>0.72818050000000001</v>
      </c>
      <c r="CC17" s="3">
        <v>0.73955300000000002</v>
      </c>
      <c r="CD17" s="2">
        <v>1.5617730000000001</v>
      </c>
      <c r="CE17" s="3">
        <v>9013.8860000000004</v>
      </c>
      <c r="CF17" s="3">
        <v>9124.36</v>
      </c>
      <c r="CG17" s="2">
        <v>1.225603</v>
      </c>
      <c r="CH17" s="3">
        <v>12.54508</v>
      </c>
      <c r="CI17" s="2">
        <v>-0.79001779999999999</v>
      </c>
      <c r="CJ17" s="3">
        <v>54914.080000000002</v>
      </c>
      <c r="CK17" s="3">
        <v>57136.07</v>
      </c>
      <c r="CL17" s="2">
        <v>4.0463089999999999</v>
      </c>
      <c r="CM17" s="3">
        <v>11.13322</v>
      </c>
      <c r="CN17" s="3">
        <v>10.66132</v>
      </c>
      <c r="CO17" s="3">
        <v>10.413919999999999</v>
      </c>
      <c r="CP17" s="2">
        <v>-5.6876300000000004</v>
      </c>
      <c r="CQ17" s="2">
        <v>-1.5131060000000001</v>
      </c>
      <c r="CR17" s="2">
        <v>0.82654950000000005</v>
      </c>
      <c r="CS17" s="2">
        <v>-4.2386590000000002</v>
      </c>
      <c r="CT17" s="2">
        <v>109.1485</v>
      </c>
      <c r="CU17" s="3">
        <v>0.16369510000000001</v>
      </c>
      <c r="CV17" s="2">
        <v>16.26343</v>
      </c>
      <c r="CW17" s="2">
        <v>-26.172910000000002</v>
      </c>
      <c r="CX17" s="2">
        <v>6.2421449999999998</v>
      </c>
      <c r="CY17" s="2">
        <v>16.151520000000001</v>
      </c>
    </row>
    <row r="18" spans="1:103" ht="15" customHeight="1" x14ac:dyDescent="0.2">
      <c r="A18" s="1">
        <f t="shared" si="0"/>
        <v>12</v>
      </c>
      <c r="B18" s="1" t="s">
        <v>39</v>
      </c>
      <c r="C18" s="1" t="s">
        <v>38</v>
      </c>
      <c r="D18" s="1" t="s">
        <v>40</v>
      </c>
      <c r="E18" s="1" t="s">
        <v>41</v>
      </c>
      <c r="F18" s="2">
        <v>8122.7179999999998</v>
      </c>
      <c r="G18" s="2" t="e">
        <v>#N/A</v>
      </c>
      <c r="H18" s="2" t="e">
        <v>#N/A</v>
      </c>
      <c r="I18" s="3">
        <v>1.6525000000000001</v>
      </c>
      <c r="J18" s="3">
        <v>1.192093E-5</v>
      </c>
      <c r="K18" s="2">
        <v>0</v>
      </c>
      <c r="L18" s="2">
        <v>0</v>
      </c>
      <c r="M18" s="2">
        <v>0</v>
      </c>
      <c r="N18" s="2">
        <v>4.027126</v>
      </c>
      <c r="O18" s="2">
        <v>29.508929999999999</v>
      </c>
      <c r="P18" s="2">
        <v>3.9089670000000001</v>
      </c>
      <c r="Q18" s="2">
        <v>4.3277460000000003</v>
      </c>
      <c r="R18" s="2">
        <v>3.980772</v>
      </c>
      <c r="S18" s="2">
        <v>5.2377390000000004</v>
      </c>
      <c r="T18" s="2">
        <v>3.2189109999999999</v>
      </c>
      <c r="U18" s="2">
        <v>2.9941300000000002</v>
      </c>
      <c r="V18" s="2">
        <v>2.766232</v>
      </c>
      <c r="W18" s="2">
        <v>4.0708589999999996</v>
      </c>
      <c r="X18" s="2">
        <v>1.9720569999999999</v>
      </c>
      <c r="Y18" s="2">
        <v>1.3828450000000001</v>
      </c>
      <c r="Z18" s="2">
        <v>1.020062</v>
      </c>
      <c r="AA18" s="2">
        <v>3.1914729999999998</v>
      </c>
      <c r="AB18" s="2">
        <v>1.9747619999999999</v>
      </c>
      <c r="AC18" s="2">
        <v>1.941176</v>
      </c>
      <c r="AD18" s="2">
        <v>1.804384</v>
      </c>
      <c r="AE18" s="2">
        <v>6.9462390000000003</v>
      </c>
      <c r="AF18" s="2">
        <v>3.7453539999999998</v>
      </c>
      <c r="AG18" s="2">
        <v>7.8136710000000003</v>
      </c>
      <c r="AH18" s="2">
        <v>14.83254</v>
      </c>
      <c r="AI18" s="2">
        <v>7.7236450000000003</v>
      </c>
      <c r="AJ18" s="2">
        <v>15.356339999999999</v>
      </c>
      <c r="AK18" s="3">
        <v>9.1847310000000001E-2</v>
      </c>
      <c r="AL18" s="3">
        <v>9.7533380000000003E-2</v>
      </c>
      <c r="AM18" s="2">
        <v>14.31978</v>
      </c>
      <c r="AN18" s="2">
        <v>18.498339999999999</v>
      </c>
      <c r="AO18" s="2">
        <v>18.59864</v>
      </c>
      <c r="AP18" s="2">
        <v>18.593730000000001</v>
      </c>
      <c r="AQ18" s="2">
        <v>3.1441110000000001</v>
      </c>
      <c r="AR18" s="2">
        <v>1.713489</v>
      </c>
      <c r="AS18" s="2">
        <v>1.544108</v>
      </c>
      <c r="AT18" s="2">
        <v>1.3604579999999999</v>
      </c>
      <c r="AU18" s="1" t="s">
        <v>5</v>
      </c>
      <c r="AV18" s="3">
        <v>1.4482759999999999</v>
      </c>
      <c r="AW18" s="3">
        <v>2.35</v>
      </c>
      <c r="AX18" s="2">
        <v>42.208770000000001</v>
      </c>
      <c r="AY18" s="2">
        <v>50.449579999999997</v>
      </c>
      <c r="AZ18" s="2">
        <v>44.891080000000002</v>
      </c>
      <c r="BA18" s="2">
        <v>17.157029999999999</v>
      </c>
      <c r="BB18" s="2">
        <v>18.842140000000001</v>
      </c>
      <c r="BC18" s="3">
        <v>1.3440000000000001</v>
      </c>
      <c r="BD18" s="2">
        <v>22.953869999999998</v>
      </c>
      <c r="BE18" s="3">
        <v>2.02</v>
      </c>
      <c r="BF18" s="2">
        <v>-18.193069999999999</v>
      </c>
      <c r="BG18" s="2">
        <v>0</v>
      </c>
      <c r="BH18" s="2">
        <v>2.6257779999999999</v>
      </c>
      <c r="BI18" s="2">
        <v>5.8704749999999999</v>
      </c>
      <c r="BJ18" s="2">
        <v>13.86922</v>
      </c>
      <c r="BK18" s="2">
        <v>26</v>
      </c>
      <c r="BL18" s="2">
        <v>24</v>
      </c>
      <c r="BM18" s="4">
        <v>29</v>
      </c>
      <c r="BN18" s="4">
        <v>1</v>
      </c>
      <c r="BO18" s="4">
        <v>0</v>
      </c>
      <c r="BP18" s="4">
        <v>29</v>
      </c>
      <c r="BQ18" s="2">
        <v>3.3333330000000001</v>
      </c>
      <c r="BR18" s="4">
        <v>19</v>
      </c>
      <c r="BS18" s="4">
        <v>1</v>
      </c>
      <c r="BT18" s="4">
        <v>29</v>
      </c>
      <c r="BU18" s="2">
        <v>65.517240000000001</v>
      </c>
      <c r="BV18" s="2">
        <v>17.075399999999998</v>
      </c>
      <c r="BW18" s="2">
        <v>4915.4120000000003</v>
      </c>
      <c r="BX18" s="3">
        <v>11.329319999999999</v>
      </c>
      <c r="BY18" s="3">
        <v>0.23048560000000001</v>
      </c>
      <c r="BZ18" s="2">
        <v>2.4164500000000002</v>
      </c>
      <c r="CA18" s="3">
        <v>0.23048560000000001</v>
      </c>
      <c r="CB18" s="3">
        <v>0.32894079999999998</v>
      </c>
      <c r="CC18" s="3">
        <v>0.40078829999999999</v>
      </c>
      <c r="CD18" s="2">
        <v>21.84206</v>
      </c>
      <c r="CE18" s="3">
        <v>2860.5140000000001</v>
      </c>
      <c r="CF18" s="3">
        <v>3222.7350000000001</v>
      </c>
      <c r="CG18" s="2">
        <v>12.662789999999999</v>
      </c>
      <c r="CH18" s="3">
        <v>2.509004</v>
      </c>
      <c r="CI18" s="2">
        <v>-6.337345</v>
      </c>
      <c r="CJ18" s="3">
        <v>28418.27</v>
      </c>
      <c r="CK18" s="3">
        <v>29036.79</v>
      </c>
      <c r="CL18" s="2">
        <v>2.1765110000000001</v>
      </c>
      <c r="CM18" s="3">
        <v>1.7878700000000001</v>
      </c>
      <c r="CN18" s="3">
        <v>1.7526470000000001</v>
      </c>
      <c r="CO18" s="3">
        <v>1.6831149999999999</v>
      </c>
      <c r="CP18" s="2">
        <v>-7.5715839999999996</v>
      </c>
      <c r="CQ18" s="2">
        <v>-5.714029</v>
      </c>
      <c r="CR18" s="2">
        <v>-1.818973</v>
      </c>
      <c r="CS18" s="2">
        <v>-1.9701299999999999</v>
      </c>
      <c r="CT18" s="2">
        <v>17.033300000000001</v>
      </c>
      <c r="CU18" s="3">
        <v>0.20969950000000001</v>
      </c>
      <c r="CV18" s="2">
        <v>212.744</v>
      </c>
      <c r="CW18" s="2">
        <v>3.2072560000000001</v>
      </c>
      <c r="CX18" s="2">
        <v>13.57</v>
      </c>
      <c r="CY18" s="2">
        <v>16.452629999999999</v>
      </c>
    </row>
    <row r="19" spans="1:103" ht="15" customHeight="1" x14ac:dyDescent="0.2">
      <c r="A19" s="1">
        <f t="shared" si="0"/>
        <v>13</v>
      </c>
      <c r="B19" s="1" t="s">
        <v>43</v>
      </c>
      <c r="C19" s="1" t="s">
        <v>42</v>
      </c>
      <c r="D19" s="1" t="s">
        <v>44</v>
      </c>
      <c r="E19" s="1" t="s">
        <v>45</v>
      </c>
      <c r="F19" s="2">
        <v>9504.8850000000002</v>
      </c>
      <c r="G19" s="2">
        <v>75.0655</v>
      </c>
      <c r="H19" s="2">
        <v>7134.8890000000001</v>
      </c>
      <c r="I19" s="3">
        <v>34.17</v>
      </c>
      <c r="J19" s="3">
        <v>0</v>
      </c>
      <c r="K19" s="2">
        <v>5.8530879999999996</v>
      </c>
      <c r="L19" s="2">
        <v>5.8530879999999996</v>
      </c>
      <c r="M19" s="2">
        <v>5.8530879999999996</v>
      </c>
      <c r="N19" s="2">
        <v>5.8530879999999996</v>
      </c>
      <c r="O19" s="2">
        <v>13.667999999999999</v>
      </c>
      <c r="P19" s="2">
        <v>14.9214</v>
      </c>
      <c r="Q19" s="2">
        <v>14.9214</v>
      </c>
      <c r="R19" s="2">
        <v>12.84586</v>
      </c>
      <c r="S19" s="2">
        <v>4.2261550000000003</v>
      </c>
      <c r="T19" s="2">
        <v>5.2988119999999999</v>
      </c>
      <c r="U19" s="2">
        <v>5.0518549999999998</v>
      </c>
      <c r="V19" s="2">
        <v>4.5651010000000003</v>
      </c>
      <c r="W19" s="2" t="e">
        <v>#N/A</v>
      </c>
      <c r="X19" s="2">
        <v>1.6894929999999999</v>
      </c>
      <c r="Y19" s="2">
        <v>1.6874070000000001</v>
      </c>
      <c r="Z19" s="2">
        <v>1.624822</v>
      </c>
      <c r="AA19" s="2">
        <v>8.2227259999999998</v>
      </c>
      <c r="AB19" s="2">
        <v>7.9005780000000003</v>
      </c>
      <c r="AC19" s="2">
        <v>6.8241990000000001</v>
      </c>
      <c r="AD19" s="2">
        <v>7.3090900000000003</v>
      </c>
      <c r="AE19" s="2">
        <v>1.7017659999999999</v>
      </c>
      <c r="AF19" s="2">
        <v>8.3862880000000004</v>
      </c>
      <c r="AG19" s="2">
        <v>9.1907530000000008</v>
      </c>
      <c r="AH19" s="2">
        <v>1.8148740000000001</v>
      </c>
      <c r="AI19" s="2">
        <v>8.8928139999999996</v>
      </c>
      <c r="AJ19" s="2">
        <v>9.3493329999999997</v>
      </c>
      <c r="AK19" s="3" t="e">
        <v>#N/A</v>
      </c>
      <c r="AL19" s="3" t="e">
        <v>#N/A</v>
      </c>
      <c r="AM19" s="2">
        <v>5.1970850000000004</v>
      </c>
      <c r="AN19" s="2">
        <v>5.3705780000000001</v>
      </c>
      <c r="AO19" s="2">
        <v>5.4341749999999998</v>
      </c>
      <c r="AP19" s="2">
        <v>5.7632079999999997</v>
      </c>
      <c r="AQ19" s="2">
        <v>-0.1282161</v>
      </c>
      <c r="AR19" s="2">
        <v>0.33023760000000002</v>
      </c>
      <c r="AS19" s="2">
        <v>0.28774840000000002</v>
      </c>
      <c r="AT19" s="2">
        <v>7.7431539999999993E-2</v>
      </c>
      <c r="AU19" s="1" t="s">
        <v>46</v>
      </c>
      <c r="AV19" s="3">
        <v>1.892857</v>
      </c>
      <c r="AW19" s="3">
        <v>33</v>
      </c>
      <c r="AX19" s="2">
        <v>-3.424048</v>
      </c>
      <c r="AY19" s="2">
        <v>11.322620000000001</v>
      </c>
      <c r="AZ19" s="2" t="e">
        <v>#N/A</v>
      </c>
      <c r="BA19" s="2">
        <v>31.676290000000002</v>
      </c>
      <c r="BB19" s="2">
        <v>27.642869999999998</v>
      </c>
      <c r="BC19" s="3">
        <v>25.3</v>
      </c>
      <c r="BD19" s="2">
        <v>35.059280000000001</v>
      </c>
      <c r="BE19" s="3">
        <v>34.49</v>
      </c>
      <c r="BF19" s="2">
        <v>-0.92781780000000003</v>
      </c>
      <c r="BG19" s="2">
        <v>81.05</v>
      </c>
      <c r="BH19" s="2">
        <v>88.877499999999998</v>
      </c>
      <c r="BI19" s="2">
        <v>87.137690000000006</v>
      </c>
      <c r="BJ19" s="2">
        <v>77.815039999999996</v>
      </c>
      <c r="BK19" s="2">
        <v>11</v>
      </c>
      <c r="BL19" s="2">
        <v>11</v>
      </c>
      <c r="BM19" s="4">
        <v>14</v>
      </c>
      <c r="BN19" s="4">
        <v>0</v>
      </c>
      <c r="BO19" s="4">
        <v>0</v>
      </c>
      <c r="BP19" s="4">
        <v>13</v>
      </c>
      <c r="BQ19" s="2">
        <v>0</v>
      </c>
      <c r="BR19" s="4">
        <v>5</v>
      </c>
      <c r="BS19" s="4">
        <v>4</v>
      </c>
      <c r="BT19" s="4">
        <v>14</v>
      </c>
      <c r="BU19" s="2">
        <v>35.714289999999998</v>
      </c>
      <c r="BV19" s="2">
        <v>7.6810200000000002</v>
      </c>
      <c r="BW19" s="2">
        <v>278.16460000000001</v>
      </c>
      <c r="BX19" s="3">
        <v>0.51877899999999999</v>
      </c>
      <c r="BY19" s="3">
        <v>0.18650069999999999</v>
      </c>
      <c r="BZ19" s="2">
        <v>0.91122199999999998</v>
      </c>
      <c r="CA19" s="3">
        <v>0.18650069999999999</v>
      </c>
      <c r="CB19" s="3">
        <v>2.102185</v>
      </c>
      <c r="CC19" s="3">
        <v>2.2322860000000002</v>
      </c>
      <c r="CD19" s="2">
        <v>6.1888339999999999</v>
      </c>
      <c r="CE19" s="3">
        <v>1250.348</v>
      </c>
      <c r="CF19" s="3">
        <v>1278.443</v>
      </c>
      <c r="CG19" s="2">
        <v>2.2470119999999998</v>
      </c>
      <c r="CH19" s="3">
        <v>31.806470000000001</v>
      </c>
      <c r="CI19" s="2">
        <v>3.7524700000000002</v>
      </c>
      <c r="CJ19" s="3">
        <v>35082.559999999998</v>
      </c>
      <c r="CK19" s="3">
        <v>35081.949999999997</v>
      </c>
      <c r="CL19" s="2">
        <v>-1.746416E-3</v>
      </c>
      <c r="CM19" s="3">
        <v>30.763280000000002</v>
      </c>
      <c r="CN19" s="3">
        <v>32.99</v>
      </c>
      <c r="CO19" s="3">
        <v>33.200769999999999</v>
      </c>
      <c r="CP19" s="2">
        <v>11.073980000000001</v>
      </c>
      <c r="CQ19" s="2">
        <v>3.5768270000000002</v>
      </c>
      <c r="CR19" s="2">
        <v>2.9193039999999999</v>
      </c>
      <c r="CS19" s="2">
        <v>7.238245</v>
      </c>
      <c r="CT19" s="2">
        <v>12.69239</v>
      </c>
      <c r="CU19" s="3">
        <v>0.1335354</v>
      </c>
      <c r="CV19" s="2">
        <v>57.665089999999999</v>
      </c>
      <c r="CW19" s="2">
        <v>1.0247409999999999</v>
      </c>
      <c r="CX19" s="2">
        <v>0.89820359999999999</v>
      </c>
      <c r="CY19" s="2">
        <v>16.616160000000001</v>
      </c>
    </row>
    <row r="20" spans="1:103" ht="15" customHeight="1" x14ac:dyDescent="0.2">
      <c r="A20" s="1">
        <f t="shared" si="0"/>
        <v>14</v>
      </c>
      <c r="B20" s="1" t="s">
        <v>48</v>
      </c>
      <c r="C20" s="1" t="s">
        <v>47</v>
      </c>
      <c r="D20" s="1" t="s">
        <v>44</v>
      </c>
      <c r="E20" s="1" t="s">
        <v>45</v>
      </c>
      <c r="F20" s="2">
        <v>6527.9409999999998</v>
      </c>
      <c r="G20" s="2">
        <v>43.486199999999997</v>
      </c>
      <c r="H20" s="2">
        <v>2838.7530000000002</v>
      </c>
      <c r="I20" s="3">
        <v>119</v>
      </c>
      <c r="J20" s="3">
        <v>0</v>
      </c>
      <c r="K20" s="2">
        <v>3.7815129999999999</v>
      </c>
      <c r="L20" s="2">
        <v>3.9705879999999998</v>
      </c>
      <c r="M20" s="2">
        <v>4.0084030000000004</v>
      </c>
      <c r="N20" s="2">
        <v>4.1344539999999999</v>
      </c>
      <c r="O20" s="2">
        <v>14.800990000000001</v>
      </c>
      <c r="P20" s="2">
        <v>11.66981</v>
      </c>
      <c r="Q20" s="2">
        <v>13.53811</v>
      </c>
      <c r="R20" s="2">
        <v>12.34792</v>
      </c>
      <c r="S20" s="2">
        <v>7.100028</v>
      </c>
      <c r="T20" s="2">
        <v>7.3121720000000003</v>
      </c>
      <c r="U20" s="2">
        <v>6.7211230000000004</v>
      </c>
      <c r="V20" s="2">
        <v>6.5601779999999996</v>
      </c>
      <c r="W20" s="2">
        <v>1.3366279999999999</v>
      </c>
      <c r="X20" s="2">
        <v>1.256472</v>
      </c>
      <c r="Y20" s="2">
        <v>1.2135370000000001</v>
      </c>
      <c r="Z20" s="2">
        <v>1.1775500000000001</v>
      </c>
      <c r="AA20" s="2">
        <v>4.2576029999999996</v>
      </c>
      <c r="AB20" s="2">
        <v>7.1207919999999998</v>
      </c>
      <c r="AC20" s="2">
        <v>4.8093779999999997</v>
      </c>
      <c r="AD20" s="2">
        <v>5.1314719999999996</v>
      </c>
      <c r="AE20" s="2">
        <v>-14.07788</v>
      </c>
      <c r="AF20" s="2">
        <v>-5.6089840000000004</v>
      </c>
      <c r="AG20" s="2">
        <v>-2.903025</v>
      </c>
      <c r="AH20" s="2">
        <v>-29.458290000000002</v>
      </c>
      <c r="AI20" s="2">
        <v>-12.77064</v>
      </c>
      <c r="AJ20" s="2">
        <v>-6.9053930000000001</v>
      </c>
      <c r="AK20" s="3" t="e">
        <v>#N/A</v>
      </c>
      <c r="AL20" s="3" t="e">
        <v>#N/A</v>
      </c>
      <c r="AM20" s="2">
        <v>18.472529999999999</v>
      </c>
      <c r="AN20" s="2">
        <v>11.63444</v>
      </c>
      <c r="AO20" s="2">
        <v>12.165800000000001</v>
      </c>
      <c r="AP20" s="2">
        <v>13.69633</v>
      </c>
      <c r="AQ20" s="2">
        <v>2.5401349999999998</v>
      </c>
      <c r="AR20" s="2">
        <v>3.8177439999999998</v>
      </c>
      <c r="AS20" s="2">
        <v>3.7691439999999998</v>
      </c>
      <c r="AT20" s="2">
        <v>3.8022809999999998</v>
      </c>
      <c r="AU20" s="1" t="s">
        <v>5</v>
      </c>
      <c r="AV20" s="3">
        <v>1.4583330000000001</v>
      </c>
      <c r="AW20" s="3">
        <v>185</v>
      </c>
      <c r="AX20" s="2">
        <v>55.462179999999996</v>
      </c>
      <c r="AY20" s="2">
        <v>10.766859999999999</v>
      </c>
      <c r="AZ20" s="2" t="e">
        <v>#N/A</v>
      </c>
      <c r="BA20" s="2">
        <v>-34.651290000000003</v>
      </c>
      <c r="BB20" s="2">
        <v>-30.773700000000002</v>
      </c>
      <c r="BC20" s="3">
        <v>112.05</v>
      </c>
      <c r="BD20" s="2">
        <v>6.2025899999999998</v>
      </c>
      <c r="BE20" s="3">
        <v>192</v>
      </c>
      <c r="BF20" s="2">
        <v>-38.020829999999997</v>
      </c>
      <c r="BG20" s="2">
        <v>54.966119999999997</v>
      </c>
      <c r="BH20" s="2">
        <v>45.378340000000001</v>
      </c>
      <c r="BI20" s="2">
        <v>51.471200000000003</v>
      </c>
      <c r="BJ20" s="2">
        <v>48.734789999999997</v>
      </c>
      <c r="BK20" s="2">
        <v>10</v>
      </c>
      <c r="BL20" s="2">
        <v>9</v>
      </c>
      <c r="BM20" s="4">
        <v>12</v>
      </c>
      <c r="BN20" s="4">
        <v>2</v>
      </c>
      <c r="BO20" s="4">
        <v>0</v>
      </c>
      <c r="BP20" s="4">
        <v>10</v>
      </c>
      <c r="BQ20" s="2">
        <v>16.66667</v>
      </c>
      <c r="BR20" s="4">
        <v>8</v>
      </c>
      <c r="BS20" s="4">
        <v>1</v>
      </c>
      <c r="BT20" s="4">
        <v>12</v>
      </c>
      <c r="BU20" s="2">
        <v>66.666669999999996</v>
      </c>
      <c r="BV20" s="2">
        <v>8.25075</v>
      </c>
      <c r="BW20" s="2">
        <v>54.856650000000002</v>
      </c>
      <c r="BX20" s="3">
        <v>8.4031129999999996E-2</v>
      </c>
      <c r="BY20" s="3">
        <v>0.15318309999999999</v>
      </c>
      <c r="BZ20" s="2">
        <v>0.802763</v>
      </c>
      <c r="CA20" s="3">
        <v>0.15318309999999999</v>
      </c>
      <c r="CB20" s="3">
        <v>9.3713700000000006</v>
      </c>
      <c r="CC20" s="3">
        <v>10.488910000000001</v>
      </c>
      <c r="CD20" s="2">
        <v>11.925079999999999</v>
      </c>
      <c r="CE20" s="3">
        <v>1282.1420000000001</v>
      </c>
      <c r="CF20" s="3">
        <v>1320.24</v>
      </c>
      <c r="CG20" s="2">
        <v>2.9714700000000001</v>
      </c>
      <c r="CH20" s="3">
        <v>199.3973</v>
      </c>
      <c r="CI20" s="2">
        <v>-7.2203989999999996</v>
      </c>
      <c r="CJ20" s="3">
        <v>10432.77</v>
      </c>
      <c r="CK20" s="3">
        <v>13023.35</v>
      </c>
      <c r="CL20" s="2">
        <v>24.831240000000001</v>
      </c>
      <c r="CM20" s="3">
        <v>153.5421</v>
      </c>
      <c r="CN20" s="3">
        <v>122.3686</v>
      </c>
      <c r="CO20" s="3">
        <v>117.39619999999999</v>
      </c>
      <c r="CP20" s="2">
        <v>-22.4968</v>
      </c>
      <c r="CQ20" s="2">
        <v>-2.7528459999999999</v>
      </c>
      <c r="CR20" s="2">
        <v>1.3661859999999999</v>
      </c>
      <c r="CS20" s="2">
        <v>-20.302859999999999</v>
      </c>
      <c r="CT20" s="2">
        <v>11.083410000000001</v>
      </c>
      <c r="CU20" s="3">
        <v>0.16978409999999999</v>
      </c>
      <c r="CV20" s="2" t="e">
        <v>#N/A</v>
      </c>
      <c r="CW20" s="2" t="e">
        <v>#N/A</v>
      </c>
      <c r="CX20" s="2" t="e">
        <v>#N/A</v>
      </c>
      <c r="CY20" s="2">
        <v>16.656559999999999</v>
      </c>
    </row>
    <row r="21" spans="1:103" ht="15" customHeight="1" x14ac:dyDescent="0.2">
      <c r="A21" s="1">
        <f t="shared" si="0"/>
        <v>15</v>
      </c>
      <c r="B21" s="1" t="s">
        <v>50</v>
      </c>
      <c r="C21" s="1" t="s">
        <v>49</v>
      </c>
      <c r="D21" s="1" t="s">
        <v>35</v>
      </c>
      <c r="E21" s="1" t="s">
        <v>51</v>
      </c>
      <c r="F21" s="2">
        <v>1768.0550000000001</v>
      </c>
      <c r="G21" s="2">
        <v>53.16</v>
      </c>
      <c r="H21" s="2">
        <v>939.8981</v>
      </c>
      <c r="I21" s="3">
        <v>14.15</v>
      </c>
      <c r="J21" s="3">
        <v>0</v>
      </c>
      <c r="K21" s="2">
        <v>0</v>
      </c>
      <c r="L21" s="2">
        <v>0</v>
      </c>
      <c r="M21" s="2">
        <v>0</v>
      </c>
      <c r="N21" s="2">
        <v>0</v>
      </c>
      <c r="O21" s="2">
        <v>19.65278</v>
      </c>
      <c r="P21" s="2">
        <v>16.745560000000001</v>
      </c>
      <c r="Q21" s="2">
        <v>14.893140000000001</v>
      </c>
      <c r="R21" s="2">
        <v>12.633929999999999</v>
      </c>
      <c r="S21" s="2">
        <v>19.51952</v>
      </c>
      <c r="T21" s="2">
        <v>14.079549999999999</v>
      </c>
      <c r="U21" s="2">
        <v>12.82708</v>
      </c>
      <c r="V21" s="2">
        <v>11.338200000000001</v>
      </c>
      <c r="W21" s="2">
        <v>5.145454</v>
      </c>
      <c r="X21" s="2">
        <v>3.907378</v>
      </c>
      <c r="Y21" s="2">
        <v>3.0717750000000001</v>
      </c>
      <c r="Z21" s="2">
        <v>2.5219939999999998</v>
      </c>
      <c r="AA21" s="2">
        <v>15.369440000000001</v>
      </c>
      <c r="AB21" s="2">
        <v>12.103339999999999</v>
      </c>
      <c r="AC21" s="2">
        <v>11.32</v>
      </c>
      <c r="AD21" s="2">
        <v>9.750807</v>
      </c>
      <c r="AE21" s="2">
        <v>-9.2477730000000005</v>
      </c>
      <c r="AF21" s="2">
        <v>-10.566129999999999</v>
      </c>
      <c r="AG21" s="2">
        <v>-10.131080000000001</v>
      </c>
      <c r="AH21" s="2">
        <v>-14.66132</v>
      </c>
      <c r="AI21" s="2">
        <v>-18.780809999999999</v>
      </c>
      <c r="AJ21" s="2">
        <v>-20.25611</v>
      </c>
      <c r="AK21" s="3">
        <v>1.134441</v>
      </c>
      <c r="AL21" s="3">
        <v>1.0061290000000001</v>
      </c>
      <c r="AM21" s="2">
        <v>90.486459999999994</v>
      </c>
      <c r="AN21" s="2">
        <v>89.276679999999999</v>
      </c>
      <c r="AO21" s="2">
        <v>86.300510000000003</v>
      </c>
      <c r="AP21" s="2">
        <v>90.361090000000004</v>
      </c>
      <c r="AQ21" s="2">
        <v>4.971419</v>
      </c>
      <c r="AR21" s="2">
        <v>5.1987319999999997</v>
      </c>
      <c r="AS21" s="2">
        <v>5.6105320000000001</v>
      </c>
      <c r="AT21" s="2">
        <v>5.6674069999999999</v>
      </c>
      <c r="AU21" s="1" t="s">
        <v>5</v>
      </c>
      <c r="AV21" s="3">
        <v>1.4210529999999999</v>
      </c>
      <c r="AW21" s="3">
        <v>18.850000000000001</v>
      </c>
      <c r="AX21" s="2">
        <v>33.215560000000004</v>
      </c>
      <c r="AY21" s="2">
        <v>23.33381</v>
      </c>
      <c r="AZ21" s="2">
        <v>14.9</v>
      </c>
      <c r="BA21" s="2">
        <v>-11.5625</v>
      </c>
      <c r="BB21" s="2">
        <v>-17.348130000000001</v>
      </c>
      <c r="BC21" s="3">
        <v>12.484999999999999</v>
      </c>
      <c r="BD21" s="2">
        <v>13.336</v>
      </c>
      <c r="BE21" s="3">
        <v>20.350000000000001</v>
      </c>
      <c r="BF21" s="2">
        <v>-30.466830000000002</v>
      </c>
      <c r="BG21" s="2">
        <v>0</v>
      </c>
      <c r="BH21" s="2">
        <v>0</v>
      </c>
      <c r="BI21" s="2">
        <v>0</v>
      </c>
      <c r="BJ21" s="2">
        <v>0</v>
      </c>
      <c r="BK21" s="2">
        <v>18</v>
      </c>
      <c r="BL21" s="2">
        <v>17</v>
      </c>
      <c r="BM21" s="4">
        <v>19</v>
      </c>
      <c r="BN21" s="4">
        <v>5</v>
      </c>
      <c r="BO21" s="4">
        <v>0</v>
      </c>
      <c r="BP21" s="4">
        <v>14</v>
      </c>
      <c r="BQ21" s="2">
        <v>26.31579</v>
      </c>
      <c r="BR21" s="4">
        <v>13</v>
      </c>
      <c r="BS21" s="4">
        <v>1</v>
      </c>
      <c r="BT21" s="4">
        <v>19</v>
      </c>
      <c r="BU21" s="2">
        <v>68.421049999999994</v>
      </c>
      <c r="BV21" s="2">
        <v>11.239599999999999</v>
      </c>
      <c r="BW21" s="2">
        <v>124.9509</v>
      </c>
      <c r="BX21" s="3">
        <v>0.49509950000000003</v>
      </c>
      <c r="BY21" s="3">
        <v>0.39623530000000001</v>
      </c>
      <c r="BZ21" s="2">
        <v>0.71865800000000002</v>
      </c>
      <c r="CA21" s="3">
        <v>0.39623530000000001</v>
      </c>
      <c r="CB21" s="3">
        <v>0.85564269999999998</v>
      </c>
      <c r="CC21" s="3">
        <v>0.837121</v>
      </c>
      <c r="CD21" s="2">
        <v>-2.1646619999999999</v>
      </c>
      <c r="CE21" s="3">
        <v>162.10669999999999</v>
      </c>
      <c r="CF21" s="3">
        <v>162.57</v>
      </c>
      <c r="CG21" s="2">
        <v>0.28581620000000002</v>
      </c>
      <c r="CH21" s="3">
        <v>18.18571</v>
      </c>
      <c r="CI21" s="2">
        <v>3.652787</v>
      </c>
      <c r="CJ21" s="3">
        <v>227.315</v>
      </c>
      <c r="CK21" s="3">
        <v>223.80850000000001</v>
      </c>
      <c r="CL21" s="2">
        <v>-1.542532</v>
      </c>
      <c r="CM21" s="3">
        <v>14.900880000000001</v>
      </c>
      <c r="CN21" s="3">
        <v>13.89432</v>
      </c>
      <c r="CO21" s="3">
        <v>13.96519</v>
      </c>
      <c r="CP21" s="2">
        <v>-5.0391440000000003</v>
      </c>
      <c r="CQ21" s="2">
        <v>1.8402099999999999</v>
      </c>
      <c r="CR21" s="2">
        <v>1.3233539999999999</v>
      </c>
      <c r="CS21" s="2">
        <v>-6.7550420000000004</v>
      </c>
      <c r="CT21" s="2">
        <v>7.3843439999999996</v>
      </c>
      <c r="CU21" s="3">
        <v>0.41765350000000001</v>
      </c>
      <c r="CV21" s="2" t="e">
        <v>#N/A</v>
      </c>
      <c r="CW21" s="2">
        <v>11.585369999999999</v>
      </c>
      <c r="CX21" s="2">
        <v>8.3223249999999993</v>
      </c>
      <c r="CY21" s="2">
        <v>17.373740000000002</v>
      </c>
    </row>
    <row r="22" spans="1:103" ht="15" customHeight="1" x14ac:dyDescent="0.2">
      <c r="A22" s="1">
        <f t="shared" si="0"/>
        <v>16</v>
      </c>
      <c r="B22" s="1" t="s">
        <v>53</v>
      </c>
      <c r="C22" s="1" t="s">
        <v>52</v>
      </c>
      <c r="D22" s="1" t="s">
        <v>40</v>
      </c>
      <c r="E22" s="1" t="s">
        <v>54</v>
      </c>
      <c r="F22" s="2">
        <v>3077.145</v>
      </c>
      <c r="G22" s="2">
        <v>44.058999999999997</v>
      </c>
      <c r="H22" s="2">
        <v>1355.759</v>
      </c>
      <c r="I22" s="3">
        <v>23.18</v>
      </c>
      <c r="J22" s="3">
        <v>0</v>
      </c>
      <c r="K22" s="2">
        <v>5.9534079999999996</v>
      </c>
      <c r="L22" s="2">
        <v>7.7653150000000002</v>
      </c>
      <c r="M22" s="2">
        <v>8.2559009999999997</v>
      </c>
      <c r="N22" s="2">
        <v>8.2267910000000004</v>
      </c>
      <c r="O22" s="2">
        <v>12.949719999999999</v>
      </c>
      <c r="P22" s="2">
        <v>9.8722309999999993</v>
      </c>
      <c r="Q22" s="2">
        <v>9.6987450000000006</v>
      </c>
      <c r="R22" s="2">
        <v>9.807264</v>
      </c>
      <c r="S22" s="2">
        <v>1.993212</v>
      </c>
      <c r="T22" s="2">
        <v>3.9406870000000001</v>
      </c>
      <c r="U22" s="2">
        <v>3.7209059999999998</v>
      </c>
      <c r="V22" s="2">
        <v>0.93490510000000004</v>
      </c>
      <c r="W22" s="2">
        <v>5.4799059999999997</v>
      </c>
      <c r="X22" s="2">
        <v>4.8675680000000003</v>
      </c>
      <c r="Y22" s="2">
        <v>4.6672459999999996</v>
      </c>
      <c r="Z22" s="2">
        <v>4.6360000000000001</v>
      </c>
      <c r="AA22" s="2">
        <v>9.0019419999999997</v>
      </c>
      <c r="AB22" s="2">
        <v>7.4774200000000004</v>
      </c>
      <c r="AC22" s="2">
        <v>7.4683039999999998</v>
      </c>
      <c r="AD22" s="2">
        <v>7.3587300000000004</v>
      </c>
      <c r="AE22" s="2">
        <v>12.85042</v>
      </c>
      <c r="AF22" s="2">
        <v>20.883929999999999</v>
      </c>
      <c r="AG22" s="2">
        <v>76.987499999999997</v>
      </c>
      <c r="AH22" s="2">
        <v>7.4758009999999997</v>
      </c>
      <c r="AI22" s="2">
        <v>11.521559999999999</v>
      </c>
      <c r="AJ22" s="2">
        <v>11.0871</v>
      </c>
      <c r="AK22" s="3" t="e">
        <v>#N/A</v>
      </c>
      <c r="AL22" s="3" t="e">
        <v>#N/A</v>
      </c>
      <c r="AM22" s="2">
        <v>31.012139999999999</v>
      </c>
      <c r="AN22" s="2">
        <v>27.13693</v>
      </c>
      <c r="AO22" s="2">
        <v>26.603210000000001</v>
      </c>
      <c r="AP22" s="2">
        <v>27.147770000000001</v>
      </c>
      <c r="AQ22" s="2">
        <v>-6.1866839999999996</v>
      </c>
      <c r="AR22" s="2">
        <v>-2.8331029999999999</v>
      </c>
      <c r="AS22" s="2">
        <v>-3.0235940000000001</v>
      </c>
      <c r="AT22" s="2">
        <v>-5.5569620000000004</v>
      </c>
      <c r="AU22" s="1" t="s">
        <v>5</v>
      </c>
      <c r="AV22" s="3">
        <v>1.125</v>
      </c>
      <c r="AW22" s="3">
        <v>30</v>
      </c>
      <c r="AX22" s="2">
        <v>29.42191</v>
      </c>
      <c r="AY22" s="2">
        <v>49.30565</v>
      </c>
      <c r="AZ22" s="2" t="e">
        <v>#N/A</v>
      </c>
      <c r="BA22" s="2">
        <v>10.697229999999999</v>
      </c>
      <c r="BB22" s="2">
        <v>-1.7796639999999999</v>
      </c>
      <c r="BC22" s="3">
        <v>19.59</v>
      </c>
      <c r="BD22" s="2">
        <v>18.325669999999999</v>
      </c>
      <c r="BE22" s="3">
        <v>25.68</v>
      </c>
      <c r="BF22" s="2">
        <v>-9.7352030000000003</v>
      </c>
      <c r="BG22" s="2">
        <v>77.257040000000003</v>
      </c>
      <c r="BH22" s="2">
        <v>76.659080000000003</v>
      </c>
      <c r="BI22" s="2">
        <v>81.268349999999998</v>
      </c>
      <c r="BJ22" s="2">
        <v>80.915030000000002</v>
      </c>
      <c r="BK22" s="2">
        <v>11</v>
      </c>
      <c r="BL22" s="2">
        <v>10</v>
      </c>
      <c r="BM22" s="4">
        <v>12</v>
      </c>
      <c r="BN22" s="4">
        <v>0</v>
      </c>
      <c r="BO22" s="4">
        <v>1</v>
      </c>
      <c r="BP22" s="4">
        <v>11</v>
      </c>
      <c r="BQ22" s="2">
        <v>0</v>
      </c>
      <c r="BR22" s="4">
        <v>11</v>
      </c>
      <c r="BS22" s="4">
        <v>0</v>
      </c>
      <c r="BT22" s="4">
        <v>12</v>
      </c>
      <c r="BU22" s="2">
        <v>91.666669999999996</v>
      </c>
      <c r="BV22" s="2">
        <v>5.23264</v>
      </c>
      <c r="BW22" s="2">
        <v>132.75</v>
      </c>
      <c r="BX22" s="3">
        <v>0.19551879999999999</v>
      </c>
      <c r="BY22" s="3">
        <v>0.14728350000000001</v>
      </c>
      <c r="BZ22" s="2">
        <v>0.45582899999999998</v>
      </c>
      <c r="CA22" s="3">
        <v>0.14728350000000001</v>
      </c>
      <c r="CB22" s="3">
        <v>2.235779</v>
      </c>
      <c r="CC22" s="3">
        <v>2.2305760000000001</v>
      </c>
      <c r="CD22" s="2">
        <v>-0.2327263</v>
      </c>
      <c r="CE22" s="3">
        <v>339.53719999999998</v>
      </c>
      <c r="CF22" s="3">
        <v>340.14980000000003</v>
      </c>
      <c r="CG22" s="2">
        <v>0.1804113</v>
      </c>
      <c r="CH22" s="3">
        <v>29.667269999999998</v>
      </c>
      <c r="CI22" s="2">
        <v>1.1215329999999999</v>
      </c>
      <c r="CJ22" s="3">
        <v>1651.817</v>
      </c>
      <c r="CK22" s="3">
        <v>1672.7529999999999</v>
      </c>
      <c r="CL22" s="2">
        <v>1.2674570000000001</v>
      </c>
      <c r="CM22" s="3">
        <v>24.08239</v>
      </c>
      <c r="CN22" s="3">
        <v>24.248239999999999</v>
      </c>
      <c r="CO22" s="3">
        <v>23.588460000000001</v>
      </c>
      <c r="CP22" s="2">
        <v>-3.7470940000000001</v>
      </c>
      <c r="CQ22" s="2">
        <v>-4.4054149999999996</v>
      </c>
      <c r="CR22" s="2">
        <v>-1.7316100000000001</v>
      </c>
      <c r="CS22" s="2">
        <v>0.6886601</v>
      </c>
      <c r="CT22" s="2">
        <v>2.771328</v>
      </c>
      <c r="CU22" s="3">
        <v>9.0061660000000002E-2</v>
      </c>
      <c r="CV22" s="2" t="e">
        <v>#N/A</v>
      </c>
      <c r="CW22" s="2">
        <v>2.3244669999999998</v>
      </c>
      <c r="CX22" s="2">
        <v>1.4084509999999999</v>
      </c>
      <c r="CY22" s="2">
        <v>17.93939</v>
      </c>
    </row>
    <row r="23" spans="1:103" ht="15" customHeight="1" x14ac:dyDescent="0.2">
      <c r="A23" s="1">
        <f t="shared" si="0"/>
        <v>17</v>
      </c>
      <c r="B23" s="1" t="s">
        <v>56</v>
      </c>
      <c r="C23" s="1" t="s">
        <v>55</v>
      </c>
      <c r="D23" s="1" t="s">
        <v>44</v>
      </c>
      <c r="E23" s="1" t="s">
        <v>45</v>
      </c>
      <c r="F23" s="2">
        <v>20832.150000000001</v>
      </c>
      <c r="G23" s="2">
        <v>66.365399999999994</v>
      </c>
      <c r="H23" s="2">
        <v>13825.34</v>
      </c>
      <c r="I23" s="3">
        <v>28.44</v>
      </c>
      <c r="J23" s="3">
        <v>0</v>
      </c>
      <c r="K23" s="2">
        <v>2.5316459999999998</v>
      </c>
      <c r="L23" s="2">
        <v>2.5316459999999998</v>
      </c>
      <c r="M23" s="2">
        <v>2.6195499999999998</v>
      </c>
      <c r="N23" s="2">
        <v>2.7426159999999999</v>
      </c>
      <c r="O23" s="2">
        <v>111.5294</v>
      </c>
      <c r="P23" s="2">
        <v>73.953919999999997</v>
      </c>
      <c r="Q23" s="2">
        <v>48.203389999999999</v>
      </c>
      <c r="R23" s="2">
        <v>34.895710000000001</v>
      </c>
      <c r="S23" s="2">
        <v>32.491799999999998</v>
      </c>
      <c r="T23" s="2">
        <v>28.192019999999999</v>
      </c>
      <c r="U23" s="2">
        <v>22.335789999999999</v>
      </c>
      <c r="V23" s="2">
        <v>19.378150000000002</v>
      </c>
      <c r="W23" s="2">
        <v>5.0247349999999997</v>
      </c>
      <c r="X23" s="2">
        <v>5.3358350000000003</v>
      </c>
      <c r="Y23" s="2">
        <v>5.4692309999999997</v>
      </c>
      <c r="Z23" s="2">
        <v>5.5764709999999997</v>
      </c>
      <c r="AA23" s="2">
        <v>38.9589</v>
      </c>
      <c r="AB23" s="2">
        <v>21.64875</v>
      </c>
      <c r="AC23" s="2">
        <v>17.227699999999999</v>
      </c>
      <c r="AD23" s="2">
        <v>16.22411</v>
      </c>
      <c r="AE23" s="2">
        <v>1.126779</v>
      </c>
      <c r="AF23" s="2">
        <v>1.8420080000000001</v>
      </c>
      <c r="AG23" s="2">
        <v>2.8500640000000002</v>
      </c>
      <c r="AH23" s="2">
        <v>1.4645889999999999</v>
      </c>
      <c r="AI23" s="2">
        <v>2.3976039999999998</v>
      </c>
      <c r="AJ23" s="2">
        <v>3.6918609999999998</v>
      </c>
      <c r="AK23" s="3">
        <v>1.817679</v>
      </c>
      <c r="AL23" s="3">
        <v>1.2890170000000001</v>
      </c>
      <c r="AM23" s="2">
        <v>9.6411079999999991</v>
      </c>
      <c r="AN23" s="2">
        <v>11.74028</v>
      </c>
      <c r="AO23" s="2">
        <v>14.238329999999999</v>
      </c>
      <c r="AP23" s="2">
        <v>15.77787</v>
      </c>
      <c r="AQ23" s="2">
        <v>8.0405219999999993</v>
      </c>
      <c r="AR23" s="2">
        <v>6.5025320000000004</v>
      </c>
      <c r="AS23" s="2">
        <v>5.1758649999999999</v>
      </c>
      <c r="AT23" s="2">
        <v>4.4184970000000003</v>
      </c>
      <c r="AU23" s="1" t="s">
        <v>57</v>
      </c>
      <c r="AV23" s="3">
        <v>1.6590910000000001</v>
      </c>
      <c r="AW23" s="3">
        <v>32</v>
      </c>
      <c r="AX23" s="2">
        <v>12.517580000000001</v>
      </c>
      <c r="AY23" s="2">
        <v>7.2150809999999996</v>
      </c>
      <c r="AZ23" s="2">
        <v>39.289290000000001</v>
      </c>
      <c r="BA23" s="2">
        <v>15.09511</v>
      </c>
      <c r="BB23" s="2">
        <v>16.223960000000002</v>
      </c>
      <c r="BC23" s="3">
        <v>23.12</v>
      </c>
      <c r="BD23" s="2">
        <v>23.010370000000002</v>
      </c>
      <c r="BE23" s="3">
        <v>30.67</v>
      </c>
      <c r="BF23" s="2">
        <v>-7.27095</v>
      </c>
      <c r="BG23" s="2">
        <v>314.09269999999998</v>
      </c>
      <c r="BH23" s="2">
        <v>186.01990000000001</v>
      </c>
      <c r="BI23" s="2">
        <v>136.65549999999999</v>
      </c>
      <c r="BJ23" s="2">
        <v>108.9324</v>
      </c>
      <c r="BK23" s="2">
        <v>17</v>
      </c>
      <c r="BL23" s="2">
        <v>16</v>
      </c>
      <c r="BM23" s="4">
        <v>22</v>
      </c>
      <c r="BN23" s="4">
        <v>0</v>
      </c>
      <c r="BO23" s="4">
        <v>0</v>
      </c>
      <c r="BP23" s="4">
        <v>21</v>
      </c>
      <c r="BQ23" s="2">
        <v>0</v>
      </c>
      <c r="BR23" s="4">
        <v>11</v>
      </c>
      <c r="BS23" s="4">
        <v>3</v>
      </c>
      <c r="BT23" s="4">
        <v>22</v>
      </c>
      <c r="BU23" s="2">
        <v>50</v>
      </c>
      <c r="BV23" s="2">
        <v>7.2218799999999996</v>
      </c>
      <c r="BW23" s="2">
        <v>732.49459999999999</v>
      </c>
      <c r="BX23" s="3">
        <v>1.0630219999999999</v>
      </c>
      <c r="BY23" s="3">
        <v>0.14512359999999999</v>
      </c>
      <c r="BZ23" s="2">
        <v>0.92833200000000005</v>
      </c>
      <c r="CA23" s="3">
        <v>0.14512359999999999</v>
      </c>
      <c r="CB23" s="3">
        <v>0.3946133</v>
      </c>
      <c r="CC23" s="3">
        <v>0.39823380000000003</v>
      </c>
      <c r="CD23" s="2">
        <v>0.91749429999999998</v>
      </c>
      <c r="CE23" s="3">
        <v>615.26670000000001</v>
      </c>
      <c r="CF23" s="3">
        <v>580.7604</v>
      </c>
      <c r="CG23" s="2">
        <v>-5.6083379999999998</v>
      </c>
      <c r="CH23" s="3">
        <v>30.702629999999999</v>
      </c>
      <c r="CI23" s="2">
        <v>4.2256</v>
      </c>
      <c r="CJ23" s="3">
        <v>7832.2370000000001</v>
      </c>
      <c r="CK23" s="3">
        <v>8089.1719999999996</v>
      </c>
      <c r="CL23" s="2">
        <v>3.2804850000000001</v>
      </c>
      <c r="CM23" s="3">
        <v>28.446629999999999</v>
      </c>
      <c r="CN23" s="3">
        <v>29.038229999999999</v>
      </c>
      <c r="CO23" s="3">
        <v>28.55</v>
      </c>
      <c r="CP23" s="2">
        <v>-2.3299460000000001E-2</v>
      </c>
      <c r="CQ23" s="2">
        <v>-2.0601630000000002</v>
      </c>
      <c r="CR23" s="2">
        <v>-0.38527850000000002</v>
      </c>
      <c r="CS23" s="2">
        <v>2.079701</v>
      </c>
      <c r="CT23" s="2">
        <v>32.925699999999999</v>
      </c>
      <c r="CU23" s="3">
        <v>0.15805240000000001</v>
      </c>
      <c r="CV23" s="2">
        <v>37.5</v>
      </c>
      <c r="CW23" s="2">
        <v>3.7422360000000001</v>
      </c>
      <c r="CX23" s="2">
        <v>-32.051279999999998</v>
      </c>
      <c r="CY23" s="2">
        <v>18.616160000000001</v>
      </c>
    </row>
    <row r="24" spans="1:103" ht="15" customHeight="1" x14ac:dyDescent="0.2">
      <c r="A24" s="1">
        <f t="shared" si="0"/>
        <v>18</v>
      </c>
      <c r="B24" s="1" t="s">
        <v>59</v>
      </c>
      <c r="C24" s="1" t="s">
        <v>58</v>
      </c>
      <c r="D24" s="1" t="s">
        <v>60</v>
      </c>
      <c r="E24" s="1" t="s">
        <v>61</v>
      </c>
      <c r="F24" s="2">
        <v>1155.998</v>
      </c>
      <c r="G24" s="2">
        <v>45.000100000000003</v>
      </c>
      <c r="H24" s="2">
        <v>520.20029999999997</v>
      </c>
      <c r="I24" s="3">
        <v>5.2450000000000001</v>
      </c>
      <c r="J24" s="3">
        <v>0</v>
      </c>
      <c r="K24" s="2">
        <v>0</v>
      </c>
      <c r="L24" s="2">
        <v>0</v>
      </c>
      <c r="M24" s="2">
        <v>0</v>
      </c>
      <c r="N24" s="2">
        <v>0</v>
      </c>
      <c r="O24" s="2">
        <v>10.49</v>
      </c>
      <c r="P24" s="2">
        <v>11.39274</v>
      </c>
      <c r="Q24" s="2">
        <v>10.92708</v>
      </c>
      <c r="R24" s="2">
        <v>9.7525779999999997</v>
      </c>
      <c r="S24" s="2">
        <v>8.5453320000000001</v>
      </c>
      <c r="T24" s="2">
        <v>7.6374420000000001</v>
      </c>
      <c r="U24" s="2">
        <v>7.2612769999999998</v>
      </c>
      <c r="V24" s="2">
        <v>6.8026530000000003</v>
      </c>
      <c r="W24" s="2">
        <v>2.7977470000000002</v>
      </c>
      <c r="X24" s="2">
        <v>2.2457859999999998</v>
      </c>
      <c r="Y24" s="2">
        <v>1.8874740000000001</v>
      </c>
      <c r="Z24" s="2">
        <v>1.618827</v>
      </c>
      <c r="AA24" s="2">
        <v>4.4092250000000002</v>
      </c>
      <c r="AB24" s="2">
        <v>5.407216</v>
      </c>
      <c r="AC24" s="2">
        <v>5.1293129999999998</v>
      </c>
      <c r="AD24" s="2">
        <v>4.229838</v>
      </c>
      <c r="AE24" s="2">
        <v>4.3206819999999997</v>
      </c>
      <c r="AF24" s="2">
        <v>4.2651310000000002</v>
      </c>
      <c r="AG24" s="2">
        <v>4.7856290000000001</v>
      </c>
      <c r="AH24" s="2">
        <v>13.537649999999999</v>
      </c>
      <c r="AI24" s="2">
        <v>12.96683</v>
      </c>
      <c r="AJ24" s="2">
        <v>14.137779999999999</v>
      </c>
      <c r="AK24" s="3">
        <v>0.55815349999999997</v>
      </c>
      <c r="AL24" s="3">
        <v>0.52880510000000003</v>
      </c>
      <c r="AM24" s="2">
        <v>25.46557</v>
      </c>
      <c r="AN24" s="2">
        <v>25.389949999999999</v>
      </c>
      <c r="AO24" s="2">
        <v>25.99567</v>
      </c>
      <c r="AP24" s="2">
        <v>26.107700000000001</v>
      </c>
      <c r="AQ24" s="2">
        <v>6.2036199999999999</v>
      </c>
      <c r="AR24" s="2">
        <v>5.1998730000000002</v>
      </c>
      <c r="AS24" s="2">
        <v>4.8728509999999998</v>
      </c>
      <c r="AT24" s="2">
        <v>4.4999599999999997</v>
      </c>
      <c r="AU24" s="1" t="s">
        <v>46</v>
      </c>
      <c r="AV24" s="3">
        <v>1.6923079999999999</v>
      </c>
      <c r="AW24" s="3">
        <v>7.15</v>
      </c>
      <c r="AX24" s="2">
        <v>36.320300000000003</v>
      </c>
      <c r="AY24" s="2">
        <v>19.712440000000001</v>
      </c>
      <c r="AZ24" s="2">
        <v>21.12379</v>
      </c>
      <c r="BA24" s="2">
        <v>11.595750000000001</v>
      </c>
      <c r="BB24" s="2">
        <v>14.56968</v>
      </c>
      <c r="BC24" s="3">
        <v>4.5579999999999998</v>
      </c>
      <c r="BD24" s="2">
        <v>15.07239</v>
      </c>
      <c r="BE24" s="3">
        <v>6.8949999999999996</v>
      </c>
      <c r="BF24" s="2">
        <v>-23.930389999999999</v>
      </c>
      <c r="BG24" s="2">
        <v>2.301431</v>
      </c>
      <c r="BH24" s="2">
        <v>3.1072479999999998</v>
      </c>
      <c r="BI24" s="2">
        <v>12.405430000000001</v>
      </c>
      <c r="BJ24" s="2">
        <v>11.321</v>
      </c>
      <c r="BK24" s="2">
        <v>10</v>
      </c>
      <c r="BL24" s="2">
        <v>10</v>
      </c>
      <c r="BM24" s="4">
        <v>13</v>
      </c>
      <c r="BN24" s="4">
        <v>0</v>
      </c>
      <c r="BO24" s="4">
        <v>1</v>
      </c>
      <c r="BP24" s="4">
        <v>12</v>
      </c>
      <c r="BQ24" s="2">
        <v>0</v>
      </c>
      <c r="BR24" s="4">
        <v>5</v>
      </c>
      <c r="BS24" s="4">
        <v>1</v>
      </c>
      <c r="BT24" s="4">
        <v>13</v>
      </c>
      <c r="BU24" s="2">
        <v>38.461539999999999</v>
      </c>
      <c r="BV24" s="2">
        <v>16.059699999999999</v>
      </c>
      <c r="BW24" s="2">
        <v>220.4</v>
      </c>
      <c r="BX24" s="3">
        <v>0.85168160000000004</v>
      </c>
      <c r="BY24" s="3">
        <v>0.38642539999999997</v>
      </c>
      <c r="BZ24" s="2">
        <v>2.2766500000000001</v>
      </c>
      <c r="CA24" s="3">
        <v>0.38642539999999997</v>
      </c>
      <c r="CB24" s="3">
        <v>0.38177050000000001</v>
      </c>
      <c r="CC24" s="3">
        <v>0.44485659999999999</v>
      </c>
      <c r="CD24" s="2">
        <v>16.524619999999999</v>
      </c>
      <c r="CE24" s="3">
        <v>190.9134</v>
      </c>
      <c r="CF24" s="3">
        <v>218.69309999999999</v>
      </c>
      <c r="CG24" s="2">
        <v>14.55095</v>
      </c>
      <c r="CH24" s="3">
        <v>6.9909090000000003</v>
      </c>
      <c r="CI24" s="2">
        <v>2.2756810000000001</v>
      </c>
      <c r="CJ24" s="3">
        <v>1828.6079999999999</v>
      </c>
      <c r="CK24" s="3">
        <v>1873.8579999999999</v>
      </c>
      <c r="CL24" s="2">
        <v>2.474523</v>
      </c>
      <c r="CM24" s="3">
        <v>6.0020150000000001</v>
      </c>
      <c r="CN24" s="3">
        <v>5.7406870000000003</v>
      </c>
      <c r="CO24" s="3">
        <v>5.4446149999999998</v>
      </c>
      <c r="CP24" s="2">
        <v>-12.612679999999999</v>
      </c>
      <c r="CQ24" s="2">
        <v>-8.634639</v>
      </c>
      <c r="CR24" s="2">
        <v>-3.6662940000000002</v>
      </c>
      <c r="CS24" s="2">
        <v>-4.3540000000000001</v>
      </c>
      <c r="CT24" s="2">
        <v>3.2440509999999998</v>
      </c>
      <c r="CU24" s="3">
        <v>0.28062769999999998</v>
      </c>
      <c r="CV24" s="2" t="e">
        <v>#N/A</v>
      </c>
      <c r="CW24" s="2">
        <v>3.3165830000000001</v>
      </c>
      <c r="CX24" s="2">
        <v>12.77108</v>
      </c>
      <c r="CY24" s="2">
        <v>18.868690000000001</v>
      </c>
    </row>
    <row r="25" spans="1:103" ht="15" customHeight="1" x14ac:dyDescent="0.2">
      <c r="A25" s="1">
        <f t="shared" si="0"/>
        <v>19</v>
      </c>
      <c r="B25" s="1" t="s">
        <v>63</v>
      </c>
      <c r="C25" s="1" t="s">
        <v>62</v>
      </c>
      <c r="D25" s="1" t="s">
        <v>64</v>
      </c>
      <c r="E25" s="1" t="s">
        <v>65</v>
      </c>
      <c r="F25" s="2">
        <v>21056.52</v>
      </c>
      <c r="G25" s="2">
        <v>85.128299999999996</v>
      </c>
      <c r="H25" s="2">
        <v>17925.060000000001</v>
      </c>
      <c r="I25" s="3">
        <v>3.6459999999999999</v>
      </c>
      <c r="J25" s="3">
        <v>0</v>
      </c>
      <c r="K25" s="2">
        <v>8.2281949999999995</v>
      </c>
      <c r="L25" s="2">
        <v>8.2281949999999995</v>
      </c>
      <c r="M25" s="2">
        <v>8.2281949999999995</v>
      </c>
      <c r="N25" s="2">
        <v>8.2281949999999995</v>
      </c>
      <c r="O25" s="2">
        <v>11.04848</v>
      </c>
      <c r="P25" s="2">
        <v>11.69177</v>
      </c>
      <c r="Q25" s="2">
        <v>10.816229999999999</v>
      </c>
      <c r="R25" s="2">
        <v>11.30373</v>
      </c>
      <c r="S25" s="2">
        <v>4.2860440000000004</v>
      </c>
      <c r="T25" s="2">
        <v>4.282114</v>
      </c>
      <c r="U25" s="2">
        <v>4.1108380000000002</v>
      </c>
      <c r="V25" s="2">
        <v>4.0693669999999997</v>
      </c>
      <c r="W25" s="2">
        <v>0.83419589999999999</v>
      </c>
      <c r="X25" s="2">
        <v>0.82863629999999999</v>
      </c>
      <c r="Y25" s="2">
        <v>0.81729419999999997</v>
      </c>
      <c r="Z25" s="2">
        <v>0.82863629999999999</v>
      </c>
      <c r="AA25" s="2">
        <v>1.889119</v>
      </c>
      <c r="AB25" s="2">
        <v>1.935039</v>
      </c>
      <c r="AC25" s="2">
        <v>1.928668</v>
      </c>
      <c r="AD25" s="2">
        <v>1.895813</v>
      </c>
      <c r="AE25" s="2">
        <v>6.7450669999999997</v>
      </c>
      <c r="AF25" s="2">
        <v>7.1242130000000001</v>
      </c>
      <c r="AG25" s="2">
        <v>7.1332040000000001</v>
      </c>
      <c r="AH25" s="2">
        <v>17.814910000000001</v>
      </c>
      <c r="AI25" s="2">
        <v>18.443049999999999</v>
      </c>
      <c r="AJ25" s="2">
        <v>18.33344</v>
      </c>
      <c r="AK25" s="3">
        <v>0.98368820000000001</v>
      </c>
      <c r="AL25" s="3">
        <v>0.90240140000000002</v>
      </c>
      <c r="AM25" s="2">
        <v>32.136699999999998</v>
      </c>
      <c r="AN25" s="2">
        <v>31.724799999999998</v>
      </c>
      <c r="AO25" s="2">
        <v>32.104059999999997</v>
      </c>
      <c r="AP25" s="2">
        <v>31.939959999999999</v>
      </c>
      <c r="AQ25" s="2">
        <v>2.7649949999999999</v>
      </c>
      <c r="AR25" s="2">
        <v>2.6608230000000002</v>
      </c>
      <c r="AS25" s="2">
        <v>2.5228969999999999</v>
      </c>
      <c r="AT25" s="2">
        <v>2.4860519999999999</v>
      </c>
      <c r="AU25" s="1" t="s">
        <v>46</v>
      </c>
      <c r="AV25" s="3">
        <v>1.84</v>
      </c>
      <c r="AW25" s="3">
        <v>4.2</v>
      </c>
      <c r="AX25" s="2">
        <v>15.19473</v>
      </c>
      <c r="AY25" s="2">
        <v>7.0873480000000004</v>
      </c>
      <c r="AZ25" s="2">
        <v>6.8007720000000003</v>
      </c>
      <c r="BA25" s="2">
        <v>4.6197889999999999</v>
      </c>
      <c r="BB25" s="2">
        <v>7.7104809999999997</v>
      </c>
      <c r="BC25" s="3">
        <v>3.218</v>
      </c>
      <c r="BD25" s="2">
        <v>13.300179999999999</v>
      </c>
      <c r="BE25" s="3">
        <v>4.1470000000000002</v>
      </c>
      <c r="BF25" s="2">
        <v>-12.081020000000001</v>
      </c>
      <c r="BG25" s="2">
        <v>90.909099999999995</v>
      </c>
      <c r="BH25" s="2">
        <v>97.082639999999998</v>
      </c>
      <c r="BI25" s="2">
        <v>90.132260000000002</v>
      </c>
      <c r="BJ25" s="2">
        <v>89.995760000000004</v>
      </c>
      <c r="BK25" s="2">
        <v>18</v>
      </c>
      <c r="BL25" s="2">
        <v>17</v>
      </c>
      <c r="BM25" s="4">
        <v>25</v>
      </c>
      <c r="BN25" s="4">
        <v>0</v>
      </c>
      <c r="BO25" s="4">
        <v>3</v>
      </c>
      <c r="BP25" s="4">
        <v>21</v>
      </c>
      <c r="BQ25" s="2">
        <v>0</v>
      </c>
      <c r="BR25" s="4">
        <v>9</v>
      </c>
      <c r="BS25" s="4">
        <v>5</v>
      </c>
      <c r="BT25" s="4">
        <v>25</v>
      </c>
      <c r="BU25" s="2">
        <v>36</v>
      </c>
      <c r="BV25" s="2">
        <v>8.1504399999999997</v>
      </c>
      <c r="BW25" s="2">
        <v>5775.2380000000003</v>
      </c>
      <c r="BX25" s="3">
        <v>17.382390000000001</v>
      </c>
      <c r="BY25" s="3">
        <v>0.30098130000000001</v>
      </c>
      <c r="BZ25" s="2">
        <v>0.79137199999999996</v>
      </c>
      <c r="CA25" s="3">
        <v>0.30098130000000001</v>
      </c>
      <c r="CB25" s="3">
        <v>0.30068210000000001</v>
      </c>
      <c r="CC25" s="3">
        <v>0.30901509999999999</v>
      </c>
      <c r="CD25" s="2">
        <v>2.7713779999999999</v>
      </c>
      <c r="CE25" s="3">
        <v>4134.2039999999997</v>
      </c>
      <c r="CF25" s="3">
        <v>4186.5230000000001</v>
      </c>
      <c r="CG25" s="2">
        <v>1.2655259999999999</v>
      </c>
      <c r="CH25" s="3">
        <v>4.2976190000000001</v>
      </c>
      <c r="CI25" s="2">
        <v>-2.2714669999999999</v>
      </c>
      <c r="CJ25" s="3">
        <v>40704.25</v>
      </c>
      <c r="CK25" s="3">
        <v>40916.839999999997</v>
      </c>
      <c r="CL25" s="2">
        <v>0.52227970000000001</v>
      </c>
      <c r="CM25" s="3">
        <v>3.8029929999999998</v>
      </c>
      <c r="CN25" s="3">
        <v>3.814019</v>
      </c>
      <c r="CO25" s="3">
        <v>3.771153</v>
      </c>
      <c r="CP25" s="2">
        <v>-4.128152</v>
      </c>
      <c r="CQ25" s="2">
        <v>-4.4053079999999998</v>
      </c>
      <c r="CR25" s="2">
        <v>-3.3187090000000001</v>
      </c>
      <c r="CS25" s="2">
        <v>0.28992889999999999</v>
      </c>
      <c r="CT25" s="2">
        <v>47.518129999999999</v>
      </c>
      <c r="CU25" s="3">
        <v>0.22566939999999999</v>
      </c>
      <c r="CV25" s="2">
        <v>-33.33334</v>
      </c>
      <c r="CW25" s="2">
        <v>0.79088769999999997</v>
      </c>
      <c r="CX25" s="2">
        <v>0.46065660000000003</v>
      </c>
      <c r="CY25" s="2">
        <v>19.08081</v>
      </c>
    </row>
    <row r="26" spans="1:103" ht="15" customHeight="1" x14ac:dyDescent="0.2">
      <c r="A26" s="1">
        <f t="shared" si="0"/>
        <v>20</v>
      </c>
      <c r="B26" s="1" t="s">
        <v>67</v>
      </c>
      <c r="C26" s="1" t="s">
        <v>66</v>
      </c>
      <c r="D26" s="1" t="s">
        <v>68</v>
      </c>
      <c r="E26" s="1" t="s">
        <v>69</v>
      </c>
      <c r="F26" s="2">
        <v>3193.1860000000001</v>
      </c>
      <c r="G26" s="2">
        <v>43.304200000000002</v>
      </c>
      <c r="H26" s="2">
        <v>1382.7829999999999</v>
      </c>
      <c r="I26" s="3">
        <v>16.62</v>
      </c>
      <c r="J26" s="3">
        <v>0</v>
      </c>
      <c r="K26" s="2">
        <v>4.2117930000000001</v>
      </c>
      <c r="L26" s="2">
        <v>3.1287600000000002</v>
      </c>
      <c r="M26" s="2">
        <v>3.33935</v>
      </c>
      <c r="N26" s="2">
        <v>3.9410349999999998</v>
      </c>
      <c r="O26" s="2">
        <v>12.075559999999999</v>
      </c>
      <c r="P26" s="2">
        <v>15.98077</v>
      </c>
      <c r="Q26" s="2">
        <v>14.45218</v>
      </c>
      <c r="R26" s="2">
        <v>12.402990000000001</v>
      </c>
      <c r="S26" s="2">
        <v>8.1360039999999998</v>
      </c>
      <c r="T26" s="2">
        <v>10.263339999999999</v>
      </c>
      <c r="U26" s="2">
        <v>9.2276720000000001</v>
      </c>
      <c r="V26" s="2">
        <v>8.1713009999999997</v>
      </c>
      <c r="W26" s="2">
        <v>1.9291929999999999</v>
      </c>
      <c r="X26" s="2">
        <v>1.948418</v>
      </c>
      <c r="Y26" s="2">
        <v>1.875847</v>
      </c>
      <c r="Z26" s="2">
        <v>1.790948</v>
      </c>
      <c r="AA26" s="2">
        <v>11.03955</v>
      </c>
      <c r="AB26" s="2">
        <v>11.858650000000001</v>
      </c>
      <c r="AC26" s="2">
        <v>11.41201</v>
      </c>
      <c r="AD26" s="2">
        <v>9.3989010000000004</v>
      </c>
      <c r="AE26" s="2">
        <v>6.9617009999999997</v>
      </c>
      <c r="AF26" s="2">
        <v>5.9153979999999997</v>
      </c>
      <c r="AG26" s="2">
        <v>6.2138239999999998</v>
      </c>
      <c r="AH26" s="2">
        <v>9.5321259999999999</v>
      </c>
      <c r="AI26" s="2">
        <v>7.8975799999999996</v>
      </c>
      <c r="AJ26" s="2">
        <v>8.0371919999999992</v>
      </c>
      <c r="AK26" s="3">
        <v>1.23996</v>
      </c>
      <c r="AL26" s="3">
        <v>1.220424</v>
      </c>
      <c r="AM26" s="2">
        <v>21.431560000000001</v>
      </c>
      <c r="AN26" s="2">
        <v>20.8262</v>
      </c>
      <c r="AO26" s="2">
        <v>21.74118</v>
      </c>
      <c r="AP26" s="2">
        <v>22.757770000000001</v>
      </c>
      <c r="AQ26" s="2">
        <v>2.5880860000000001</v>
      </c>
      <c r="AR26" s="2">
        <v>2.7676059999999998</v>
      </c>
      <c r="AS26" s="2">
        <v>2.316017</v>
      </c>
      <c r="AT26" s="2">
        <v>1.8537939999999999</v>
      </c>
      <c r="AU26" s="1" t="s">
        <v>46</v>
      </c>
      <c r="AV26" s="3">
        <v>1.642857</v>
      </c>
      <c r="AW26" s="3">
        <v>20.45</v>
      </c>
      <c r="AX26" s="2">
        <v>23.044530000000002</v>
      </c>
      <c r="AY26" s="2">
        <v>12.192259999999999</v>
      </c>
      <c r="AZ26" s="2">
        <v>2</v>
      </c>
      <c r="BA26" s="2">
        <v>21.04881</v>
      </c>
      <c r="BB26" s="2">
        <v>14.462820000000001</v>
      </c>
      <c r="BC26" s="3">
        <v>12.97</v>
      </c>
      <c r="BD26" s="2">
        <v>28.141870000000001</v>
      </c>
      <c r="BE26" s="3">
        <v>21.82</v>
      </c>
      <c r="BF26" s="2">
        <v>-23.831340000000001</v>
      </c>
      <c r="BG26" s="2">
        <v>55.802410000000002</v>
      </c>
      <c r="BH26" s="2">
        <v>50.533549999999998</v>
      </c>
      <c r="BI26" s="2">
        <v>52.053080000000001</v>
      </c>
      <c r="BJ26" s="2">
        <v>45.387540000000001</v>
      </c>
      <c r="BK26" s="2">
        <v>8</v>
      </c>
      <c r="BL26" s="2">
        <v>14</v>
      </c>
      <c r="BM26" s="4">
        <v>14</v>
      </c>
      <c r="BN26" s="4">
        <v>1</v>
      </c>
      <c r="BO26" s="4">
        <v>2</v>
      </c>
      <c r="BP26" s="4">
        <v>10</v>
      </c>
      <c r="BQ26" s="2">
        <v>7.6923079999999997</v>
      </c>
      <c r="BR26" s="4">
        <v>6</v>
      </c>
      <c r="BS26" s="4">
        <v>1</v>
      </c>
      <c r="BT26" s="4">
        <v>14</v>
      </c>
      <c r="BU26" s="2">
        <v>42.857140000000001</v>
      </c>
      <c r="BV26" s="2">
        <v>9.4419500000000003</v>
      </c>
      <c r="BW26" s="2">
        <v>192.12909999999999</v>
      </c>
      <c r="BX26" s="3">
        <v>0.59094599999999997</v>
      </c>
      <c r="BY26" s="3">
        <v>0.30757760000000001</v>
      </c>
      <c r="BZ26" s="2">
        <v>0.78814099999999998</v>
      </c>
      <c r="CA26" s="3">
        <v>0.30757760000000001</v>
      </c>
      <c r="CB26" s="3">
        <v>0.95826540000000004</v>
      </c>
      <c r="CC26" s="3">
        <v>1.053766</v>
      </c>
      <c r="CD26" s="2">
        <v>9.9659560000000003</v>
      </c>
      <c r="CE26" s="3">
        <v>260.76510000000002</v>
      </c>
      <c r="CF26" s="3">
        <v>260.2543</v>
      </c>
      <c r="CG26" s="2">
        <v>-0.19588469999999999</v>
      </c>
      <c r="CH26" s="3">
        <v>20.211880000000001</v>
      </c>
      <c r="CI26" s="2">
        <v>1.178145</v>
      </c>
      <c r="CJ26" s="3">
        <v>2096.2260000000001</v>
      </c>
      <c r="CK26" s="3">
        <v>2051.904</v>
      </c>
      <c r="CL26" s="2">
        <v>-2.1143619999999999</v>
      </c>
      <c r="CM26" s="3">
        <v>17.414919999999999</v>
      </c>
      <c r="CN26" s="3">
        <v>18.687059999999999</v>
      </c>
      <c r="CO26" s="3">
        <v>17.514610000000001</v>
      </c>
      <c r="CP26" s="2">
        <v>-4.5646129999999996</v>
      </c>
      <c r="CQ26" s="2">
        <v>-11.061439999999999</v>
      </c>
      <c r="CR26" s="2">
        <v>-5.1078080000000003</v>
      </c>
      <c r="CS26" s="2">
        <v>7.3048590000000004</v>
      </c>
      <c r="CT26" s="2">
        <v>7.4899389999999997</v>
      </c>
      <c r="CU26" s="3">
        <v>0.23456009999999999</v>
      </c>
      <c r="CV26" s="2">
        <v>-19.441870000000002</v>
      </c>
      <c r="CW26" s="2">
        <v>-4.2084149999999996</v>
      </c>
      <c r="CX26" s="2">
        <v>-26.299790000000002</v>
      </c>
      <c r="CY26" s="2">
        <v>19.272729999999999</v>
      </c>
    </row>
    <row r="27" spans="1:103" ht="15" customHeight="1" x14ac:dyDescent="0.2">
      <c r="A27" s="1">
        <f t="shared" si="0"/>
        <v>21</v>
      </c>
      <c r="B27" s="1" t="s">
        <v>71</v>
      </c>
      <c r="C27" s="1" t="s">
        <v>70</v>
      </c>
      <c r="D27" s="1" t="s">
        <v>64</v>
      </c>
      <c r="E27" s="1" t="s">
        <v>65</v>
      </c>
      <c r="F27" s="2">
        <v>19583.5</v>
      </c>
      <c r="G27" s="2">
        <v>77.516099999999994</v>
      </c>
      <c r="H27" s="2">
        <v>15180.36</v>
      </c>
      <c r="I27" s="3">
        <v>27.72</v>
      </c>
      <c r="J27" s="3">
        <v>0</v>
      </c>
      <c r="K27" s="2">
        <v>0.18037520000000001</v>
      </c>
      <c r="L27" s="2">
        <v>0.21645020000000001</v>
      </c>
      <c r="M27" s="2">
        <v>0.21645020000000001</v>
      </c>
      <c r="N27" s="2">
        <v>0.25252520000000001</v>
      </c>
      <c r="O27" s="2" t="e">
        <v>#N/A</v>
      </c>
      <c r="P27" s="2" t="e">
        <v>#N/A</v>
      </c>
      <c r="Q27" s="2" t="e">
        <v>#N/A</v>
      </c>
      <c r="R27" s="2" t="e">
        <v>#N/A</v>
      </c>
      <c r="S27" s="2">
        <v>15.848750000000001</v>
      </c>
      <c r="T27" s="2">
        <v>13.07633</v>
      </c>
      <c r="U27" s="2">
        <v>12.130229999999999</v>
      </c>
      <c r="V27" s="2">
        <v>11.233750000000001</v>
      </c>
      <c r="W27" s="2">
        <v>1.377049</v>
      </c>
      <c r="X27" s="2">
        <v>1.3971769999999999</v>
      </c>
      <c r="Y27" s="2">
        <v>1.4244600000000001</v>
      </c>
      <c r="Z27" s="2">
        <v>1.4482759999999999</v>
      </c>
      <c r="AA27" s="2">
        <v>10.09464</v>
      </c>
      <c r="AB27" s="2">
        <v>11.691509999999999</v>
      </c>
      <c r="AC27" s="2">
        <v>10.421049999999999</v>
      </c>
      <c r="AD27" s="2">
        <v>9.5586199999999995</v>
      </c>
      <c r="AE27" s="2">
        <v>0.35821750000000002</v>
      </c>
      <c r="AF27" s="2">
        <v>1.4255040000000001</v>
      </c>
      <c r="AG27" s="2">
        <v>2.11049</v>
      </c>
      <c r="AH27" s="2">
        <v>0.72223349999999997</v>
      </c>
      <c r="AI27" s="2">
        <v>2.8626260000000001</v>
      </c>
      <c r="AJ27" s="2">
        <v>4.1876309999999997</v>
      </c>
      <c r="AK27" s="3" t="e">
        <v>#N/A</v>
      </c>
      <c r="AL27" s="3" t="e">
        <v>#N/A</v>
      </c>
      <c r="AM27" s="2">
        <v>75.164330000000007</v>
      </c>
      <c r="AN27" s="2">
        <v>73.646339999999995</v>
      </c>
      <c r="AO27" s="2">
        <v>74.656329999999997</v>
      </c>
      <c r="AP27" s="2">
        <v>76.463729999999998</v>
      </c>
      <c r="AQ27" s="2">
        <v>7.5429659999999998</v>
      </c>
      <c r="AR27" s="2">
        <v>6.5906599999999997</v>
      </c>
      <c r="AS27" s="2">
        <v>6.0897269999999999</v>
      </c>
      <c r="AT27" s="2">
        <v>5.5721449999999999</v>
      </c>
      <c r="AU27" s="1" t="s">
        <v>5</v>
      </c>
      <c r="AV27" s="3">
        <v>1.3833329999999999</v>
      </c>
      <c r="AW27" s="3">
        <v>42.85</v>
      </c>
      <c r="AX27" s="2">
        <v>54.581519999999998</v>
      </c>
      <c r="AY27" s="2">
        <v>-1.961633</v>
      </c>
      <c r="AZ27" s="2">
        <v>2.37</v>
      </c>
      <c r="BA27" s="2">
        <v>-16.253769999999999</v>
      </c>
      <c r="BB27" s="2">
        <v>-10.34929</v>
      </c>
      <c r="BC27" s="3">
        <v>26.02</v>
      </c>
      <c r="BD27" s="2">
        <v>6.5334320000000004</v>
      </c>
      <c r="BE27" s="3">
        <v>39.43</v>
      </c>
      <c r="BF27" s="2">
        <v>-29.6982</v>
      </c>
      <c r="BG27" s="2" t="e">
        <v>#N/A</v>
      </c>
      <c r="BH27" s="2" t="e">
        <v>#N/A</v>
      </c>
      <c r="BI27" s="2" t="e">
        <v>#N/A</v>
      </c>
      <c r="BJ27" s="2" t="e">
        <v>#N/A</v>
      </c>
      <c r="BK27" s="2">
        <v>24</v>
      </c>
      <c r="BL27" s="2">
        <v>23</v>
      </c>
      <c r="BM27" s="4">
        <v>30</v>
      </c>
      <c r="BN27" s="4">
        <v>0</v>
      </c>
      <c r="BO27" s="4">
        <v>1</v>
      </c>
      <c r="BP27" s="4">
        <v>28</v>
      </c>
      <c r="BQ27" s="2">
        <v>0</v>
      </c>
      <c r="BR27" s="4">
        <v>20</v>
      </c>
      <c r="BS27" s="4">
        <v>1</v>
      </c>
      <c r="BT27" s="4">
        <v>30</v>
      </c>
      <c r="BU27" s="2">
        <v>66.666669999999996</v>
      </c>
      <c r="BV27" s="2">
        <v>8.1110600000000002</v>
      </c>
      <c r="BW27" s="2">
        <v>706.47540000000004</v>
      </c>
      <c r="BX27" s="3">
        <v>1.366736</v>
      </c>
      <c r="BY27" s="3">
        <v>0.1934584</v>
      </c>
      <c r="BZ27" s="2">
        <v>0.31906600000000002</v>
      </c>
      <c r="CA27" s="3">
        <v>0.1934584</v>
      </c>
      <c r="CB27" s="3">
        <v>-0.30091620000000002</v>
      </c>
      <c r="CC27" s="3">
        <v>-0.35490250000000001</v>
      </c>
      <c r="CD27" s="2">
        <v>17.940650000000002</v>
      </c>
      <c r="CE27" s="3">
        <v>429.44940000000003</v>
      </c>
      <c r="CF27" s="3">
        <v>396.20600000000002</v>
      </c>
      <c r="CG27" s="2">
        <v>-7.7409319999999999</v>
      </c>
      <c r="CH27" s="3">
        <v>48.269970000000001</v>
      </c>
      <c r="CI27" s="2">
        <v>-11.22846</v>
      </c>
      <c r="CJ27" s="3">
        <v>4134.4260000000004</v>
      </c>
      <c r="CK27" s="3">
        <v>4107.6210000000001</v>
      </c>
      <c r="CL27" s="2">
        <v>-0.64834360000000002</v>
      </c>
      <c r="CM27" s="3">
        <v>35.573639999999997</v>
      </c>
      <c r="CN27" s="3">
        <v>32.264699999999998</v>
      </c>
      <c r="CO27" s="3">
        <v>29.42577</v>
      </c>
      <c r="CP27" s="2">
        <v>-22.07713</v>
      </c>
      <c r="CQ27" s="2">
        <v>-14.08568</v>
      </c>
      <c r="CR27" s="2">
        <v>-5.796856</v>
      </c>
      <c r="CS27" s="2">
        <v>-9.3016439999999996</v>
      </c>
      <c r="CT27" s="2">
        <v>36.603729999999999</v>
      </c>
      <c r="CU27" s="3">
        <v>0.1869111</v>
      </c>
      <c r="CV27" s="2">
        <v>-96.986680000000007</v>
      </c>
      <c r="CW27" s="2">
        <v>-0.39279649999999999</v>
      </c>
      <c r="CX27" s="2">
        <v>-40.868220000000001</v>
      </c>
      <c r="CY27" s="2">
        <v>19.373740000000002</v>
      </c>
    </row>
    <row r="28" spans="1:103" ht="15" customHeight="1" x14ac:dyDescent="0.2">
      <c r="A28" s="1">
        <f t="shared" si="0"/>
        <v>22</v>
      </c>
      <c r="B28" s="1" t="s">
        <v>73</v>
      </c>
      <c r="C28" s="1" t="s">
        <v>72</v>
      </c>
      <c r="D28" s="1" t="s">
        <v>44</v>
      </c>
      <c r="E28" s="1" t="s">
        <v>45</v>
      </c>
      <c r="F28" s="2">
        <v>1862.087</v>
      </c>
      <c r="G28" s="2">
        <v>56.940100000000001</v>
      </c>
      <c r="H28" s="2">
        <v>1060.2739999999999</v>
      </c>
      <c r="I28" s="3">
        <v>2.726</v>
      </c>
      <c r="J28" s="3">
        <v>0</v>
      </c>
      <c r="K28" s="2">
        <v>4.2186360000000001</v>
      </c>
      <c r="L28" s="2">
        <v>5.0256790000000002</v>
      </c>
      <c r="M28" s="2">
        <v>5.3666910000000003</v>
      </c>
      <c r="N28" s="2">
        <v>5.8694050000000004</v>
      </c>
      <c r="O28" s="2">
        <v>16.03529</v>
      </c>
      <c r="P28" s="2">
        <v>11.50211</v>
      </c>
      <c r="Q28" s="2">
        <v>12.85849</v>
      </c>
      <c r="R28" s="2">
        <v>12.533329999999999</v>
      </c>
      <c r="S28" s="2">
        <v>6.1178530000000002</v>
      </c>
      <c r="T28" s="2">
        <v>7.0463040000000001</v>
      </c>
      <c r="U28" s="2">
        <v>6.9967259999999998</v>
      </c>
      <c r="V28" s="2">
        <v>7.062303</v>
      </c>
      <c r="W28" s="2">
        <v>3.304799</v>
      </c>
      <c r="X28" s="2">
        <v>1.5144439999999999</v>
      </c>
      <c r="Y28" s="2">
        <v>1.4015420000000001</v>
      </c>
      <c r="Z28" s="2">
        <v>1.185217</v>
      </c>
      <c r="AA28" s="2">
        <v>13.87679</v>
      </c>
      <c r="AB28" s="2">
        <v>28.334589999999999</v>
      </c>
      <c r="AC28" s="2">
        <v>15.080270000000001</v>
      </c>
      <c r="AD28" s="2">
        <v>6.1954549999999999</v>
      </c>
      <c r="AE28" s="2">
        <v>-9.4297919999999993E-2</v>
      </c>
      <c r="AF28" s="2">
        <v>-2.0257999999999998</v>
      </c>
      <c r="AG28" s="2">
        <v>-1.7949809999999999</v>
      </c>
      <c r="AH28" s="2">
        <v>-0.4833287</v>
      </c>
      <c r="AI28" s="2">
        <v>-10.86594</v>
      </c>
      <c r="AJ28" s="2">
        <v>-9.9529899999999998</v>
      </c>
      <c r="AK28" s="3" t="e">
        <v>#N/A</v>
      </c>
      <c r="AL28" s="3" t="e">
        <v>#N/A</v>
      </c>
      <c r="AM28" s="2">
        <v>25.666440000000001</v>
      </c>
      <c r="AN28" s="2">
        <v>29.903960000000001</v>
      </c>
      <c r="AO28" s="2">
        <v>30.955220000000001</v>
      </c>
      <c r="AP28" s="2">
        <v>30.50282</v>
      </c>
      <c r="AQ28" s="2">
        <v>4.9866840000000003</v>
      </c>
      <c r="AR28" s="2">
        <v>5.6715629999999999</v>
      </c>
      <c r="AS28" s="2">
        <v>5.6922870000000003</v>
      </c>
      <c r="AT28" s="2">
        <v>5.788646</v>
      </c>
      <c r="AU28" s="1" t="s">
        <v>5</v>
      </c>
      <c r="AV28" s="3">
        <v>1.0555559999999999</v>
      </c>
      <c r="AW28" s="3">
        <v>3.82</v>
      </c>
      <c r="AX28" s="2">
        <v>40.132060000000003</v>
      </c>
      <c r="AY28" s="2">
        <v>13.16667</v>
      </c>
      <c r="AZ28" s="2" t="e">
        <v>#N/A</v>
      </c>
      <c r="BA28" s="2">
        <v>9.8307850000000006</v>
      </c>
      <c r="BB28" s="2">
        <v>4.8461559999999997</v>
      </c>
      <c r="BC28" s="3">
        <v>2.3359999999999999</v>
      </c>
      <c r="BD28" s="2">
        <v>16.695209999999999</v>
      </c>
      <c r="BE28" s="3">
        <v>3.1739999999999999</v>
      </c>
      <c r="BF28" s="2">
        <v>-14.11468</v>
      </c>
      <c r="BG28" s="2">
        <v>66.351060000000004</v>
      </c>
      <c r="BH28" s="2">
        <v>59.380220000000001</v>
      </c>
      <c r="BI28" s="2">
        <v>69.393299999999996</v>
      </c>
      <c r="BJ28" s="2">
        <v>58.784529999999997</v>
      </c>
      <c r="BK28" s="2">
        <v>6</v>
      </c>
      <c r="BL28" s="2">
        <v>6</v>
      </c>
      <c r="BM28" s="4">
        <v>9</v>
      </c>
      <c r="BN28" s="4">
        <v>0</v>
      </c>
      <c r="BO28" s="4">
        <v>0</v>
      </c>
      <c r="BP28" s="4">
        <v>8</v>
      </c>
      <c r="BQ28" s="2">
        <v>0</v>
      </c>
      <c r="BR28" s="4">
        <v>9</v>
      </c>
      <c r="BS28" s="4">
        <v>0</v>
      </c>
      <c r="BT28" s="4">
        <v>9</v>
      </c>
      <c r="BU28" s="2">
        <v>100</v>
      </c>
      <c r="BV28" s="2">
        <v>9.5825899999999997</v>
      </c>
      <c r="BW28" s="2">
        <v>683.08389999999997</v>
      </c>
      <c r="BX28" s="3">
        <v>2.1793390000000001</v>
      </c>
      <c r="BY28" s="3">
        <v>0.3190441</v>
      </c>
      <c r="BZ28" s="2">
        <v>1.3748899999999999</v>
      </c>
      <c r="CA28" s="3">
        <v>0.3190441</v>
      </c>
      <c r="CB28" s="3">
        <v>0.28643649999999998</v>
      </c>
      <c r="CC28" s="3">
        <v>0.22274530000000001</v>
      </c>
      <c r="CD28" s="2">
        <v>-22.235700000000001</v>
      </c>
      <c r="CE28" s="3">
        <v>1174.087</v>
      </c>
      <c r="CF28" s="3">
        <v>1199.556</v>
      </c>
      <c r="CG28" s="2">
        <v>2.1692990000000001</v>
      </c>
      <c r="CH28" s="3">
        <v>3.7458239999999998</v>
      </c>
      <c r="CI28" s="2">
        <v>1.9802329999999999</v>
      </c>
      <c r="CJ28" s="3">
        <v>5357.2860000000001</v>
      </c>
      <c r="CK28" s="3">
        <v>4699.9030000000002</v>
      </c>
      <c r="CL28" s="2">
        <v>-12.270820000000001</v>
      </c>
      <c r="CM28" s="3">
        <v>2.9259200000000001</v>
      </c>
      <c r="CN28" s="3">
        <v>2.799255</v>
      </c>
      <c r="CO28" s="3">
        <v>2.708923</v>
      </c>
      <c r="CP28" s="2">
        <v>-6.8327309999999999</v>
      </c>
      <c r="CQ28" s="2">
        <v>-2.6169539999999998</v>
      </c>
      <c r="CR28" s="2">
        <v>0.63040260000000004</v>
      </c>
      <c r="CS28" s="2">
        <v>-4.3290620000000004</v>
      </c>
      <c r="CT28" s="2">
        <v>4.5398240000000003</v>
      </c>
      <c r="CU28" s="3">
        <v>0.24380299999999999</v>
      </c>
      <c r="CV28" s="2" t="e">
        <v>#N/A</v>
      </c>
      <c r="CW28" s="2">
        <v>-13.895009999999999</v>
      </c>
      <c r="CX28" s="2">
        <v>39.080460000000002</v>
      </c>
      <c r="CY28" s="2">
        <v>19.535350000000001</v>
      </c>
    </row>
    <row r="29" spans="1:103" ht="15" customHeight="1" x14ac:dyDescent="0.2">
      <c r="A29" s="1">
        <f t="shared" si="0"/>
        <v>23</v>
      </c>
      <c r="B29" s="1" t="s">
        <v>75</v>
      </c>
      <c r="C29" s="1" t="s">
        <v>74</v>
      </c>
      <c r="D29" s="1" t="s">
        <v>40</v>
      </c>
      <c r="E29" s="1" t="s">
        <v>76</v>
      </c>
      <c r="F29" s="2">
        <v>20512.5</v>
      </c>
      <c r="G29" s="2">
        <v>48.972200000000001</v>
      </c>
      <c r="H29" s="2">
        <v>10045.42</v>
      </c>
      <c r="I29" s="3">
        <v>136.75</v>
      </c>
      <c r="J29" s="3">
        <v>0</v>
      </c>
      <c r="K29" s="2">
        <v>3.4734919999999998</v>
      </c>
      <c r="L29" s="2">
        <v>5.3447480000000001</v>
      </c>
      <c r="M29" s="2">
        <v>6.0219379999999996</v>
      </c>
      <c r="N29" s="2">
        <v>6.5521029999999998</v>
      </c>
      <c r="O29" s="2">
        <v>22.753740000000001</v>
      </c>
      <c r="P29" s="2">
        <v>14.96171</v>
      </c>
      <c r="Q29" s="2">
        <v>13.06113</v>
      </c>
      <c r="R29" s="2">
        <v>12.091390000000001</v>
      </c>
      <c r="S29" s="2">
        <v>11.46668</v>
      </c>
      <c r="T29" s="2">
        <v>9.8129460000000002</v>
      </c>
      <c r="U29" s="2">
        <v>8.7121770000000005</v>
      </c>
      <c r="V29" s="2">
        <v>8.0725099999999994</v>
      </c>
      <c r="W29" s="2">
        <v>3.0538189999999998</v>
      </c>
      <c r="X29" s="2">
        <v>2.7834319999999999</v>
      </c>
      <c r="Y29" s="2">
        <v>2.625947</v>
      </c>
      <c r="Z29" s="2">
        <v>2.4716719999999999</v>
      </c>
      <c r="AA29" s="2">
        <v>11.259259999999999</v>
      </c>
      <c r="AB29" s="2">
        <v>9.4347030000000007</v>
      </c>
      <c r="AC29" s="2">
        <v>8.7772790000000001</v>
      </c>
      <c r="AD29" s="2">
        <v>8.3982980000000005</v>
      </c>
      <c r="AE29" s="2">
        <v>4.7594839999999996</v>
      </c>
      <c r="AF29" s="2">
        <v>6.3045590000000002</v>
      </c>
      <c r="AG29" s="2">
        <v>6.914339</v>
      </c>
      <c r="AH29" s="2">
        <v>6.1588380000000003</v>
      </c>
      <c r="AI29" s="2">
        <v>8.0122070000000001</v>
      </c>
      <c r="AJ29" s="2">
        <v>8.6312519999999999</v>
      </c>
      <c r="AK29" s="3">
        <v>1.1130709999999999</v>
      </c>
      <c r="AL29" s="3">
        <v>0.96842740000000005</v>
      </c>
      <c r="AM29" s="2">
        <v>49.708129999999997</v>
      </c>
      <c r="AN29" s="2">
        <v>54.693170000000002</v>
      </c>
      <c r="AO29" s="2">
        <v>56.573860000000003</v>
      </c>
      <c r="AP29" s="2">
        <v>57.339120000000001</v>
      </c>
      <c r="AQ29" s="2">
        <v>3.0030399999999999</v>
      </c>
      <c r="AR29" s="2">
        <v>2.229606</v>
      </c>
      <c r="AS29" s="2">
        <v>1.856833</v>
      </c>
      <c r="AT29" s="2">
        <v>1.605769</v>
      </c>
      <c r="AU29" s="1" t="s">
        <v>5</v>
      </c>
      <c r="AV29" s="3">
        <v>1.517857</v>
      </c>
      <c r="AW29" s="3">
        <v>166</v>
      </c>
      <c r="AX29" s="2">
        <v>21.389399999999998</v>
      </c>
      <c r="AY29" s="2">
        <v>18.6037</v>
      </c>
      <c r="AZ29" s="2">
        <v>16.642700000000001</v>
      </c>
      <c r="BA29" s="2">
        <v>14.77129</v>
      </c>
      <c r="BB29" s="2">
        <v>16.581420000000001</v>
      </c>
      <c r="BC29" s="3">
        <v>115.5</v>
      </c>
      <c r="BD29" s="2">
        <v>18.39827</v>
      </c>
      <c r="BE29" s="3">
        <v>155.75</v>
      </c>
      <c r="BF29" s="2">
        <v>-12.19904</v>
      </c>
      <c r="BG29" s="2">
        <v>70.704520000000002</v>
      </c>
      <c r="BH29" s="2">
        <v>80.210840000000005</v>
      </c>
      <c r="BI29" s="2">
        <v>77.603809999999996</v>
      </c>
      <c r="BJ29" s="2">
        <v>79.189660000000003</v>
      </c>
      <c r="BK29" s="2">
        <v>23</v>
      </c>
      <c r="BL29" s="2">
        <v>22</v>
      </c>
      <c r="BM29" s="4">
        <v>28</v>
      </c>
      <c r="BN29" s="4">
        <v>0</v>
      </c>
      <c r="BO29" s="4">
        <v>1</v>
      </c>
      <c r="BP29" s="4">
        <v>26</v>
      </c>
      <c r="BQ29" s="2">
        <v>0</v>
      </c>
      <c r="BR29" s="4">
        <v>17</v>
      </c>
      <c r="BS29" s="4">
        <v>3</v>
      </c>
      <c r="BT29" s="4">
        <v>28</v>
      </c>
      <c r="BU29" s="2">
        <v>60.714289999999998</v>
      </c>
      <c r="BV29" s="2">
        <v>7.4168200000000004</v>
      </c>
      <c r="BW29" s="2">
        <v>150</v>
      </c>
      <c r="BX29" s="3">
        <v>0.15583669999999999</v>
      </c>
      <c r="BY29" s="3">
        <v>0.1038911</v>
      </c>
      <c r="BZ29" s="2">
        <v>0.958507</v>
      </c>
      <c r="CA29" s="3">
        <v>0.1038911</v>
      </c>
      <c r="CB29" s="3">
        <v>8.8533910000000002</v>
      </c>
      <c r="CC29" s="3">
        <v>9.0348269999999999</v>
      </c>
      <c r="CD29" s="2">
        <v>2.0493510000000001</v>
      </c>
      <c r="CE29" s="3">
        <v>1826.3979999999999</v>
      </c>
      <c r="CF29" s="3">
        <v>1845.9739999999999</v>
      </c>
      <c r="CG29" s="2">
        <v>1.071858</v>
      </c>
      <c r="CH29" s="3">
        <v>164.268</v>
      </c>
      <c r="CI29" s="2">
        <v>1.05437</v>
      </c>
      <c r="CJ29" s="3">
        <v>4887.8320000000003</v>
      </c>
      <c r="CK29" s="3">
        <v>4894.4139999999998</v>
      </c>
      <c r="CL29" s="2">
        <v>0.1346588</v>
      </c>
      <c r="CM29" s="3">
        <v>144.6182</v>
      </c>
      <c r="CN29" s="3">
        <v>140.6275</v>
      </c>
      <c r="CO29" s="3">
        <v>138.26349999999999</v>
      </c>
      <c r="CP29" s="2">
        <v>-5.4406460000000001</v>
      </c>
      <c r="CQ29" s="2">
        <v>-2.7572570000000001</v>
      </c>
      <c r="CR29" s="2">
        <v>-1.0946210000000001</v>
      </c>
      <c r="CS29" s="2">
        <v>-2.7594799999999999</v>
      </c>
      <c r="CT29" s="2">
        <v>19.62293</v>
      </c>
      <c r="CU29" s="3">
        <v>9.566326E-2</v>
      </c>
      <c r="CV29" s="2">
        <v>26.544509999999999</v>
      </c>
      <c r="CW29" s="2">
        <v>-0.1655731</v>
      </c>
      <c r="CX29" s="2">
        <v>3.722944</v>
      </c>
      <c r="CY29" s="2">
        <v>19.676770000000001</v>
      </c>
    </row>
    <row r="30" spans="1:103" ht="15" customHeight="1" x14ac:dyDescent="0.2">
      <c r="A30" s="1">
        <f t="shared" si="0"/>
        <v>24</v>
      </c>
      <c r="B30" s="1" t="s">
        <v>78</v>
      </c>
      <c r="C30" s="1" t="s">
        <v>77</v>
      </c>
      <c r="D30" s="1" t="s">
        <v>79</v>
      </c>
      <c r="E30" s="1" t="s">
        <v>80</v>
      </c>
      <c r="F30" s="2">
        <v>2293.3870000000002</v>
      </c>
      <c r="G30" s="2">
        <v>67.235200000000006</v>
      </c>
      <c r="H30" s="2">
        <v>1541.963</v>
      </c>
      <c r="I30" s="3">
        <v>9.1980000000000004</v>
      </c>
      <c r="J30" s="3">
        <v>0</v>
      </c>
      <c r="K30" s="2">
        <v>6.5231579999999996</v>
      </c>
      <c r="L30" s="2">
        <v>6.5231579999999996</v>
      </c>
      <c r="M30" s="2">
        <v>6.5231579999999996</v>
      </c>
      <c r="N30" s="2">
        <v>6.5231579999999996</v>
      </c>
      <c r="O30" s="2">
        <v>4.2981309999999997</v>
      </c>
      <c r="P30" s="2">
        <v>5.7219290000000003</v>
      </c>
      <c r="Q30" s="2">
        <v>7.016559</v>
      </c>
      <c r="R30" s="2">
        <v>6.2148649999999996</v>
      </c>
      <c r="S30" s="2">
        <v>2.225997</v>
      </c>
      <c r="T30" s="2">
        <v>3.5037940000000001</v>
      </c>
      <c r="U30" s="2">
        <v>3.5289199999999998</v>
      </c>
      <c r="V30" s="2">
        <v>3.060638</v>
      </c>
      <c r="W30" s="2">
        <v>0.96516270000000004</v>
      </c>
      <c r="X30" s="2">
        <v>0.86003499999999999</v>
      </c>
      <c r="Y30" s="2">
        <v>0.81312130000000005</v>
      </c>
      <c r="Z30" s="2">
        <v>0.76395349999999995</v>
      </c>
      <c r="AA30" s="2">
        <v>2.46943</v>
      </c>
      <c r="AB30" s="2">
        <v>5.1113970000000002</v>
      </c>
      <c r="AC30" s="2">
        <v>4.4001210000000004</v>
      </c>
      <c r="AD30" s="2">
        <v>3.9307690000000002</v>
      </c>
      <c r="AE30" s="2">
        <v>8.7166119999999996</v>
      </c>
      <c r="AF30" s="2">
        <v>15.60033</v>
      </c>
      <c r="AG30" s="2">
        <v>16.942640000000001</v>
      </c>
      <c r="AH30" s="2">
        <v>10.1343</v>
      </c>
      <c r="AI30" s="2">
        <v>16.964189999999999</v>
      </c>
      <c r="AJ30" s="2">
        <v>16.551100000000002</v>
      </c>
      <c r="AK30" s="3" t="e">
        <v>#N/A</v>
      </c>
      <c r="AL30" s="3" t="e">
        <v>#N/A</v>
      </c>
      <c r="AM30" s="2">
        <v>14.686920000000001</v>
      </c>
      <c r="AN30" s="2">
        <v>11.55409</v>
      </c>
      <c r="AO30" s="2">
        <v>10.22129</v>
      </c>
      <c r="AP30" s="2">
        <v>10.27631</v>
      </c>
      <c r="AQ30" s="2">
        <v>0.34482760000000001</v>
      </c>
      <c r="AR30" s="2">
        <v>0.49014459999999999</v>
      </c>
      <c r="AS30" s="2">
        <v>0.2837131</v>
      </c>
      <c r="AT30" s="2">
        <v>-7.2404369999999996E-2</v>
      </c>
      <c r="AU30" s="1" t="s">
        <v>5</v>
      </c>
      <c r="AV30" s="3">
        <v>1.2222219999999999</v>
      </c>
      <c r="AW30" s="3">
        <v>12.9</v>
      </c>
      <c r="AX30" s="2">
        <v>40.247880000000002</v>
      </c>
      <c r="AY30" s="2">
        <v>15.03051</v>
      </c>
      <c r="AZ30" s="2">
        <v>-12.640879999999999</v>
      </c>
      <c r="BA30" s="2">
        <v>3.7914750000000002</v>
      </c>
      <c r="BB30" s="2">
        <v>-0.47608610000000001</v>
      </c>
      <c r="BC30" s="3">
        <v>8.6639999999999997</v>
      </c>
      <c r="BD30" s="2">
        <v>6.1634419999999999</v>
      </c>
      <c r="BE30" s="3">
        <v>10.45</v>
      </c>
      <c r="BF30" s="2">
        <v>-11.98086</v>
      </c>
      <c r="BG30" s="2">
        <v>29.293669999999999</v>
      </c>
      <c r="BH30" s="2">
        <v>37.743099999999998</v>
      </c>
      <c r="BI30" s="2">
        <v>43.91337</v>
      </c>
      <c r="BJ30" s="2">
        <v>40.216659999999997</v>
      </c>
      <c r="BK30" s="2">
        <v>14</v>
      </c>
      <c r="BL30" s="2">
        <v>14</v>
      </c>
      <c r="BM30" s="4">
        <v>18</v>
      </c>
      <c r="BN30" s="4">
        <v>0</v>
      </c>
      <c r="BO30" s="4">
        <v>0</v>
      </c>
      <c r="BP30" s="4">
        <v>18</v>
      </c>
      <c r="BQ30" s="2">
        <v>0</v>
      </c>
      <c r="BR30" s="4">
        <v>16</v>
      </c>
      <c r="BS30" s="4">
        <v>1</v>
      </c>
      <c r="BT30" s="4">
        <v>18</v>
      </c>
      <c r="BU30" s="2">
        <v>88.888890000000004</v>
      </c>
      <c r="BV30" s="2">
        <v>9.9002599999999994</v>
      </c>
      <c r="BW30" s="2">
        <v>249.33539999999999</v>
      </c>
      <c r="BX30" s="3">
        <v>0.86795679999999997</v>
      </c>
      <c r="BY30" s="3">
        <v>0.34810809999999998</v>
      </c>
      <c r="BZ30" s="2">
        <v>1.31839</v>
      </c>
      <c r="CA30" s="3">
        <v>0.34810809999999998</v>
      </c>
      <c r="CB30" s="3">
        <v>1.6727510000000001</v>
      </c>
      <c r="CC30" s="3">
        <v>1.572031</v>
      </c>
      <c r="CD30" s="2">
        <v>-6.0211949999999996</v>
      </c>
      <c r="CE30" s="3">
        <v>604.12630000000001</v>
      </c>
      <c r="CF30" s="3">
        <v>591.94320000000005</v>
      </c>
      <c r="CG30" s="2">
        <v>-2.0166460000000002</v>
      </c>
      <c r="CH30" s="3">
        <v>13.43235</v>
      </c>
      <c r="CI30" s="2">
        <v>-3.9632200000000002</v>
      </c>
      <c r="CJ30" s="3">
        <v>6810.9790000000003</v>
      </c>
      <c r="CK30" s="3">
        <v>6604.1610000000001</v>
      </c>
      <c r="CL30" s="2">
        <v>-3.0365350000000002</v>
      </c>
      <c r="CM30" s="3">
        <v>9.5585149999999999</v>
      </c>
      <c r="CN30" s="3">
        <v>9.0819620000000008</v>
      </c>
      <c r="CO30" s="3">
        <v>9.0213830000000002</v>
      </c>
      <c r="CP30" s="2">
        <v>-3.7716569999999998</v>
      </c>
      <c r="CQ30" s="2">
        <v>1.2776730000000001</v>
      </c>
      <c r="CR30" s="2">
        <v>1.9577500000000001</v>
      </c>
      <c r="CS30" s="2">
        <v>-4.9856369999999997</v>
      </c>
      <c r="CT30" s="2">
        <v>5.8307120000000001</v>
      </c>
      <c r="CU30" s="3">
        <v>0.25424020000000003</v>
      </c>
      <c r="CV30" s="2">
        <v>-0.9009009</v>
      </c>
      <c r="CW30" s="2">
        <v>-0.88293929999999998</v>
      </c>
      <c r="CX30" s="2">
        <v>2.537274</v>
      </c>
      <c r="CY30" s="2">
        <v>20.212119999999999</v>
      </c>
    </row>
    <row r="31" spans="1:103" ht="15" customHeight="1" x14ac:dyDescent="0.2">
      <c r="A31" s="1">
        <f t="shared" si="0"/>
        <v>25</v>
      </c>
      <c r="B31" s="1" t="s">
        <v>82</v>
      </c>
      <c r="C31" s="1" t="s">
        <v>81</v>
      </c>
      <c r="D31" s="1" t="s">
        <v>3</v>
      </c>
      <c r="E31" s="1" t="s">
        <v>83</v>
      </c>
      <c r="F31" s="2">
        <v>3692.3980000000001</v>
      </c>
      <c r="G31" s="2">
        <v>66.606499999999997</v>
      </c>
      <c r="H31" s="2">
        <v>2459.377</v>
      </c>
      <c r="I31" s="3">
        <v>7.86</v>
      </c>
      <c r="J31" s="3">
        <v>0</v>
      </c>
      <c r="K31" s="2">
        <v>15.139950000000001</v>
      </c>
      <c r="L31" s="2">
        <v>5.6244500000000004</v>
      </c>
      <c r="M31" s="2">
        <v>5.852417</v>
      </c>
      <c r="N31" s="2">
        <v>6.2340970000000002</v>
      </c>
      <c r="O31" s="2">
        <v>12.885249999999999</v>
      </c>
      <c r="P31" s="2">
        <v>13.1</v>
      </c>
      <c r="Q31" s="2">
        <v>12.36355</v>
      </c>
      <c r="R31" s="2">
        <v>11.731339999999999</v>
      </c>
      <c r="S31" s="2">
        <v>24.397189999999998</v>
      </c>
      <c r="T31" s="2">
        <v>21.58784</v>
      </c>
      <c r="U31" s="2">
        <v>20.049150000000001</v>
      </c>
      <c r="V31" s="2">
        <v>19.016639999999999</v>
      </c>
      <c r="W31" s="2">
        <v>0.53909470000000004</v>
      </c>
      <c r="X31" s="2">
        <v>0.59954240000000003</v>
      </c>
      <c r="Y31" s="2">
        <v>0.61502349999999995</v>
      </c>
      <c r="Z31" s="2">
        <v>0.6107226</v>
      </c>
      <c r="AA31" s="2">
        <v>13.5223</v>
      </c>
      <c r="AB31" s="2">
        <v>14.508430000000001</v>
      </c>
      <c r="AC31" s="2">
        <v>13.532030000000001</v>
      </c>
      <c r="AD31" s="2">
        <v>12.420450000000001</v>
      </c>
      <c r="AE31" s="2">
        <v>1.146979</v>
      </c>
      <c r="AF31" s="2">
        <v>1.478192</v>
      </c>
      <c r="AG31" s="2">
        <v>1.7720309999999999</v>
      </c>
      <c r="AH31" s="2">
        <v>2.4183979999999998</v>
      </c>
      <c r="AI31" s="2">
        <v>3.1506829999999999</v>
      </c>
      <c r="AJ31" s="2">
        <v>3.8330630000000001</v>
      </c>
      <c r="AK31" s="3" t="e">
        <v>#N/A</v>
      </c>
      <c r="AL31" s="3" t="e">
        <v>#N/A</v>
      </c>
      <c r="AM31" s="2">
        <v>72.453199999999995</v>
      </c>
      <c r="AN31" s="2">
        <v>75.919330000000002</v>
      </c>
      <c r="AO31" s="2">
        <v>76.593590000000006</v>
      </c>
      <c r="AP31" s="2">
        <v>77.388450000000006</v>
      </c>
      <c r="AQ31" s="2">
        <v>11.83755</v>
      </c>
      <c r="AR31" s="2">
        <v>11.34933</v>
      </c>
      <c r="AS31" s="2">
        <v>10.64278</v>
      </c>
      <c r="AT31" s="2">
        <v>10.22522</v>
      </c>
      <c r="AU31" s="1" t="s">
        <v>5</v>
      </c>
      <c r="AV31" s="3">
        <v>1.375</v>
      </c>
      <c r="AW31" s="3">
        <v>10.45</v>
      </c>
      <c r="AX31" s="2">
        <v>32.951650000000001</v>
      </c>
      <c r="AY31" s="2">
        <v>4.5766590000000003</v>
      </c>
      <c r="AZ31" s="2" t="e">
        <v>#N/A</v>
      </c>
      <c r="BA31" s="2">
        <v>-8.2847120000000007</v>
      </c>
      <c r="BB31" s="2">
        <v>-10.427339999999999</v>
      </c>
      <c r="BC31" s="3">
        <v>7.4349999999999996</v>
      </c>
      <c r="BD31" s="2">
        <v>5.7162050000000004</v>
      </c>
      <c r="BE31" s="3">
        <v>9.4450000000000003</v>
      </c>
      <c r="BF31" s="2">
        <v>-16.781359999999999</v>
      </c>
      <c r="BG31" s="2">
        <v>199.0436</v>
      </c>
      <c r="BH31" s="2">
        <v>74.683430000000001</v>
      </c>
      <c r="BI31" s="2">
        <v>73.236689999999996</v>
      </c>
      <c r="BJ31" s="2">
        <v>72.919079999999994</v>
      </c>
      <c r="BK31" s="2">
        <v>15</v>
      </c>
      <c r="BL31" s="2">
        <v>7</v>
      </c>
      <c r="BM31" s="4">
        <v>20</v>
      </c>
      <c r="BN31" s="4">
        <v>1</v>
      </c>
      <c r="BO31" s="4">
        <v>0</v>
      </c>
      <c r="BP31" s="4">
        <v>20</v>
      </c>
      <c r="BQ31" s="2">
        <v>4.7619049999999996</v>
      </c>
      <c r="BR31" s="4">
        <v>14</v>
      </c>
      <c r="BS31" s="4">
        <v>1</v>
      </c>
      <c r="BT31" s="4">
        <v>20</v>
      </c>
      <c r="BU31" s="2">
        <v>70</v>
      </c>
      <c r="BV31" s="2">
        <v>9.1686300000000003</v>
      </c>
      <c r="BW31" s="2">
        <v>469.77080000000001</v>
      </c>
      <c r="BX31" s="3">
        <v>0.69959760000000004</v>
      </c>
      <c r="BY31" s="3">
        <v>0.14892320000000001</v>
      </c>
      <c r="BZ31" s="2">
        <v>1.10954</v>
      </c>
      <c r="CA31" s="3">
        <v>0.14892320000000001</v>
      </c>
      <c r="CB31" s="3">
        <v>0.58251260000000005</v>
      </c>
      <c r="CC31" s="3">
        <v>0.59778620000000005</v>
      </c>
      <c r="CD31" s="2">
        <v>2.62202</v>
      </c>
      <c r="CE31" s="3">
        <v>358.9751</v>
      </c>
      <c r="CF31" s="3">
        <v>333.27629999999999</v>
      </c>
      <c r="CG31" s="2">
        <v>-7.1589349999999996</v>
      </c>
      <c r="CH31" s="3">
        <v>10.39235</v>
      </c>
      <c r="CI31" s="2">
        <v>0.55470470000000005</v>
      </c>
      <c r="CJ31" s="3">
        <v>474.5992</v>
      </c>
      <c r="CK31" s="3">
        <v>459.53719999999998</v>
      </c>
      <c r="CL31" s="2">
        <v>-3.1736140000000002</v>
      </c>
      <c r="CM31" s="3">
        <v>8.1576120000000003</v>
      </c>
      <c r="CN31" s="3">
        <v>7.9669610000000004</v>
      </c>
      <c r="CO31" s="3">
        <v>7.8361539999999996</v>
      </c>
      <c r="CP31" s="2">
        <v>-3.648269</v>
      </c>
      <c r="CQ31" s="2">
        <v>-1.3425590000000001</v>
      </c>
      <c r="CR31" s="2">
        <v>0.30430560000000001</v>
      </c>
      <c r="CS31" s="2">
        <v>-2.3370860000000002</v>
      </c>
      <c r="CT31" s="2">
        <v>4.3496139999999999</v>
      </c>
      <c r="CU31" s="3">
        <v>0.1177991</v>
      </c>
      <c r="CV31" s="2">
        <v>0</v>
      </c>
      <c r="CW31" s="2">
        <v>1.2392639999999999</v>
      </c>
      <c r="CX31" s="2">
        <v>86.816289999999995</v>
      </c>
      <c r="CY31" s="2">
        <v>20.464649999999999</v>
      </c>
    </row>
    <row r="32" spans="1:103" ht="15" customHeight="1" x14ac:dyDescent="0.2">
      <c r="A32" s="1">
        <f t="shared" si="0"/>
        <v>26</v>
      </c>
      <c r="B32" s="1" t="s">
        <v>85</v>
      </c>
      <c r="C32" s="1" t="s">
        <v>84</v>
      </c>
      <c r="D32" s="1" t="s">
        <v>3</v>
      </c>
      <c r="E32" s="1" t="s">
        <v>4</v>
      </c>
      <c r="F32" s="2">
        <v>2607.0459999999998</v>
      </c>
      <c r="G32" s="2">
        <v>43.174199999999999</v>
      </c>
      <c r="H32" s="2">
        <v>1125.5709999999999</v>
      </c>
      <c r="I32" s="3">
        <v>0.98199999999999998</v>
      </c>
      <c r="J32" s="3">
        <v>0</v>
      </c>
      <c r="K32" s="2">
        <v>5.0916499999999996</v>
      </c>
      <c r="L32" s="2">
        <v>6.9872199999999998</v>
      </c>
      <c r="M32" s="2">
        <v>8.1466390000000004</v>
      </c>
      <c r="N32" s="2">
        <v>9.1418029999999995</v>
      </c>
      <c r="O32" s="2">
        <v>10.7044</v>
      </c>
      <c r="P32" s="2">
        <v>7.5538460000000001</v>
      </c>
      <c r="Q32" s="2">
        <v>6.1375000000000002</v>
      </c>
      <c r="R32" s="2">
        <v>5.480245</v>
      </c>
      <c r="S32" s="2" t="e">
        <v>#N/A</v>
      </c>
      <c r="T32" s="2" t="e">
        <v>#N/A</v>
      </c>
      <c r="U32" s="2" t="e">
        <v>#N/A</v>
      </c>
      <c r="V32" s="2" t="e">
        <v>#N/A</v>
      </c>
      <c r="W32" s="2">
        <v>0.40411520000000001</v>
      </c>
      <c r="X32" s="2">
        <v>0.39367370000000002</v>
      </c>
      <c r="Y32" s="2">
        <v>0.38062020000000002</v>
      </c>
      <c r="Z32" s="2">
        <v>0.3656123</v>
      </c>
      <c r="AA32" s="2" t="e">
        <v>#N/A</v>
      </c>
      <c r="AB32" s="2" t="e">
        <v>#N/A</v>
      </c>
      <c r="AC32" s="2" t="e">
        <v>#N/A</v>
      </c>
      <c r="AD32" s="2" t="e">
        <v>#N/A</v>
      </c>
      <c r="AE32" s="2" t="e">
        <v>#N/A</v>
      </c>
      <c r="AF32" s="2" t="e">
        <v>#N/A</v>
      </c>
      <c r="AG32" s="2" t="e">
        <v>#N/A</v>
      </c>
      <c r="AH32" s="2" t="e">
        <v>#N/A</v>
      </c>
      <c r="AI32" s="2" t="e">
        <v>#N/A</v>
      </c>
      <c r="AJ32" s="2" t="e">
        <v>#N/A</v>
      </c>
      <c r="AK32" s="3">
        <v>0.3040814</v>
      </c>
      <c r="AL32" s="3">
        <v>0.2385998</v>
      </c>
      <c r="AM32" s="2" t="e">
        <v>#N/A</v>
      </c>
      <c r="AN32" s="2" t="e">
        <v>#N/A</v>
      </c>
      <c r="AO32" s="2" t="e">
        <v>#N/A</v>
      </c>
      <c r="AP32" s="2" t="e">
        <v>#N/A</v>
      </c>
      <c r="AQ32" s="2" t="e">
        <v>#N/A</v>
      </c>
      <c r="AR32" s="2" t="e">
        <v>#N/A</v>
      </c>
      <c r="AS32" s="2" t="e">
        <v>#N/A</v>
      </c>
      <c r="AT32" s="2" t="e">
        <v>#N/A</v>
      </c>
      <c r="AU32" s="1" t="s">
        <v>5</v>
      </c>
      <c r="AV32" s="3">
        <v>1.4375</v>
      </c>
      <c r="AW32" s="3">
        <v>1.355</v>
      </c>
      <c r="AX32" s="2">
        <v>37.983719999999998</v>
      </c>
      <c r="AY32" s="2">
        <v>5.2115650000000002</v>
      </c>
      <c r="AZ32" s="2">
        <v>23.85211</v>
      </c>
      <c r="BA32" s="2">
        <v>9.5982070000000004</v>
      </c>
      <c r="BB32" s="2">
        <v>-4.7526719999999996</v>
      </c>
      <c r="BC32" s="3">
        <v>0.879</v>
      </c>
      <c r="BD32" s="2">
        <v>11.71786</v>
      </c>
      <c r="BE32" s="3">
        <v>1.2569999999999999</v>
      </c>
      <c r="BF32" s="2">
        <v>-21.877490000000002</v>
      </c>
      <c r="BG32" s="2">
        <v>49.803489999999996</v>
      </c>
      <c r="BH32" s="2">
        <v>47.600639999999999</v>
      </c>
      <c r="BI32" s="2">
        <v>48.621989999999997</v>
      </c>
      <c r="BJ32" s="2">
        <v>50.335000000000001</v>
      </c>
      <c r="BK32" s="2">
        <v>15</v>
      </c>
      <c r="BL32" s="2">
        <v>12</v>
      </c>
      <c r="BM32" s="4">
        <v>16</v>
      </c>
      <c r="BN32" s="4">
        <v>0</v>
      </c>
      <c r="BO32" s="4">
        <v>0</v>
      </c>
      <c r="BP32" s="4">
        <v>15</v>
      </c>
      <c r="BQ32" s="2">
        <v>0</v>
      </c>
      <c r="BR32" s="4">
        <v>11</v>
      </c>
      <c r="BS32" s="4">
        <v>2</v>
      </c>
      <c r="BT32" s="4">
        <v>16</v>
      </c>
      <c r="BU32" s="2">
        <v>68.75</v>
      </c>
      <c r="BV32" s="2">
        <v>11.047800000000001</v>
      </c>
      <c r="BW32" s="2">
        <v>2654.8330000000001</v>
      </c>
      <c r="BX32" s="3">
        <v>7.9178790000000001</v>
      </c>
      <c r="BY32" s="3">
        <v>0.29824390000000001</v>
      </c>
      <c r="BZ32" s="2">
        <v>1.0633699999999999</v>
      </c>
      <c r="CA32" s="3">
        <v>0.29824390000000001</v>
      </c>
      <c r="CB32" s="3">
        <v>0.1451973</v>
      </c>
      <c r="CC32" s="3">
        <v>0.1353926</v>
      </c>
      <c r="CD32" s="2">
        <v>-6.7527290000000004</v>
      </c>
      <c r="CE32" s="3">
        <v>892.11400000000003</v>
      </c>
      <c r="CF32" s="3">
        <v>882.62099999999998</v>
      </c>
      <c r="CG32" s="2">
        <v>-1.064098</v>
      </c>
      <c r="CH32" s="3">
        <v>1.368125</v>
      </c>
      <c r="CI32" s="2">
        <v>-0.95933679999999999</v>
      </c>
      <c r="CJ32" s="3">
        <v>1746.923</v>
      </c>
      <c r="CK32" s="3">
        <v>1747.498</v>
      </c>
      <c r="CL32" s="2">
        <v>3.293753E-2</v>
      </c>
      <c r="CM32" s="3">
        <v>1.0175970000000001</v>
      </c>
      <c r="CN32" s="3">
        <v>1.0105489999999999</v>
      </c>
      <c r="CO32" s="3">
        <v>1.00925</v>
      </c>
      <c r="CP32" s="2">
        <v>-3.4981490000000002</v>
      </c>
      <c r="CQ32" s="2">
        <v>-2.825081</v>
      </c>
      <c r="CR32" s="2">
        <v>-2.7000310000000001</v>
      </c>
      <c r="CS32" s="2">
        <v>-0.69263580000000002</v>
      </c>
      <c r="CT32" s="2">
        <v>11.32283</v>
      </c>
      <c r="CU32" s="3">
        <v>0.43431619999999999</v>
      </c>
      <c r="CV32" s="2">
        <v>-16.66667</v>
      </c>
      <c r="CW32" s="2">
        <v>1.8888940000000001</v>
      </c>
      <c r="CX32" s="2">
        <v>2.598373</v>
      </c>
      <c r="CY32" s="2">
        <v>20.707070000000002</v>
      </c>
    </row>
    <row r="33" spans="1:103" ht="15" customHeight="1" x14ac:dyDescent="0.2">
      <c r="A33" s="1">
        <f t="shared" si="0"/>
        <v>27</v>
      </c>
      <c r="B33" s="1" t="s">
        <v>87</v>
      </c>
      <c r="C33" s="1" t="s">
        <v>86</v>
      </c>
      <c r="D33" s="1" t="s">
        <v>19</v>
      </c>
      <c r="E33" s="1" t="s">
        <v>20</v>
      </c>
      <c r="F33" s="2">
        <v>24245.87</v>
      </c>
      <c r="G33" s="2">
        <v>99.017099999999999</v>
      </c>
      <c r="H33" s="2">
        <v>24007.55</v>
      </c>
      <c r="I33" s="3">
        <v>53.82</v>
      </c>
      <c r="J33" s="3">
        <v>0</v>
      </c>
      <c r="K33" s="2">
        <v>1.374954</v>
      </c>
      <c r="L33" s="2">
        <v>2.06243</v>
      </c>
      <c r="M33" s="2">
        <v>2.5919729999999999</v>
      </c>
      <c r="N33" s="2">
        <v>2.9078409999999999</v>
      </c>
      <c r="O33" s="2">
        <v>32.618180000000002</v>
      </c>
      <c r="P33" s="2">
        <v>22.75882</v>
      </c>
      <c r="Q33" s="2">
        <v>18.834050000000001</v>
      </c>
      <c r="R33" s="2">
        <v>16.45872</v>
      </c>
      <c r="S33" s="2">
        <v>14.806850000000001</v>
      </c>
      <c r="T33" s="2">
        <v>12.800829999999999</v>
      </c>
      <c r="U33" s="2">
        <v>10.43882</v>
      </c>
      <c r="V33" s="2">
        <v>9.3163090000000004</v>
      </c>
      <c r="W33" s="2">
        <v>5.2903969999999996</v>
      </c>
      <c r="X33" s="2">
        <v>4.8139529999999997</v>
      </c>
      <c r="Y33" s="2">
        <v>4.2953140000000003</v>
      </c>
      <c r="Z33" s="2">
        <v>3.6913580000000001</v>
      </c>
      <c r="AA33" s="2">
        <v>17.52224</v>
      </c>
      <c r="AB33" s="2">
        <v>14.75614</v>
      </c>
      <c r="AC33" s="2">
        <v>12.509169999999999</v>
      </c>
      <c r="AD33" s="2">
        <v>11.247439999999999</v>
      </c>
      <c r="AE33" s="2">
        <v>4.0045169999999999</v>
      </c>
      <c r="AF33" s="2">
        <v>5.1741650000000003</v>
      </c>
      <c r="AG33" s="2">
        <v>5.8321009999999998</v>
      </c>
      <c r="AH33" s="2">
        <v>4.337898</v>
      </c>
      <c r="AI33" s="2">
        <v>5.4154419999999996</v>
      </c>
      <c r="AJ33" s="2">
        <v>5.939622</v>
      </c>
      <c r="AK33" s="3">
        <v>0.90089229999999998</v>
      </c>
      <c r="AL33" s="3">
        <v>0.73044260000000005</v>
      </c>
      <c r="AM33" s="2">
        <v>36.558999999999997</v>
      </c>
      <c r="AN33" s="2">
        <v>37.475250000000003</v>
      </c>
      <c r="AO33" s="2">
        <v>39.266210000000001</v>
      </c>
      <c r="AP33" s="2">
        <v>39.567219999999999</v>
      </c>
      <c r="AQ33" s="2">
        <v>1.4704269999999999</v>
      </c>
      <c r="AR33" s="2">
        <v>0.98378489999999996</v>
      </c>
      <c r="AS33" s="2">
        <v>0.46508509999999997</v>
      </c>
      <c r="AT33" s="2">
        <v>0.16864750000000001</v>
      </c>
      <c r="AU33" s="1" t="s">
        <v>37</v>
      </c>
      <c r="AV33" s="3">
        <v>1.58</v>
      </c>
      <c r="AW33" s="3">
        <v>73.386690000000002</v>
      </c>
      <c r="AX33" s="2">
        <v>36.355789999999999</v>
      </c>
      <c r="AY33" s="2">
        <v>21.15204</v>
      </c>
      <c r="AZ33" s="2">
        <v>27.576609999999999</v>
      </c>
      <c r="BA33" s="2">
        <v>2.047777</v>
      </c>
      <c r="BB33" s="2">
        <v>10.854789999999999</v>
      </c>
      <c r="BC33" s="3">
        <v>48.36</v>
      </c>
      <c r="BD33" s="2">
        <v>11.290319999999999</v>
      </c>
      <c r="BE33" s="3">
        <v>70.22</v>
      </c>
      <c r="BF33" s="2">
        <v>-23.355180000000001</v>
      </c>
      <c r="BG33" s="2">
        <v>30.160869999999999</v>
      </c>
      <c r="BH33" s="2">
        <v>44.989199999999997</v>
      </c>
      <c r="BI33" s="2">
        <v>45.938070000000003</v>
      </c>
      <c r="BJ33" s="2">
        <v>46.567120000000003</v>
      </c>
      <c r="BK33" s="2">
        <v>22</v>
      </c>
      <c r="BL33" s="2">
        <v>21</v>
      </c>
      <c r="BM33" s="4">
        <v>25</v>
      </c>
      <c r="BN33" s="4">
        <v>1</v>
      </c>
      <c r="BO33" s="4">
        <v>1</v>
      </c>
      <c r="BP33" s="4">
        <v>24</v>
      </c>
      <c r="BQ33" s="2">
        <v>3.8461539999999999</v>
      </c>
      <c r="BR33" s="4">
        <v>13</v>
      </c>
      <c r="BS33" s="4">
        <v>1</v>
      </c>
      <c r="BT33" s="4">
        <v>25</v>
      </c>
      <c r="BU33" s="2">
        <v>52</v>
      </c>
      <c r="BV33" s="2">
        <v>9.8404199999999999</v>
      </c>
      <c r="BW33" s="2">
        <v>450.49919999999997</v>
      </c>
      <c r="BX33" s="3">
        <v>0.74331429999999998</v>
      </c>
      <c r="BY33" s="3">
        <v>0.1649979</v>
      </c>
      <c r="BZ33" s="2">
        <v>1.36842</v>
      </c>
      <c r="CA33" s="3">
        <v>0.1649979</v>
      </c>
      <c r="CB33" s="3">
        <v>2.4000279999999998</v>
      </c>
      <c r="CC33" s="3">
        <v>2.3661910000000002</v>
      </c>
      <c r="CD33" s="2">
        <v>-1.409853</v>
      </c>
      <c r="CE33" s="3">
        <v>1456.221</v>
      </c>
      <c r="CF33" s="3">
        <v>1441.3489999999999</v>
      </c>
      <c r="CG33" s="2">
        <v>-1.0212600000000001</v>
      </c>
      <c r="CH33" s="3">
        <v>70.449569999999994</v>
      </c>
      <c r="CI33" s="2">
        <v>4.1691060000000002</v>
      </c>
      <c r="CJ33" s="3">
        <v>5492.5749999999998</v>
      </c>
      <c r="CK33" s="3">
        <v>5475.3509999999997</v>
      </c>
      <c r="CL33" s="2">
        <v>-0.31358000000000003</v>
      </c>
      <c r="CM33" s="3">
        <v>62.223080000000003</v>
      </c>
      <c r="CN33" s="3">
        <v>58.972549999999998</v>
      </c>
      <c r="CO33" s="3">
        <v>55.892319999999998</v>
      </c>
      <c r="CP33" s="2">
        <v>-13.504759999999999</v>
      </c>
      <c r="CQ33" s="2">
        <v>-8.7371940000000006</v>
      </c>
      <c r="CR33" s="2">
        <v>-3.7077010000000001</v>
      </c>
      <c r="CS33" s="2">
        <v>-5.2239950000000004</v>
      </c>
      <c r="CT33" s="2">
        <v>40.103659999999998</v>
      </c>
      <c r="CU33" s="3">
        <v>0.1654041</v>
      </c>
      <c r="CV33" s="2">
        <v>1.2698830000000001</v>
      </c>
      <c r="CW33" s="2">
        <v>0.2457278</v>
      </c>
      <c r="CX33" s="2">
        <v>0.2191592</v>
      </c>
      <c r="CY33" s="2">
        <v>20.85859</v>
      </c>
    </row>
    <row r="34" spans="1:103" ht="15" customHeight="1" x14ac:dyDescent="0.2">
      <c r="A34" s="1">
        <f t="shared" si="0"/>
        <v>28</v>
      </c>
      <c r="B34" s="1" t="s">
        <v>89</v>
      </c>
      <c r="C34" s="1" t="s">
        <v>88</v>
      </c>
      <c r="D34" s="1" t="s">
        <v>35</v>
      </c>
      <c r="E34" s="1" t="s">
        <v>36</v>
      </c>
      <c r="F34" s="2">
        <v>25888.69</v>
      </c>
      <c r="G34" s="2">
        <v>12.861499999999999</v>
      </c>
      <c r="H34" s="2">
        <v>3329.674</v>
      </c>
      <c r="I34" s="3">
        <v>26.7</v>
      </c>
      <c r="J34" s="3">
        <v>0</v>
      </c>
      <c r="K34" s="2">
        <v>4.4943819999999999</v>
      </c>
      <c r="L34" s="2">
        <v>5.2434450000000004</v>
      </c>
      <c r="M34" s="2">
        <v>5.2434450000000004</v>
      </c>
      <c r="N34" s="2">
        <v>5.2434450000000004</v>
      </c>
      <c r="O34" s="2">
        <v>15.69665</v>
      </c>
      <c r="P34" s="2">
        <v>13.492929999999999</v>
      </c>
      <c r="Q34" s="2">
        <v>15.17338</v>
      </c>
      <c r="R34" s="2">
        <v>15.798819999999999</v>
      </c>
      <c r="S34" s="2">
        <v>7.244008</v>
      </c>
      <c r="T34" s="2">
        <v>7.2916239999999997</v>
      </c>
      <c r="U34" s="2">
        <v>8.0462089999999993</v>
      </c>
      <c r="V34" s="2">
        <v>8.3584990000000001</v>
      </c>
      <c r="W34" s="2">
        <v>3.4230770000000001</v>
      </c>
      <c r="X34" s="2">
        <v>3.1430250000000002</v>
      </c>
      <c r="Y34" s="2">
        <v>3.013544</v>
      </c>
      <c r="Z34" s="2">
        <v>2.9244249999999998</v>
      </c>
      <c r="AA34" s="2">
        <v>8.3172859999999993</v>
      </c>
      <c r="AB34" s="2">
        <v>6.8913929999999999</v>
      </c>
      <c r="AC34" s="2">
        <v>7.3957839999999999</v>
      </c>
      <c r="AD34" s="2">
        <v>7.4781009999999997</v>
      </c>
      <c r="AE34" s="2">
        <v>2.5197020000000001</v>
      </c>
      <c r="AF34" s="2">
        <v>1.2415449999999999</v>
      </c>
      <c r="AG34" s="2">
        <v>1.13798</v>
      </c>
      <c r="AH34" s="2">
        <v>3.7538670000000001</v>
      </c>
      <c r="AI34" s="2">
        <v>1.912704</v>
      </c>
      <c r="AJ34" s="2">
        <v>1.8229120000000001</v>
      </c>
      <c r="AK34" s="3" t="e">
        <v>#N/A</v>
      </c>
      <c r="AL34" s="3" t="e">
        <v>#N/A</v>
      </c>
      <c r="AM34" s="2">
        <v>14.585599999999999</v>
      </c>
      <c r="AN34" s="2">
        <v>17.92933</v>
      </c>
      <c r="AO34" s="2">
        <v>19.249079999999999</v>
      </c>
      <c r="AP34" s="2">
        <v>21.021519999999999</v>
      </c>
      <c r="AQ34" s="2">
        <v>2.4859710000000002</v>
      </c>
      <c r="AR34" s="2">
        <v>2.3972790000000002</v>
      </c>
      <c r="AS34" s="2">
        <v>2.8233769999999998</v>
      </c>
      <c r="AT34" s="2">
        <v>3.1405829999999999</v>
      </c>
      <c r="AU34" s="1" t="s">
        <v>90</v>
      </c>
      <c r="AV34" s="3">
        <v>2.6315789999999999</v>
      </c>
      <c r="AW34" s="3">
        <v>24.8</v>
      </c>
      <c r="AX34" s="2">
        <v>-7.1161089999999998</v>
      </c>
      <c r="AY34" s="2">
        <v>23.293869999999998</v>
      </c>
      <c r="AZ34" s="2" t="e">
        <v>#N/A</v>
      </c>
      <c r="BA34" s="2">
        <v>2.8505440000000002</v>
      </c>
      <c r="BB34" s="2">
        <v>9.8313450000000007</v>
      </c>
      <c r="BC34" s="3">
        <v>24.09</v>
      </c>
      <c r="BD34" s="2">
        <v>10.83437</v>
      </c>
      <c r="BE34" s="3">
        <v>28.88</v>
      </c>
      <c r="BF34" s="2">
        <v>-7.54847</v>
      </c>
      <c r="BG34" s="2">
        <v>70.644419999999997</v>
      </c>
      <c r="BH34" s="2">
        <v>71.088489999999993</v>
      </c>
      <c r="BI34" s="2">
        <v>77.976100000000002</v>
      </c>
      <c r="BJ34" s="2">
        <v>75.192189999999997</v>
      </c>
      <c r="BK34" s="2">
        <v>14</v>
      </c>
      <c r="BL34" s="2">
        <v>13</v>
      </c>
      <c r="BM34" s="4">
        <v>19</v>
      </c>
      <c r="BN34" s="4">
        <v>0</v>
      </c>
      <c r="BO34" s="4">
        <v>1</v>
      </c>
      <c r="BP34" s="4">
        <v>17</v>
      </c>
      <c r="BQ34" s="2">
        <v>0</v>
      </c>
      <c r="BR34" s="4">
        <v>0</v>
      </c>
      <c r="BS34" s="4">
        <v>13</v>
      </c>
      <c r="BT34" s="4">
        <v>19</v>
      </c>
      <c r="BU34" s="2">
        <v>0</v>
      </c>
      <c r="BV34" s="2">
        <v>7.5205000000000002</v>
      </c>
      <c r="BW34" s="2">
        <v>969.61379999999997</v>
      </c>
      <c r="BX34" s="3">
        <v>0.33804459999999997</v>
      </c>
      <c r="BY34" s="3">
        <v>3.486384E-2</v>
      </c>
      <c r="BZ34" s="2">
        <v>0.68432899999999997</v>
      </c>
      <c r="CA34" s="3">
        <v>3.486384E-2</v>
      </c>
      <c r="CB34" s="3">
        <v>1.9312339999999999</v>
      </c>
      <c r="CC34" s="3">
        <v>1.993182</v>
      </c>
      <c r="CD34" s="2">
        <v>3.2076950000000002</v>
      </c>
      <c r="CE34" s="3">
        <v>3365.924</v>
      </c>
      <c r="CF34" s="3">
        <v>3432.7069999999999</v>
      </c>
      <c r="CG34" s="2">
        <v>1.9840960000000001</v>
      </c>
      <c r="CH34" s="3">
        <v>24.81</v>
      </c>
      <c r="CI34" s="2">
        <v>-4.0304659999999999E-2</v>
      </c>
      <c r="CJ34" s="3">
        <v>30124.2</v>
      </c>
      <c r="CK34" s="3">
        <v>30018.11</v>
      </c>
      <c r="CL34" s="2">
        <v>-0.35217999999999999</v>
      </c>
      <c r="CM34" s="3">
        <v>26.794730000000001</v>
      </c>
      <c r="CN34" s="3">
        <v>26.325880000000002</v>
      </c>
      <c r="CO34" s="3">
        <v>26.025390000000002</v>
      </c>
      <c r="CP34" s="2">
        <v>-0.35353299999999999</v>
      </c>
      <c r="CQ34" s="2">
        <v>1.4210940000000001</v>
      </c>
      <c r="CR34" s="2">
        <v>2.5921340000000002</v>
      </c>
      <c r="CS34" s="2">
        <v>-1.7497659999999999</v>
      </c>
      <c r="CT34" s="2">
        <v>7.9103700000000003</v>
      </c>
      <c r="CU34" s="3">
        <v>3.0555309999999999E-2</v>
      </c>
      <c r="CV34" s="2">
        <v>6.0880049999999999</v>
      </c>
      <c r="CW34" s="2" t="e">
        <v>#N/A</v>
      </c>
      <c r="CX34" s="2" t="e">
        <v>#N/A</v>
      </c>
      <c r="CY34" s="2">
        <v>21.11111</v>
      </c>
    </row>
    <row r="35" spans="1:103" ht="15" customHeight="1" x14ac:dyDescent="0.2">
      <c r="A35" s="1">
        <f t="shared" si="0"/>
        <v>29</v>
      </c>
      <c r="B35" s="1" t="s">
        <v>92</v>
      </c>
      <c r="C35" s="1" t="s">
        <v>91</v>
      </c>
      <c r="D35" s="1" t="s">
        <v>44</v>
      </c>
      <c r="E35" s="1" t="s">
        <v>45</v>
      </c>
      <c r="F35" s="2">
        <v>7956.5820000000003</v>
      </c>
      <c r="G35" s="2">
        <v>69.720699999999994</v>
      </c>
      <c r="H35" s="2">
        <v>5547.384</v>
      </c>
      <c r="I35" s="3">
        <v>14.705</v>
      </c>
      <c r="J35" s="3">
        <v>0</v>
      </c>
      <c r="K35" s="2">
        <v>6.800408</v>
      </c>
      <c r="L35" s="2">
        <v>6.800408</v>
      </c>
      <c r="M35" s="2">
        <v>5.4403259999999998</v>
      </c>
      <c r="N35" s="2">
        <v>5.4403259999999998</v>
      </c>
      <c r="O35" s="2">
        <v>11.95528</v>
      </c>
      <c r="P35" s="2">
        <v>11.96993</v>
      </c>
      <c r="Q35" s="2">
        <v>15.81183</v>
      </c>
      <c r="R35" s="2">
        <v>15.453469999999999</v>
      </c>
      <c r="S35" s="2">
        <v>9.0086940000000002</v>
      </c>
      <c r="T35" s="2">
        <v>8.7656290000000006</v>
      </c>
      <c r="U35" s="2">
        <v>10.057219999999999</v>
      </c>
      <c r="V35" s="2">
        <v>9.9603750000000009</v>
      </c>
      <c r="W35" s="2">
        <v>1.6614120000000001</v>
      </c>
      <c r="X35" s="2">
        <v>1.620377</v>
      </c>
      <c r="Y35" s="2">
        <v>1.6212789999999999</v>
      </c>
      <c r="Z35" s="2">
        <v>1.5966340000000001</v>
      </c>
      <c r="AA35" s="2">
        <v>6.5969769999999999</v>
      </c>
      <c r="AB35" s="2">
        <v>6.606204</v>
      </c>
      <c r="AC35" s="2">
        <v>7.5391310000000002</v>
      </c>
      <c r="AD35" s="2">
        <v>7.3894469999999997</v>
      </c>
      <c r="AE35" s="2">
        <v>-1.0005550000000001</v>
      </c>
      <c r="AF35" s="2">
        <v>0.57308959999999998</v>
      </c>
      <c r="AG35" s="2">
        <v>0.1205585</v>
      </c>
      <c r="AH35" s="2">
        <v>-1.680998</v>
      </c>
      <c r="AI35" s="2">
        <v>0.98911819999999995</v>
      </c>
      <c r="AJ35" s="2">
        <v>0.21475929999999999</v>
      </c>
      <c r="AK35" s="3" t="e">
        <v>#N/A</v>
      </c>
      <c r="AL35" s="3" t="e">
        <v>#N/A</v>
      </c>
      <c r="AM35" s="2">
        <v>73.99503</v>
      </c>
      <c r="AN35" s="2">
        <v>73.785079999999994</v>
      </c>
      <c r="AO35" s="2">
        <v>72.207560000000001</v>
      </c>
      <c r="AP35" s="2">
        <v>73.274979999999999</v>
      </c>
      <c r="AQ35" s="2">
        <v>3.1079810000000001</v>
      </c>
      <c r="AR35" s="2">
        <v>3.548197</v>
      </c>
      <c r="AS35" s="2">
        <v>4.2301229999999999</v>
      </c>
      <c r="AT35" s="2">
        <v>4.3689600000000004</v>
      </c>
      <c r="AU35" s="1" t="s">
        <v>46</v>
      </c>
      <c r="AV35" s="3">
        <v>2.1666669999999999</v>
      </c>
      <c r="AW35" s="3">
        <v>16.3</v>
      </c>
      <c r="AX35" s="2">
        <v>10.84665</v>
      </c>
      <c r="AY35" s="2">
        <v>13.53706</v>
      </c>
      <c r="AZ35" s="2">
        <v>-8.3000000000000007</v>
      </c>
      <c r="BA35" s="2">
        <v>-10.061159999999999</v>
      </c>
      <c r="BB35" s="2">
        <v>-9.563345</v>
      </c>
      <c r="BC35" s="3">
        <v>14.404999999999999</v>
      </c>
      <c r="BD35" s="2">
        <v>2.0826099999999999</v>
      </c>
      <c r="BE35" s="3">
        <v>17.899999999999999</v>
      </c>
      <c r="BF35" s="2">
        <v>-17.849160000000001</v>
      </c>
      <c r="BG35" s="2">
        <v>81.394409999999993</v>
      </c>
      <c r="BH35" s="2">
        <v>79.888630000000006</v>
      </c>
      <c r="BI35" s="2">
        <v>88.125209999999996</v>
      </c>
      <c r="BJ35" s="2">
        <v>86.056950000000001</v>
      </c>
      <c r="BK35" s="2">
        <v>13</v>
      </c>
      <c r="BL35" s="2">
        <v>12</v>
      </c>
      <c r="BM35" s="4">
        <v>18</v>
      </c>
      <c r="BN35" s="4">
        <v>2</v>
      </c>
      <c r="BO35" s="4">
        <v>0</v>
      </c>
      <c r="BP35" s="4">
        <v>16</v>
      </c>
      <c r="BQ35" s="2">
        <v>11.11111</v>
      </c>
      <c r="BR35" s="4">
        <v>3</v>
      </c>
      <c r="BS35" s="4">
        <v>6</v>
      </c>
      <c r="BT35" s="4">
        <v>18</v>
      </c>
      <c r="BU35" s="2">
        <v>16.66667</v>
      </c>
      <c r="BV35" s="2">
        <v>5.5798699999999997</v>
      </c>
      <c r="BW35" s="2">
        <v>541.08000000000004</v>
      </c>
      <c r="BX35" s="3">
        <v>1.1341129999999999</v>
      </c>
      <c r="BY35" s="3">
        <v>0.2096017</v>
      </c>
      <c r="BZ35" s="2">
        <v>0.48440499999999997</v>
      </c>
      <c r="CA35" s="3">
        <v>0.2096017</v>
      </c>
      <c r="CB35" s="3">
        <v>1.221954</v>
      </c>
      <c r="CC35" s="3">
        <v>1.2289840000000001</v>
      </c>
      <c r="CD35" s="2">
        <v>0.57530400000000004</v>
      </c>
      <c r="CE35" s="3">
        <v>994.6232</v>
      </c>
      <c r="CF35" s="3">
        <v>989.29830000000004</v>
      </c>
      <c r="CG35" s="2">
        <v>-0.53536890000000004</v>
      </c>
      <c r="CH35" s="3">
        <v>16.732220000000002</v>
      </c>
      <c r="CI35" s="2">
        <v>-2.5831759999999999</v>
      </c>
      <c r="CJ35" s="3">
        <v>2084.0940000000001</v>
      </c>
      <c r="CK35" s="3">
        <v>2082.4969999999998</v>
      </c>
      <c r="CL35" s="2">
        <v>-7.666945E-2</v>
      </c>
      <c r="CM35" s="3">
        <v>15.636290000000001</v>
      </c>
      <c r="CN35" s="3">
        <v>14.94167</v>
      </c>
      <c r="CO35" s="3">
        <v>14.860379999999999</v>
      </c>
      <c r="CP35" s="2">
        <v>-5.9559350000000002</v>
      </c>
      <c r="CQ35" s="2">
        <v>-1.583934</v>
      </c>
      <c r="CR35" s="2">
        <v>-1.0456259999999999</v>
      </c>
      <c r="CS35" s="2">
        <v>-4.4423640000000004</v>
      </c>
      <c r="CT35" s="2">
        <v>14.915179999999999</v>
      </c>
      <c r="CU35" s="3">
        <v>0.18745709999999999</v>
      </c>
      <c r="CV35" s="2">
        <v>0.3527169</v>
      </c>
      <c r="CW35" s="2">
        <v>-3.5228389999999998</v>
      </c>
      <c r="CX35" s="2" t="e">
        <v>#N/A</v>
      </c>
      <c r="CY35" s="2">
        <v>21.383839999999999</v>
      </c>
    </row>
    <row r="36" spans="1:103" ht="15" customHeight="1" x14ac:dyDescent="0.2">
      <c r="A36" s="1">
        <f t="shared" si="0"/>
        <v>30</v>
      </c>
      <c r="B36" s="1" t="s">
        <v>94</v>
      </c>
      <c r="C36" s="1" t="s">
        <v>93</v>
      </c>
      <c r="D36" s="1" t="s">
        <v>3</v>
      </c>
      <c r="E36" s="1" t="s">
        <v>83</v>
      </c>
      <c r="F36" s="2">
        <v>2854.567</v>
      </c>
      <c r="G36" s="2">
        <v>43.915599999999998</v>
      </c>
      <c r="H36" s="2">
        <v>1253.5999999999999</v>
      </c>
      <c r="I36" s="3">
        <v>5.29</v>
      </c>
      <c r="J36" s="3">
        <v>0</v>
      </c>
      <c r="K36" s="2">
        <v>4.5368620000000002</v>
      </c>
      <c r="L36" s="2">
        <v>4.7258979999999999</v>
      </c>
      <c r="M36" s="2">
        <v>5.2930060000000001</v>
      </c>
      <c r="N36" s="2">
        <v>5.4820409999999997</v>
      </c>
      <c r="O36" s="2">
        <v>17.72972</v>
      </c>
      <c r="P36" s="2">
        <v>16.982340000000001</v>
      </c>
      <c r="Q36" s="2">
        <v>15.558820000000001</v>
      </c>
      <c r="R36" s="2">
        <v>15.11429</v>
      </c>
      <c r="S36" s="2">
        <v>30.312380000000001</v>
      </c>
      <c r="T36" s="2">
        <v>25.205719999999999</v>
      </c>
      <c r="U36" s="2">
        <v>23.503969999999999</v>
      </c>
      <c r="V36" s="2">
        <v>22.09862</v>
      </c>
      <c r="W36" s="2">
        <v>0.4636284</v>
      </c>
      <c r="X36" s="2">
        <v>0.53651119999999997</v>
      </c>
      <c r="Y36" s="2">
        <v>0.58036200000000004</v>
      </c>
      <c r="Z36" s="2">
        <v>0.57593899999999998</v>
      </c>
      <c r="AA36" s="2">
        <v>25.26763</v>
      </c>
      <c r="AB36" s="2">
        <v>12.90244</v>
      </c>
      <c r="AC36" s="2">
        <v>12.30233</v>
      </c>
      <c r="AD36" s="2">
        <v>12.022729999999999</v>
      </c>
      <c r="AE36" s="2">
        <v>5.6471349999999996</v>
      </c>
      <c r="AF36" s="2">
        <v>2.8990900000000002</v>
      </c>
      <c r="AG36" s="2">
        <v>2.7093410000000002</v>
      </c>
      <c r="AH36" s="2">
        <v>15.407970000000001</v>
      </c>
      <c r="AI36" s="2">
        <v>7.9130940000000001</v>
      </c>
      <c r="AJ36" s="2">
        <v>7.3515119999999996</v>
      </c>
      <c r="AK36" s="3" t="e">
        <v>#N/A</v>
      </c>
      <c r="AL36" s="3" t="e">
        <v>#N/A</v>
      </c>
      <c r="AM36" s="2">
        <v>79.436610000000002</v>
      </c>
      <c r="AN36" s="2">
        <v>81.530339999999995</v>
      </c>
      <c r="AO36" s="2">
        <v>81.637339999999995</v>
      </c>
      <c r="AP36" s="2">
        <v>81.383589999999998</v>
      </c>
      <c r="AQ36" s="2">
        <v>18.812059999999999</v>
      </c>
      <c r="AR36" s="2">
        <v>15.967639999999999</v>
      </c>
      <c r="AS36" s="2">
        <v>14.892910000000001</v>
      </c>
      <c r="AT36" s="2">
        <v>13.95435</v>
      </c>
      <c r="AU36" s="1" t="s">
        <v>5</v>
      </c>
      <c r="AV36" s="3">
        <v>1.5</v>
      </c>
      <c r="AW36" s="3">
        <v>6.8</v>
      </c>
      <c r="AX36" s="2">
        <v>28.544429999999998</v>
      </c>
      <c r="AY36" s="2">
        <v>3.15923</v>
      </c>
      <c r="AZ36" s="2" t="e">
        <v>#N/A</v>
      </c>
      <c r="BA36" s="2">
        <v>-0.84348920000000005</v>
      </c>
      <c r="BB36" s="2">
        <v>-11.980040000000001</v>
      </c>
      <c r="BC36" s="3">
        <v>4.9020000000000001</v>
      </c>
      <c r="BD36" s="2">
        <v>7.9151389999999999</v>
      </c>
      <c r="BE36" s="3">
        <v>7.01</v>
      </c>
      <c r="BF36" s="2">
        <v>-24.536380000000001</v>
      </c>
      <c r="BG36" s="2">
        <v>83.793779999999998</v>
      </c>
      <c r="BH36" s="2">
        <v>81.828990000000005</v>
      </c>
      <c r="BI36" s="2">
        <v>79.463790000000003</v>
      </c>
      <c r="BJ36" s="2">
        <v>79.390839999999997</v>
      </c>
      <c r="BK36" s="2">
        <v>12</v>
      </c>
      <c r="BL36" s="2">
        <v>4</v>
      </c>
      <c r="BM36" s="4">
        <v>15</v>
      </c>
      <c r="BN36" s="4">
        <v>2</v>
      </c>
      <c r="BO36" s="4">
        <v>0</v>
      </c>
      <c r="BP36" s="4">
        <v>13</v>
      </c>
      <c r="BQ36" s="2">
        <v>13.33333</v>
      </c>
      <c r="BR36" s="4">
        <v>9</v>
      </c>
      <c r="BS36" s="4">
        <v>1</v>
      </c>
      <c r="BT36" s="4">
        <v>15</v>
      </c>
      <c r="BU36" s="2">
        <v>60</v>
      </c>
      <c r="BV36" s="2">
        <v>9.1655300000000004</v>
      </c>
      <c r="BW36" s="2">
        <v>539.61559999999997</v>
      </c>
      <c r="BX36" s="3">
        <v>1.079407</v>
      </c>
      <c r="BY36" s="3">
        <v>0.2000325</v>
      </c>
      <c r="BZ36" s="2">
        <v>1.2924100000000001</v>
      </c>
      <c r="CA36" s="3">
        <v>0.2000325</v>
      </c>
      <c r="CB36" s="3">
        <v>0.30726170000000003</v>
      </c>
      <c r="CC36" s="3">
        <v>0.3116255</v>
      </c>
      <c r="CD36" s="2">
        <v>1.4202239999999999</v>
      </c>
      <c r="CE36" s="3">
        <v>296.36540000000002</v>
      </c>
      <c r="CF36" s="3">
        <v>301.2466</v>
      </c>
      <c r="CG36" s="2">
        <v>1.6470309999999999</v>
      </c>
      <c r="CH36" s="3">
        <v>7.1518750000000004</v>
      </c>
      <c r="CI36" s="2">
        <v>-4.9200350000000004</v>
      </c>
      <c r="CJ36" s="3">
        <v>381.37049999999999</v>
      </c>
      <c r="CK36" s="3">
        <v>379.21039999999999</v>
      </c>
      <c r="CL36" s="2">
        <v>-0.56639309999999998</v>
      </c>
      <c r="CM36" s="3">
        <v>5.7488380000000001</v>
      </c>
      <c r="CN36" s="3">
        <v>5.3710000000000004</v>
      </c>
      <c r="CO36" s="3">
        <v>5.2450390000000002</v>
      </c>
      <c r="CP36" s="2">
        <v>-7.981414</v>
      </c>
      <c r="CQ36" s="2">
        <v>-1.5080990000000001</v>
      </c>
      <c r="CR36" s="2">
        <v>0.85722209999999999</v>
      </c>
      <c r="CS36" s="2">
        <v>-6.5724320000000001</v>
      </c>
      <c r="CT36" s="2">
        <v>5.2998419999999999</v>
      </c>
      <c r="CU36" s="3">
        <v>0.18566189999999999</v>
      </c>
      <c r="CV36" s="2">
        <v>18.75</v>
      </c>
      <c r="CW36" s="2">
        <v>-1.408272</v>
      </c>
      <c r="CX36" s="2">
        <v>-41.299619999999997</v>
      </c>
      <c r="CY36" s="2">
        <v>21.515149999999998</v>
      </c>
    </row>
    <row r="37" spans="1:103" ht="15" customHeight="1" x14ac:dyDescent="0.2">
      <c r="A37" s="1">
        <f t="shared" si="0"/>
        <v>31</v>
      </c>
      <c r="B37" s="1" t="s">
        <v>96</v>
      </c>
      <c r="C37" s="1" t="s">
        <v>95</v>
      </c>
      <c r="D37" s="1" t="s">
        <v>35</v>
      </c>
      <c r="E37" s="1" t="s">
        <v>51</v>
      </c>
      <c r="F37" s="2">
        <v>8422.23</v>
      </c>
      <c r="G37" s="2">
        <v>17.325099999999999</v>
      </c>
      <c r="H37" s="2">
        <v>1459.16</v>
      </c>
      <c r="I37" s="3">
        <v>25.58</v>
      </c>
      <c r="J37" s="3">
        <v>0</v>
      </c>
      <c r="K37" s="2">
        <v>2.736513</v>
      </c>
      <c r="L37" s="2">
        <v>2.2660909999999999</v>
      </c>
      <c r="M37" s="2">
        <v>2.1920799999999998</v>
      </c>
      <c r="N37" s="2">
        <v>2.1501169999999998</v>
      </c>
      <c r="O37" s="2">
        <v>11.121740000000001</v>
      </c>
      <c r="P37" s="2">
        <v>15.974869999999999</v>
      </c>
      <c r="Q37" s="2">
        <v>17.922139999999999</v>
      </c>
      <c r="R37" s="2">
        <v>19.233080000000001</v>
      </c>
      <c r="S37" s="2">
        <v>8.4211229999999997</v>
      </c>
      <c r="T37" s="2">
        <v>9.1916229999999999</v>
      </c>
      <c r="U37" s="2">
        <v>9.0792590000000004</v>
      </c>
      <c r="V37" s="2">
        <v>9.1805430000000001</v>
      </c>
      <c r="W37" s="2">
        <v>1.434661</v>
      </c>
      <c r="X37" s="2">
        <v>1.355232</v>
      </c>
      <c r="Y37" s="2">
        <v>1.2922709999999999</v>
      </c>
      <c r="Z37" s="2">
        <v>1.24333</v>
      </c>
      <c r="AA37" s="2">
        <v>7.3611510000000004</v>
      </c>
      <c r="AB37" s="2">
        <v>8.1234660000000005</v>
      </c>
      <c r="AC37" s="2">
        <v>8.1185690000000008</v>
      </c>
      <c r="AD37" s="2">
        <v>8.1696709999999992</v>
      </c>
      <c r="AE37" s="2">
        <v>-10.0352</v>
      </c>
      <c r="AF37" s="2">
        <v>-8.1566650000000003</v>
      </c>
      <c r="AG37" s="2">
        <v>-5.6137499999999996</v>
      </c>
      <c r="AH37" s="2">
        <v>-13.8826</v>
      </c>
      <c r="AI37" s="2">
        <v>-12.16419</v>
      </c>
      <c r="AJ37" s="2">
        <v>-8.9315840000000009</v>
      </c>
      <c r="AK37" s="3" t="e">
        <v>#N/A</v>
      </c>
      <c r="AL37" s="3" t="e">
        <v>#N/A</v>
      </c>
      <c r="AM37" s="2">
        <v>37.99127</v>
      </c>
      <c r="AN37" s="2">
        <v>36.90184</v>
      </c>
      <c r="AO37" s="2">
        <v>39.095289999999999</v>
      </c>
      <c r="AP37" s="2">
        <v>39.646909999999998</v>
      </c>
      <c r="AQ37" s="2">
        <v>1.2226250000000001</v>
      </c>
      <c r="AR37" s="2">
        <v>2.5473490000000001</v>
      </c>
      <c r="AS37" s="2">
        <v>2.9911850000000002</v>
      </c>
      <c r="AT37" s="2">
        <v>3.4103159999999999</v>
      </c>
      <c r="AU37" s="1" t="s">
        <v>5</v>
      </c>
      <c r="AV37" s="3">
        <v>1.4565220000000001</v>
      </c>
      <c r="AW37" s="3">
        <v>33</v>
      </c>
      <c r="AX37" s="2">
        <v>29.00704</v>
      </c>
      <c r="AY37" s="2">
        <v>8.4835220000000007</v>
      </c>
      <c r="AZ37" s="2">
        <v>-18.482659999999999</v>
      </c>
      <c r="BA37" s="2">
        <v>-35.663980000000002</v>
      </c>
      <c r="BB37" s="2">
        <v>-29.2197</v>
      </c>
      <c r="BC37" s="3">
        <v>22.5</v>
      </c>
      <c r="BD37" s="2">
        <v>13.688890000000001</v>
      </c>
      <c r="BE37" s="3">
        <v>41.68</v>
      </c>
      <c r="BF37" s="2">
        <v>-38.62764</v>
      </c>
      <c r="BG37" s="2">
        <v>24.33248</v>
      </c>
      <c r="BH37" s="2">
        <v>37.410530000000001</v>
      </c>
      <c r="BI37" s="2">
        <v>37.8904</v>
      </c>
      <c r="BJ37" s="2">
        <v>39.253399999999999</v>
      </c>
      <c r="BK37" s="2">
        <v>22</v>
      </c>
      <c r="BL37" s="2">
        <v>20</v>
      </c>
      <c r="BM37" s="4">
        <v>23</v>
      </c>
      <c r="BN37" s="4">
        <v>4</v>
      </c>
      <c r="BO37" s="4">
        <v>1</v>
      </c>
      <c r="BP37" s="4">
        <v>17</v>
      </c>
      <c r="BQ37" s="2">
        <v>18.181819999999998</v>
      </c>
      <c r="BR37" s="4">
        <v>14</v>
      </c>
      <c r="BS37" s="4">
        <v>1</v>
      </c>
      <c r="BT37" s="4">
        <v>23</v>
      </c>
      <c r="BU37" s="2">
        <v>60.86956</v>
      </c>
      <c r="BV37" s="2">
        <v>7.5590700000000002</v>
      </c>
      <c r="BW37" s="2">
        <v>329.25060000000002</v>
      </c>
      <c r="BX37" s="3">
        <v>0.34560619999999997</v>
      </c>
      <c r="BY37" s="3">
        <v>0.10496750000000001</v>
      </c>
      <c r="BZ37" s="2">
        <v>0.395679</v>
      </c>
      <c r="CA37" s="3">
        <v>0.10496750000000001</v>
      </c>
      <c r="CB37" s="3">
        <v>1.6161449999999999</v>
      </c>
      <c r="CC37" s="3">
        <v>1.5717760000000001</v>
      </c>
      <c r="CD37" s="2">
        <v>-2.7453660000000002</v>
      </c>
      <c r="CE37" s="3">
        <v>921.0942</v>
      </c>
      <c r="CF37" s="3">
        <v>904.31619999999998</v>
      </c>
      <c r="CG37" s="2">
        <v>-1.8215300000000001</v>
      </c>
      <c r="CH37" s="3">
        <v>36.720869999999998</v>
      </c>
      <c r="CI37" s="2">
        <v>-10.132849999999999</v>
      </c>
      <c r="CJ37" s="3">
        <v>3557.5880000000002</v>
      </c>
      <c r="CK37" s="3">
        <v>3477.1010000000001</v>
      </c>
      <c r="CL37" s="2">
        <v>-2.2624019999999998</v>
      </c>
      <c r="CM37" s="3">
        <v>30.751950000000001</v>
      </c>
      <c r="CN37" s="3">
        <v>25.371759999999998</v>
      </c>
      <c r="CO37" s="3">
        <v>24.51615</v>
      </c>
      <c r="CP37" s="2">
        <v>-16.818269999999998</v>
      </c>
      <c r="CQ37" s="2">
        <v>0.82074400000000003</v>
      </c>
      <c r="CR37" s="2">
        <v>4.3393730000000001</v>
      </c>
      <c r="CS37" s="2">
        <v>-17.495419999999999</v>
      </c>
      <c r="CT37" s="2">
        <v>8.7820940000000007</v>
      </c>
      <c r="CU37" s="3">
        <v>0.1042728</v>
      </c>
      <c r="CV37" s="2">
        <v>0</v>
      </c>
      <c r="CW37" s="2">
        <v>0.64040209999999997</v>
      </c>
      <c r="CX37" s="2" t="e">
        <v>#N/A</v>
      </c>
      <c r="CY37" s="2">
        <v>21.595960000000002</v>
      </c>
    </row>
    <row r="38" spans="1:103" ht="15" customHeight="1" x14ac:dyDescent="0.2">
      <c r="A38" s="1">
        <f t="shared" si="0"/>
        <v>32</v>
      </c>
      <c r="B38" s="1" t="s">
        <v>98</v>
      </c>
      <c r="C38" s="1" t="s">
        <v>97</v>
      </c>
      <c r="D38" s="1" t="s">
        <v>79</v>
      </c>
      <c r="E38" s="1" t="s">
        <v>80</v>
      </c>
      <c r="F38" s="2">
        <v>17815.2</v>
      </c>
      <c r="G38" s="2" t="e">
        <v>#N/A</v>
      </c>
      <c r="H38" s="2" t="e">
        <v>#N/A</v>
      </c>
      <c r="I38" s="3">
        <v>20.89</v>
      </c>
      <c r="J38" s="3">
        <v>0</v>
      </c>
      <c r="K38" s="2">
        <v>1.9571369999999999</v>
      </c>
      <c r="L38" s="2">
        <v>2.0814919999999999</v>
      </c>
      <c r="M38" s="2">
        <v>2.2172420000000002</v>
      </c>
      <c r="N38" s="2">
        <v>2.307741</v>
      </c>
      <c r="O38" s="2">
        <v>2.2084299999999999</v>
      </c>
      <c r="P38" s="2">
        <v>4.350301</v>
      </c>
      <c r="Q38" s="2">
        <v>5.1380879999999998</v>
      </c>
      <c r="R38" s="2">
        <v>4.279058</v>
      </c>
      <c r="S38" s="2">
        <v>1.7991600000000001</v>
      </c>
      <c r="T38" s="2">
        <v>2.9724270000000002</v>
      </c>
      <c r="U38" s="2">
        <v>3.1021860000000001</v>
      </c>
      <c r="V38" s="2">
        <v>2.8329399999999998</v>
      </c>
      <c r="W38" s="2">
        <v>0.37440069999999998</v>
      </c>
      <c r="X38" s="2">
        <v>0.3271097</v>
      </c>
      <c r="Y38" s="2">
        <v>0.31302449999999998</v>
      </c>
      <c r="Z38" s="2">
        <v>0.27984229999999999</v>
      </c>
      <c r="AA38" s="2">
        <v>1.8651789999999999</v>
      </c>
      <c r="AB38" s="2">
        <v>2.7432530000000002</v>
      </c>
      <c r="AC38" s="2">
        <v>2.9105300000000001</v>
      </c>
      <c r="AD38" s="2">
        <v>2.5566810000000002</v>
      </c>
      <c r="AE38" s="2">
        <v>10.156549999999999</v>
      </c>
      <c r="AF38" s="2">
        <v>5.2425240000000004</v>
      </c>
      <c r="AG38" s="2">
        <v>8.6304719999999993</v>
      </c>
      <c r="AH38" s="2">
        <v>12.121</v>
      </c>
      <c r="AI38" s="2">
        <v>6.2480560000000001</v>
      </c>
      <c r="AJ38" s="2">
        <v>10.177390000000001</v>
      </c>
      <c r="AK38" s="3" t="e">
        <v>#N/A</v>
      </c>
      <c r="AL38" s="3" t="e">
        <v>#N/A</v>
      </c>
      <c r="AM38" s="2">
        <v>17.73583</v>
      </c>
      <c r="AN38" s="2">
        <v>10.685750000000001</v>
      </c>
      <c r="AO38" s="2">
        <v>10.47789</v>
      </c>
      <c r="AP38" s="2">
        <v>11.490959999999999</v>
      </c>
      <c r="AQ38" s="2">
        <v>0.1597297</v>
      </c>
      <c r="AR38" s="2">
        <v>0.4815412</v>
      </c>
      <c r="AS38" s="2">
        <v>0.49904389999999998</v>
      </c>
      <c r="AT38" s="2">
        <v>0.43041469999999998</v>
      </c>
      <c r="AU38" s="1" t="s">
        <v>5</v>
      </c>
      <c r="AV38" s="3">
        <v>1.3125</v>
      </c>
      <c r="AW38" s="3">
        <v>32.799999999999997</v>
      </c>
      <c r="AX38" s="2">
        <v>57.012929999999997</v>
      </c>
      <c r="AY38" s="2">
        <v>7.5192420000000002</v>
      </c>
      <c r="AZ38" s="2">
        <v>-13.021979999999999</v>
      </c>
      <c r="BA38" s="2">
        <v>-7.8314659999999998</v>
      </c>
      <c r="BB38" s="2">
        <v>-15.04677</v>
      </c>
      <c r="BC38" s="3">
        <v>19.920000000000002</v>
      </c>
      <c r="BD38" s="2">
        <v>4.8694730000000002</v>
      </c>
      <c r="BE38" s="3">
        <v>30.5</v>
      </c>
      <c r="BF38" s="2">
        <v>-31.508199999999999</v>
      </c>
      <c r="BG38" s="2">
        <v>4.3336629999999996</v>
      </c>
      <c r="BH38" s="2">
        <v>10.0761</v>
      </c>
      <c r="BI38" s="2">
        <v>12.75934</v>
      </c>
      <c r="BJ38" s="2">
        <v>10.741429999999999</v>
      </c>
      <c r="BK38" s="2">
        <v>11</v>
      </c>
      <c r="BL38" s="2">
        <v>11</v>
      </c>
      <c r="BM38" s="4">
        <v>16</v>
      </c>
      <c r="BN38" s="4">
        <v>1</v>
      </c>
      <c r="BO38" s="4">
        <v>0</v>
      </c>
      <c r="BP38" s="4">
        <v>15</v>
      </c>
      <c r="BQ38" s="2">
        <v>6.25</v>
      </c>
      <c r="BR38" s="4">
        <v>11</v>
      </c>
      <c r="BS38" s="4">
        <v>0</v>
      </c>
      <c r="BT38" s="4">
        <v>16</v>
      </c>
      <c r="BU38" s="2">
        <v>68.75</v>
      </c>
      <c r="BV38" s="2">
        <v>12.425000000000001</v>
      </c>
      <c r="BW38" s="2">
        <v>852.8098</v>
      </c>
      <c r="BX38" s="3">
        <v>0.2860163</v>
      </c>
      <c r="BY38" s="3">
        <v>3.3538119999999998E-2</v>
      </c>
      <c r="BZ38" s="2">
        <v>1.5483100000000001</v>
      </c>
      <c r="CA38" s="3">
        <v>3.3538119999999998E-2</v>
      </c>
      <c r="CB38" s="3">
        <v>4.6904180000000002</v>
      </c>
      <c r="CC38" s="3">
        <v>4.7200300000000004</v>
      </c>
      <c r="CD38" s="2">
        <v>0.63133240000000002</v>
      </c>
      <c r="CE38" s="3">
        <v>4901.174</v>
      </c>
      <c r="CF38" s="3">
        <v>4757.9380000000001</v>
      </c>
      <c r="CG38" s="2">
        <v>-2.922469</v>
      </c>
      <c r="CH38" s="3">
        <v>32.882919999999999</v>
      </c>
      <c r="CI38" s="2">
        <v>-0.25216939999999999</v>
      </c>
      <c r="CJ38" s="3">
        <v>65383.45</v>
      </c>
      <c r="CK38" s="3">
        <v>66607.11</v>
      </c>
      <c r="CL38" s="2">
        <v>1.8715139999999999</v>
      </c>
      <c r="CM38" s="3">
        <v>25.269030000000001</v>
      </c>
      <c r="CN38" s="3">
        <v>23.12677</v>
      </c>
      <c r="CO38" s="3">
        <v>22.096920000000001</v>
      </c>
      <c r="CP38" s="2">
        <v>-17.329650000000001</v>
      </c>
      <c r="CQ38" s="2">
        <v>-9.6717720000000007</v>
      </c>
      <c r="CR38" s="2">
        <v>-5.4619549999999997</v>
      </c>
      <c r="CS38" s="2">
        <v>-8.4778310000000001</v>
      </c>
      <c r="CT38" s="2">
        <v>5.534745</v>
      </c>
      <c r="CU38" s="3">
        <v>3.1067549999999999E-2</v>
      </c>
      <c r="CV38" s="2">
        <v>21.534189999999999</v>
      </c>
      <c r="CW38" s="2">
        <v>-1.664156</v>
      </c>
      <c r="CX38" s="2">
        <v>4.7390829999999999</v>
      </c>
      <c r="CY38" s="2">
        <v>21.778949999999998</v>
      </c>
    </row>
    <row r="39" spans="1:103" ht="15" customHeight="1" x14ac:dyDescent="0.2">
      <c r="A39" s="1">
        <f t="shared" si="0"/>
        <v>33</v>
      </c>
      <c r="B39" s="1" t="s">
        <v>100</v>
      </c>
      <c r="C39" s="1" t="s">
        <v>99</v>
      </c>
      <c r="D39" s="1" t="s">
        <v>35</v>
      </c>
      <c r="E39" s="1" t="s">
        <v>101</v>
      </c>
      <c r="F39" s="2">
        <v>4138.1329999999998</v>
      </c>
      <c r="G39" s="2">
        <v>86.550600000000003</v>
      </c>
      <c r="H39" s="2">
        <v>3581.5790000000002</v>
      </c>
      <c r="I39" s="3">
        <v>15.795</v>
      </c>
      <c r="J39" s="3">
        <v>0</v>
      </c>
      <c r="K39" s="2">
        <v>10.889519999999999</v>
      </c>
      <c r="L39" s="2">
        <v>11.01614</v>
      </c>
      <c r="M39" s="2">
        <v>11.01614</v>
      </c>
      <c r="N39" s="2">
        <v>11.01614</v>
      </c>
      <c r="O39" s="2">
        <v>11.045450000000001</v>
      </c>
      <c r="P39" s="2">
        <v>13.195489999999999</v>
      </c>
      <c r="Q39" s="2">
        <v>16.98387</v>
      </c>
      <c r="R39" s="2">
        <v>19.332930000000001</v>
      </c>
      <c r="S39" s="2">
        <v>9.4850709999999996</v>
      </c>
      <c r="T39" s="2">
        <v>10.152100000000001</v>
      </c>
      <c r="U39" s="2">
        <v>10.845700000000001</v>
      </c>
      <c r="V39" s="2">
        <v>11.455439999999999</v>
      </c>
      <c r="W39" s="2">
        <v>1.2925530000000001</v>
      </c>
      <c r="X39" s="2">
        <v>1.3488469999999999</v>
      </c>
      <c r="Y39" s="2">
        <v>1.4501580000000001</v>
      </c>
      <c r="Z39" s="2">
        <v>1.593183</v>
      </c>
      <c r="AA39" s="2">
        <v>5.985919</v>
      </c>
      <c r="AB39" s="2">
        <v>7.3326099999999999</v>
      </c>
      <c r="AC39" s="2">
        <v>7.6595300000000002</v>
      </c>
      <c r="AD39" s="2">
        <v>8.3991699999999998</v>
      </c>
      <c r="AE39" s="2">
        <v>3.6860599999999999</v>
      </c>
      <c r="AF39" s="2">
        <v>4.9283859999999997</v>
      </c>
      <c r="AG39" s="2">
        <v>3.5952090000000001</v>
      </c>
      <c r="AH39" s="2">
        <v>6.9640370000000003</v>
      </c>
      <c r="AI39" s="2">
        <v>9.3647430000000007</v>
      </c>
      <c r="AJ39" s="2">
        <v>6.876665</v>
      </c>
      <c r="AK39" s="3" t="e">
        <v>#N/A</v>
      </c>
      <c r="AL39" s="3" t="e">
        <v>#N/A</v>
      </c>
      <c r="AM39" s="2">
        <v>82.180769999999995</v>
      </c>
      <c r="AN39" s="2">
        <v>82.181749999999994</v>
      </c>
      <c r="AO39" s="2">
        <v>81.187010000000001</v>
      </c>
      <c r="AP39" s="2">
        <v>81.405429999999996</v>
      </c>
      <c r="AQ39" s="2">
        <v>4.3842489999999996</v>
      </c>
      <c r="AR39" s="2">
        <v>4.7786</v>
      </c>
      <c r="AS39" s="2">
        <v>5.137931</v>
      </c>
      <c r="AT39" s="2">
        <v>5.4663870000000001</v>
      </c>
      <c r="AU39" s="1" t="s">
        <v>102</v>
      </c>
      <c r="AV39" s="3">
        <v>2.35</v>
      </c>
      <c r="AW39" s="3">
        <v>16.655000000000001</v>
      </c>
      <c r="AX39" s="2">
        <v>5.4447650000000003</v>
      </c>
      <c r="AY39" s="2">
        <v>10.22203</v>
      </c>
      <c r="AZ39" s="2">
        <v>-13.94215</v>
      </c>
      <c r="BA39" s="2">
        <v>-3.8356129999999999</v>
      </c>
      <c r="BB39" s="2">
        <v>1.7391319999999999</v>
      </c>
      <c r="BC39" s="3">
        <v>15.255000000000001</v>
      </c>
      <c r="BD39" s="2">
        <v>3.5398239999999999</v>
      </c>
      <c r="BE39" s="3">
        <v>18.55</v>
      </c>
      <c r="BF39" s="2">
        <v>-14.851749999999999</v>
      </c>
      <c r="BG39" s="2">
        <v>116.815</v>
      </c>
      <c r="BH39" s="2">
        <v>144.5772</v>
      </c>
      <c r="BI39" s="2">
        <v>179.1319</v>
      </c>
      <c r="BJ39" s="2">
        <v>199.1635</v>
      </c>
      <c r="BK39" s="2">
        <v>15</v>
      </c>
      <c r="BL39" s="2">
        <v>13</v>
      </c>
      <c r="BM39" s="4">
        <v>20</v>
      </c>
      <c r="BN39" s="4">
        <v>0</v>
      </c>
      <c r="BO39" s="4">
        <v>1</v>
      </c>
      <c r="BP39" s="4">
        <v>20</v>
      </c>
      <c r="BQ39" s="2">
        <v>0</v>
      </c>
      <c r="BR39" s="4">
        <v>3</v>
      </c>
      <c r="BS39" s="4">
        <v>11</v>
      </c>
      <c r="BT39" s="4">
        <v>20</v>
      </c>
      <c r="BU39" s="2">
        <v>15</v>
      </c>
      <c r="BV39" s="2">
        <v>5.5949200000000001</v>
      </c>
      <c r="BW39" s="2">
        <v>261.99009999999998</v>
      </c>
      <c r="BX39" s="3">
        <v>0.87252050000000003</v>
      </c>
      <c r="BY39" s="3">
        <v>0.33303569999999999</v>
      </c>
      <c r="BZ39" s="2">
        <v>0.46183200000000002</v>
      </c>
      <c r="CA39" s="3">
        <v>0.33303569999999999</v>
      </c>
      <c r="CB39" s="3">
        <v>1.158328</v>
      </c>
      <c r="CC39" s="3">
        <v>1.164137</v>
      </c>
      <c r="CD39" s="2">
        <v>0.50150159999999999</v>
      </c>
      <c r="CE39" s="3">
        <v>448.85469999999998</v>
      </c>
      <c r="CF39" s="3">
        <v>449.39210000000003</v>
      </c>
      <c r="CG39" s="2">
        <v>0.1197338</v>
      </c>
      <c r="CH39" s="3">
        <v>17.585789999999999</v>
      </c>
      <c r="CI39" s="2">
        <v>-5.2928449999999998</v>
      </c>
      <c r="CJ39" s="3">
        <v>942.45010000000002</v>
      </c>
      <c r="CK39" s="3">
        <v>937.53359999999998</v>
      </c>
      <c r="CL39" s="2">
        <v>-0.52167180000000002</v>
      </c>
      <c r="CM39" s="3">
        <v>16.8643</v>
      </c>
      <c r="CN39" s="3">
        <v>15.86049</v>
      </c>
      <c r="CO39" s="3">
        <v>15.83808</v>
      </c>
      <c r="CP39" s="2">
        <v>-6.340611</v>
      </c>
      <c r="CQ39" s="2">
        <v>-0.41291709999999998</v>
      </c>
      <c r="CR39" s="2">
        <v>-0.27199390000000001</v>
      </c>
      <c r="CS39" s="2">
        <v>-5.9522750000000002</v>
      </c>
      <c r="CT39" s="2">
        <v>11.46049</v>
      </c>
      <c r="CU39" s="3">
        <v>0.27694839999999998</v>
      </c>
      <c r="CV39" s="2">
        <v>-21.992660000000001</v>
      </c>
      <c r="CW39" s="2">
        <v>-1.0376559999999999</v>
      </c>
      <c r="CX39" s="2">
        <v>-1.431897</v>
      </c>
      <c r="CY39" s="2">
        <v>21.878789999999999</v>
      </c>
    </row>
    <row r="40" spans="1:103" ht="15" customHeight="1" x14ac:dyDescent="0.2">
      <c r="A40" s="1">
        <f t="shared" si="0"/>
        <v>34</v>
      </c>
      <c r="B40" s="1" t="s">
        <v>104</v>
      </c>
      <c r="C40" s="1" t="s">
        <v>103</v>
      </c>
      <c r="D40" s="1" t="s">
        <v>35</v>
      </c>
      <c r="E40" s="1" t="s">
        <v>36</v>
      </c>
      <c r="F40" s="2">
        <v>18808.73</v>
      </c>
      <c r="G40" s="2">
        <v>29.875</v>
      </c>
      <c r="H40" s="2">
        <v>5619.1080000000002</v>
      </c>
      <c r="I40" s="3">
        <v>17.765000000000001</v>
      </c>
      <c r="J40" s="3">
        <v>0</v>
      </c>
      <c r="K40" s="2">
        <v>8.9501840000000001</v>
      </c>
      <c r="L40" s="2">
        <v>5.9104979999999996</v>
      </c>
      <c r="M40" s="2">
        <v>6.304532</v>
      </c>
      <c r="N40" s="2">
        <v>7.4445940000000004</v>
      </c>
      <c r="O40" s="2">
        <v>7.8606189999999998</v>
      </c>
      <c r="P40" s="2">
        <v>11.92282</v>
      </c>
      <c r="Q40" s="2">
        <v>11.17296</v>
      </c>
      <c r="R40" s="2">
        <v>9.5</v>
      </c>
      <c r="S40" s="2">
        <v>5.3137629999999998</v>
      </c>
      <c r="T40" s="2">
        <v>6.4699429999999998</v>
      </c>
      <c r="U40" s="2">
        <v>6.2744429999999998</v>
      </c>
      <c r="V40" s="2">
        <v>5.935066</v>
      </c>
      <c r="W40" s="2">
        <v>3.3828649999999998</v>
      </c>
      <c r="X40" s="2">
        <v>3.4726219999999999</v>
      </c>
      <c r="Y40" s="2">
        <v>3.111208</v>
      </c>
      <c r="Z40" s="2">
        <v>2.780125</v>
      </c>
      <c r="AA40" s="2">
        <v>4.3073360000000003</v>
      </c>
      <c r="AB40" s="2">
        <v>5.3996959999999996</v>
      </c>
      <c r="AC40" s="2">
        <v>5.1482919999999996</v>
      </c>
      <c r="AD40" s="2">
        <v>4.658582</v>
      </c>
      <c r="AE40" s="2">
        <v>4.0427929999999996</v>
      </c>
      <c r="AF40" s="2">
        <v>3.4279950000000001</v>
      </c>
      <c r="AG40" s="2">
        <v>4.5979970000000003</v>
      </c>
      <c r="AH40" s="2">
        <v>6.5201330000000004</v>
      </c>
      <c r="AI40" s="2">
        <v>5.6365670000000003</v>
      </c>
      <c r="AJ40" s="2">
        <v>7.6002929999999997</v>
      </c>
      <c r="AK40" s="3" t="e">
        <v>#N/A</v>
      </c>
      <c r="AL40" s="3" t="e">
        <v>#N/A</v>
      </c>
      <c r="AM40" s="2">
        <v>16.91695</v>
      </c>
      <c r="AN40" s="2">
        <v>18.086259999999999</v>
      </c>
      <c r="AO40" s="2">
        <v>20.224820000000001</v>
      </c>
      <c r="AP40" s="2">
        <v>21.078469999999999</v>
      </c>
      <c r="AQ40" s="2">
        <v>1.9586699999999999</v>
      </c>
      <c r="AR40" s="2">
        <v>2.4582700000000002</v>
      </c>
      <c r="AS40" s="2">
        <v>2.4585110000000001</v>
      </c>
      <c r="AT40" s="2">
        <v>2.3444910000000001</v>
      </c>
      <c r="AU40" s="1" t="s">
        <v>37</v>
      </c>
      <c r="AV40" s="3">
        <v>1.526316</v>
      </c>
      <c r="AW40" s="3">
        <v>21.6</v>
      </c>
      <c r="AX40" s="2">
        <v>21.587389999999999</v>
      </c>
      <c r="AY40" s="2">
        <v>29.12584</v>
      </c>
      <c r="AZ40" s="2" t="e">
        <v>#N/A</v>
      </c>
      <c r="BA40" s="2">
        <v>5.2117230000000001</v>
      </c>
      <c r="BB40" s="2">
        <v>0.7371664</v>
      </c>
      <c r="BC40" s="3">
        <v>16.100000000000001</v>
      </c>
      <c r="BD40" s="2">
        <v>10.341609999999999</v>
      </c>
      <c r="BE40" s="3">
        <v>21.51</v>
      </c>
      <c r="BF40" s="2">
        <v>-17.410509999999999</v>
      </c>
      <c r="BG40" s="2">
        <v>68.862390000000005</v>
      </c>
      <c r="BH40" s="2">
        <v>73.561940000000007</v>
      </c>
      <c r="BI40" s="2">
        <v>71.602440000000001</v>
      </c>
      <c r="BJ40" s="2">
        <v>72.807040000000001</v>
      </c>
      <c r="BK40" s="2">
        <v>17</v>
      </c>
      <c r="BL40" s="2">
        <v>16</v>
      </c>
      <c r="BM40" s="4">
        <v>19</v>
      </c>
      <c r="BN40" s="4">
        <v>1</v>
      </c>
      <c r="BO40" s="4">
        <v>0</v>
      </c>
      <c r="BP40" s="4">
        <v>19</v>
      </c>
      <c r="BQ40" s="2">
        <v>5</v>
      </c>
      <c r="BR40" s="4">
        <v>10</v>
      </c>
      <c r="BS40" s="4">
        <v>0</v>
      </c>
      <c r="BT40" s="4">
        <v>19</v>
      </c>
      <c r="BU40" s="2">
        <v>52.63158</v>
      </c>
      <c r="BV40" s="2">
        <v>6.2678900000000004</v>
      </c>
      <c r="BW40" s="2">
        <v>1058.752</v>
      </c>
      <c r="BX40" s="3">
        <v>1.2954479999999999</v>
      </c>
      <c r="BY40" s="3">
        <v>0.1223561</v>
      </c>
      <c r="BZ40" s="2">
        <v>0.51436300000000001</v>
      </c>
      <c r="CA40" s="3">
        <v>0.1223561</v>
      </c>
      <c r="CB40" s="3">
        <v>1.5232330000000001</v>
      </c>
      <c r="CC40" s="3">
        <v>1.4789840000000001</v>
      </c>
      <c r="CD40" s="2">
        <v>-2.9048980000000002</v>
      </c>
      <c r="CE40" s="3">
        <v>2739.4270000000001</v>
      </c>
      <c r="CF40" s="3">
        <v>2700.5050000000001</v>
      </c>
      <c r="CG40" s="2">
        <v>-1.4207780000000001</v>
      </c>
      <c r="CH40" s="3">
        <v>22.808890000000002</v>
      </c>
      <c r="CI40" s="2">
        <v>-5.3000809999999996</v>
      </c>
      <c r="CJ40" s="3">
        <v>24813.33</v>
      </c>
      <c r="CK40" s="3">
        <v>25362.23</v>
      </c>
      <c r="CL40" s="2">
        <v>2.2121309999999998</v>
      </c>
      <c r="CM40" s="3">
        <v>19.40972</v>
      </c>
      <c r="CN40" s="3">
        <v>19.023040000000002</v>
      </c>
      <c r="CO40" s="3">
        <v>18.736350000000002</v>
      </c>
      <c r="CP40" s="2">
        <v>-8.4737010000000001</v>
      </c>
      <c r="CQ40" s="2">
        <v>-6.6132309999999999</v>
      </c>
      <c r="CR40" s="2">
        <v>-5.1842990000000002</v>
      </c>
      <c r="CS40" s="2">
        <v>-1.9922200000000001</v>
      </c>
      <c r="CT40" s="2">
        <v>19.681529999999999</v>
      </c>
      <c r="CU40" s="3">
        <v>0.10464039999999999</v>
      </c>
      <c r="CV40" s="2" t="e">
        <v>#N/A</v>
      </c>
      <c r="CW40" s="2" t="e">
        <v>#N/A</v>
      </c>
      <c r="CX40" s="2">
        <v>-6.0655739999999998</v>
      </c>
      <c r="CY40" s="2">
        <v>21.898990000000001</v>
      </c>
    </row>
    <row r="41" spans="1:103" ht="15" customHeight="1" x14ac:dyDescent="0.2">
      <c r="A41" s="1">
        <f t="shared" si="0"/>
        <v>35</v>
      </c>
      <c r="B41" s="1" t="s">
        <v>106</v>
      </c>
      <c r="C41" s="1" t="s">
        <v>105</v>
      </c>
      <c r="D41" s="1" t="s">
        <v>3</v>
      </c>
      <c r="E41" s="1" t="s">
        <v>107</v>
      </c>
      <c r="F41" s="2">
        <v>6042.0829999999996</v>
      </c>
      <c r="G41" s="2">
        <v>29.560199999999998</v>
      </c>
      <c r="H41" s="2">
        <v>1786.0519999999999</v>
      </c>
      <c r="I41" s="3">
        <v>1.962</v>
      </c>
      <c r="J41" s="3">
        <v>0</v>
      </c>
      <c r="K41" s="2">
        <v>7.6452600000000004</v>
      </c>
      <c r="L41" s="2">
        <v>7.6452600000000004</v>
      </c>
      <c r="M41" s="2">
        <v>7.9001020000000004</v>
      </c>
      <c r="N41" s="2">
        <v>8.1549429999999994</v>
      </c>
      <c r="O41" s="2">
        <v>9.3428570000000004</v>
      </c>
      <c r="P41" s="2">
        <v>8.5304350000000007</v>
      </c>
      <c r="Q41" s="2">
        <v>7.2226049999999997</v>
      </c>
      <c r="R41" s="2">
        <v>6.54</v>
      </c>
      <c r="S41" s="2" t="e">
        <v>#N/A</v>
      </c>
      <c r="T41" s="2" t="e">
        <v>#N/A</v>
      </c>
      <c r="U41" s="2" t="e">
        <v>#N/A</v>
      </c>
      <c r="V41" s="2" t="e">
        <v>#N/A</v>
      </c>
      <c r="W41" s="2">
        <v>0.82784809999999998</v>
      </c>
      <c r="X41" s="2">
        <v>0.77857140000000002</v>
      </c>
      <c r="Y41" s="2">
        <v>0.72132350000000001</v>
      </c>
      <c r="Z41" s="2">
        <v>0.66734700000000002</v>
      </c>
      <c r="AA41" s="2" t="e">
        <v>#N/A</v>
      </c>
      <c r="AB41" s="2" t="e">
        <v>#N/A</v>
      </c>
      <c r="AC41" s="2" t="e">
        <v>#N/A</v>
      </c>
      <c r="AD41" s="2" t="e">
        <v>#N/A</v>
      </c>
      <c r="AE41" s="2" t="e">
        <v>#N/A</v>
      </c>
      <c r="AF41" s="2" t="e">
        <v>#N/A</v>
      </c>
      <c r="AG41" s="2" t="e">
        <v>#N/A</v>
      </c>
      <c r="AH41" s="2">
        <v>11.10544</v>
      </c>
      <c r="AI41" s="2">
        <v>10.840630000000001</v>
      </c>
      <c r="AJ41" s="2">
        <v>11.23785</v>
      </c>
      <c r="AK41" s="3">
        <v>0.65359560000000005</v>
      </c>
      <c r="AL41" s="3">
        <v>0.55068930000000005</v>
      </c>
      <c r="AM41" s="2" t="e">
        <v>#N/A</v>
      </c>
      <c r="AN41" s="2" t="e">
        <v>#N/A</v>
      </c>
      <c r="AO41" s="2" t="e">
        <v>#N/A</v>
      </c>
      <c r="AP41" s="2" t="e">
        <v>#N/A</v>
      </c>
      <c r="AQ41" s="2" t="e">
        <v>#N/A</v>
      </c>
      <c r="AR41" s="2" t="e">
        <v>#N/A</v>
      </c>
      <c r="AS41" s="2" t="e">
        <v>#N/A</v>
      </c>
      <c r="AT41" s="2" t="e">
        <v>#N/A</v>
      </c>
      <c r="AU41" s="1" t="s">
        <v>46</v>
      </c>
      <c r="AV41" s="3">
        <v>1.9444440000000001</v>
      </c>
      <c r="AW41" s="3">
        <v>2.2000000000000002</v>
      </c>
      <c r="AX41" s="2">
        <v>12.13048</v>
      </c>
      <c r="AY41" s="2">
        <v>9.1269849999999995</v>
      </c>
      <c r="AZ41" s="2">
        <v>12.41952</v>
      </c>
      <c r="BA41" s="2">
        <v>13.08358</v>
      </c>
      <c r="BB41" s="2">
        <v>8.3977939999999993</v>
      </c>
      <c r="BC41" s="3">
        <v>1.7010000000000001</v>
      </c>
      <c r="BD41" s="2">
        <v>15.343920000000001</v>
      </c>
      <c r="BE41" s="3">
        <v>2.056</v>
      </c>
      <c r="BF41" s="2">
        <v>-4.5719859999999999</v>
      </c>
      <c r="BG41" s="2">
        <v>70.238100000000003</v>
      </c>
      <c r="BH41" s="2">
        <v>61.283450000000002</v>
      </c>
      <c r="BI41" s="2">
        <v>57.08128</v>
      </c>
      <c r="BJ41" s="2">
        <v>54.681789999999999</v>
      </c>
      <c r="BK41" s="2">
        <v>10</v>
      </c>
      <c r="BL41" s="2">
        <v>3</v>
      </c>
      <c r="BM41" s="4">
        <v>9</v>
      </c>
      <c r="BN41" s="4">
        <v>0</v>
      </c>
      <c r="BO41" s="4">
        <v>0</v>
      </c>
      <c r="BP41" s="4">
        <v>9</v>
      </c>
      <c r="BQ41" s="2">
        <v>0</v>
      </c>
      <c r="BR41" s="4">
        <v>4</v>
      </c>
      <c r="BS41" s="4">
        <v>3</v>
      </c>
      <c r="BT41" s="4">
        <v>9</v>
      </c>
      <c r="BU41" s="2">
        <v>44.444450000000003</v>
      </c>
      <c r="BV41" s="2">
        <v>6.5310600000000001</v>
      </c>
      <c r="BW41" s="2">
        <v>3079.5529999999999</v>
      </c>
      <c r="BX41" s="3">
        <v>3.0707170000000001</v>
      </c>
      <c r="BY41" s="3">
        <v>9.9713070000000001E-2</v>
      </c>
      <c r="BZ41" s="2">
        <v>0.73751500000000003</v>
      </c>
      <c r="CA41" s="3">
        <v>9.9713070000000001E-2</v>
      </c>
      <c r="CB41" s="3">
        <v>0.23924139999999999</v>
      </c>
      <c r="CC41" s="3">
        <v>0.24170469999999999</v>
      </c>
      <c r="CD41" s="2">
        <v>1.029658</v>
      </c>
      <c r="CE41" s="3">
        <v>1716.8309999999999</v>
      </c>
      <c r="CF41" s="3">
        <v>1751.2570000000001</v>
      </c>
      <c r="CG41" s="2">
        <v>2.0051960000000002</v>
      </c>
      <c r="CH41" s="3">
        <v>2.2254550000000002</v>
      </c>
      <c r="CI41" s="2">
        <v>-1.1437889999999999</v>
      </c>
      <c r="CJ41" s="3">
        <v>26618.05</v>
      </c>
      <c r="CK41" s="3">
        <v>25978.07</v>
      </c>
      <c r="CL41" s="2">
        <v>-2.4043079999999999</v>
      </c>
      <c r="CM41" s="3">
        <v>1.8917170000000001</v>
      </c>
      <c r="CN41" s="3">
        <v>1.948353</v>
      </c>
      <c r="CO41" s="3">
        <v>1.946269</v>
      </c>
      <c r="CP41" s="2">
        <v>3.7153239999999998</v>
      </c>
      <c r="CQ41" s="2">
        <v>0.70042610000000005</v>
      </c>
      <c r="CR41" s="2">
        <v>0.80825089999999999</v>
      </c>
      <c r="CS41" s="2">
        <v>2.9939290000000001</v>
      </c>
      <c r="CT41" s="2">
        <v>3.7021359999999999</v>
      </c>
      <c r="CU41" s="3">
        <v>6.1272510000000002E-2</v>
      </c>
      <c r="CV41" s="2" t="e">
        <v>#N/A</v>
      </c>
      <c r="CW41" s="2">
        <v>-5.0036659999999999</v>
      </c>
      <c r="CX41" s="2" t="e">
        <v>#N/A</v>
      </c>
      <c r="CY41" s="2">
        <v>21.93939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Figares durcudoy</cp:lastModifiedBy>
  <dcterms:created xsi:type="dcterms:W3CDTF">2023-11-01T05:36:54Z</dcterms:created>
  <dcterms:modified xsi:type="dcterms:W3CDTF">2023-11-01T05:36:54Z</dcterms:modified>
  <cp:category/>
</cp:coreProperties>
</file>